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ev/Desktop/Claude files/"/>
    </mc:Choice>
  </mc:AlternateContent>
  <xr:revisionPtr revIDLastSave="0" documentId="13_ncr:1_{DE2C85A5-5C82-EA4A-B256-D9E107C2960F}" xr6:coauthVersionLast="47" xr6:coauthVersionMax="47" xr10:uidLastSave="{00000000-0000-0000-0000-000000000000}"/>
  <bookViews>
    <workbookView xWindow="0" yWindow="620" windowWidth="28800" windowHeight="17380" activeTab="4" xr2:uid="{00000000-000D-0000-FFFF-FFFF00000000}"/>
  </bookViews>
  <sheets>
    <sheet name="Product-YTD" sheetId="40" r:id="rId1"/>
    <sheet name="DSR" sheetId="34" r:id="rId2"/>
    <sheet name="Product" sheetId="35" r:id="rId3"/>
    <sheet name="Store -Product" sheetId="37" r:id="rId4"/>
    <sheet name="Store DSR" sheetId="36" r:id="rId5"/>
    <sheet name="Jul" sheetId="38" r:id="rId6"/>
    <sheet name="YTD" sheetId="1" r:id="rId7"/>
    <sheet name="Master" sheetId="7" r:id="rId8"/>
    <sheet name="Dec" sheetId="13" r:id="rId9"/>
    <sheet name="Jan" sheetId="3" r:id="rId10"/>
    <sheet name="Feb" sheetId="4" r:id="rId11"/>
    <sheet name="Mar" sheetId="6" r:id="rId12"/>
    <sheet name="Apr" sheetId="11" r:id="rId13"/>
    <sheet name="May" sheetId="12" r:id="rId14"/>
    <sheet name="June" sheetId="24" r:id="rId15"/>
    <sheet name="BW stores Base stocking model " sheetId="19" r:id="rId16"/>
  </sheets>
  <definedNames>
    <definedName name="_xlnm._FilterDatabase" localSheetId="12" hidden="1">Apr!$A$1:$Q$52</definedName>
    <definedName name="_xlnm._FilterDatabase" localSheetId="6" hidden="1">YTD!$A$2:$V$434</definedName>
  </definedNames>
  <calcPr calcId="191029"/>
  <pivotCaches>
    <pivotCache cacheId="64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36" l="1"/>
  <c r="H123" i="36"/>
  <c r="G123" i="36"/>
  <c r="F123" i="36"/>
  <c r="F97" i="36"/>
  <c r="I97" i="36"/>
  <c r="H97" i="36"/>
  <c r="G97" i="36"/>
  <c r="I69" i="36"/>
  <c r="H69" i="36"/>
  <c r="G69" i="36"/>
  <c r="F69" i="36"/>
  <c r="I47" i="36"/>
  <c r="H47" i="36"/>
  <c r="G47" i="36"/>
  <c r="F47" i="36"/>
  <c r="F54" i="34"/>
  <c r="H54" i="34" s="1"/>
  <c r="E54" i="34"/>
  <c r="G54" i="34" s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414" i="1" l="1"/>
  <c r="V3" i="1" a="1"/>
  <c r="V3" i="1" s="1"/>
  <c r="H408" i="1" l="1"/>
  <c r="H409" i="1"/>
  <c r="H410" i="1"/>
  <c r="H411" i="1"/>
  <c r="H412" i="1"/>
  <c r="H413" i="1"/>
  <c r="L8" i="37" l="1"/>
  <c r="L9" i="37"/>
  <c r="L10" i="37"/>
  <c r="L7" i="37"/>
  <c r="AD25" i="35"/>
  <c r="AD26" i="35"/>
  <c r="AD28" i="35"/>
  <c r="AD29" i="35"/>
  <c r="AD23" i="35"/>
  <c r="AC24" i="35"/>
  <c r="AC25" i="35"/>
  <c r="AC26" i="35"/>
  <c r="AC27" i="35"/>
  <c r="AC28" i="35"/>
  <c r="AC29" i="35"/>
  <c r="AC23" i="35"/>
  <c r="AB25" i="35"/>
  <c r="AB26" i="35"/>
  <c r="AB28" i="35"/>
  <c r="AB29" i="35"/>
  <c r="AB23" i="35"/>
  <c r="AA25" i="35"/>
  <c r="AA26" i="35"/>
  <c r="AA28" i="35"/>
  <c r="AA29" i="35"/>
  <c r="AA23" i="35"/>
  <c r="Z27" i="35"/>
  <c r="Z28" i="35"/>
  <c r="Z29" i="35"/>
  <c r="X27" i="35"/>
  <c r="Y27" i="35"/>
  <c r="X28" i="35"/>
  <c r="Y28" i="35"/>
  <c r="X29" i="35"/>
  <c r="Y29" i="35"/>
  <c r="V30" i="35" l="1"/>
  <c r="T30" i="35"/>
  <c r="R30" i="35"/>
  <c r="P30" i="35"/>
  <c r="N30" i="35"/>
  <c r="L30" i="35"/>
  <c r="U27" i="35"/>
  <c r="U24" i="35"/>
  <c r="W28" i="35"/>
  <c r="W26" i="35"/>
  <c r="W25" i="35"/>
  <c r="W23" i="35"/>
  <c r="U28" i="35"/>
  <c r="U26" i="35"/>
  <c r="U25" i="35"/>
  <c r="U23" i="35"/>
  <c r="S28" i="35"/>
  <c r="S26" i="35"/>
  <c r="S25" i="35"/>
  <c r="S23" i="35"/>
  <c r="Q28" i="35"/>
  <c r="Q26" i="35"/>
  <c r="Q25" i="35"/>
  <c r="Q23" i="35"/>
  <c r="M27" i="35"/>
  <c r="M28" i="35"/>
  <c r="K28" i="35"/>
  <c r="K27" i="35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C320" i="7"/>
  <c r="A320" i="7"/>
  <c r="C319" i="7"/>
  <c r="A319" i="7"/>
  <c r="C318" i="7"/>
  <c r="A318" i="7"/>
  <c r="H262" i="1" l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C451" i="7" l="1"/>
  <c r="A451" i="7"/>
  <c r="C450" i="7"/>
  <c r="A450" i="7"/>
  <c r="C449" i="7"/>
  <c r="A449" i="7"/>
  <c r="C448" i="7"/>
  <c r="A448" i="7"/>
  <c r="C447" i="7"/>
  <c r="A447" i="7"/>
  <c r="C446" i="7"/>
  <c r="A446" i="7"/>
  <c r="C445" i="7"/>
  <c r="A445" i="7"/>
  <c r="C444" i="7"/>
  <c r="A444" i="7"/>
  <c r="C443" i="7"/>
  <c r="A443" i="7"/>
  <c r="C442" i="7"/>
  <c r="A442" i="7"/>
  <c r="C441" i="7"/>
  <c r="A441" i="7"/>
  <c r="C440" i="7"/>
  <c r="A440" i="7"/>
  <c r="C439" i="7"/>
  <c r="A439" i="7"/>
  <c r="C438" i="7"/>
  <c r="A438" i="7"/>
  <c r="C437" i="7"/>
  <c r="A437" i="7"/>
  <c r="C436" i="7"/>
  <c r="A436" i="7"/>
  <c r="C435" i="7"/>
  <c r="A435" i="7"/>
  <c r="C434" i="7"/>
  <c r="A434" i="7"/>
  <c r="C433" i="7"/>
  <c r="A433" i="7"/>
  <c r="C432" i="7"/>
  <c r="A432" i="7"/>
  <c r="C431" i="7"/>
  <c r="A431" i="7"/>
  <c r="C430" i="7"/>
  <c r="A430" i="7"/>
  <c r="C429" i="7"/>
  <c r="A429" i="7"/>
  <c r="C428" i="7"/>
  <c r="A428" i="7"/>
  <c r="C427" i="7"/>
  <c r="A427" i="7"/>
  <c r="C426" i="7"/>
  <c r="A426" i="7"/>
  <c r="C425" i="7"/>
  <c r="A425" i="7"/>
  <c r="C424" i="7"/>
  <c r="A424" i="7"/>
  <c r="C423" i="7"/>
  <c r="A423" i="7"/>
  <c r="C422" i="7"/>
  <c r="A422" i="7"/>
  <c r="C421" i="7"/>
  <c r="A421" i="7"/>
  <c r="C420" i="7"/>
  <c r="A420" i="7"/>
  <c r="C419" i="7"/>
  <c r="A419" i="7"/>
  <c r="C418" i="7"/>
  <c r="A418" i="7"/>
  <c r="C417" i="7"/>
  <c r="A417" i="7"/>
  <c r="C416" i="7"/>
  <c r="A416" i="7"/>
  <c r="C415" i="7"/>
  <c r="A415" i="7"/>
  <c r="W414" i="7"/>
  <c r="C414" i="7"/>
  <c r="A414" i="7"/>
  <c r="W413" i="7"/>
  <c r="C413" i="7"/>
  <c r="A413" i="7"/>
  <c r="W412" i="7"/>
  <c r="C412" i="7"/>
  <c r="A412" i="7"/>
  <c r="W411" i="7"/>
  <c r="C411" i="7"/>
  <c r="A411" i="7"/>
  <c r="W410" i="7"/>
  <c r="C410" i="7"/>
  <c r="A410" i="7"/>
  <c r="W409" i="7"/>
  <c r="C409" i="7"/>
  <c r="A409" i="7"/>
  <c r="W408" i="7"/>
  <c r="C408" i="7"/>
  <c r="A408" i="7"/>
  <c r="W407" i="7"/>
  <c r="C407" i="7"/>
  <c r="A407" i="7"/>
  <c r="C406" i="7"/>
  <c r="A406" i="7"/>
  <c r="C405" i="7"/>
  <c r="A405" i="7"/>
  <c r="C404" i="7"/>
  <c r="A404" i="7"/>
  <c r="C403" i="7"/>
  <c r="A403" i="7"/>
  <c r="C402" i="7"/>
  <c r="A402" i="7"/>
  <c r="C401" i="7"/>
  <c r="A401" i="7"/>
  <c r="C400" i="7"/>
  <c r="A400" i="7"/>
  <c r="C399" i="7"/>
  <c r="A399" i="7"/>
  <c r="C398" i="7"/>
  <c r="A398" i="7"/>
  <c r="C397" i="7"/>
  <c r="A397" i="7"/>
  <c r="C396" i="7"/>
  <c r="A396" i="7"/>
  <c r="C395" i="7"/>
  <c r="A395" i="7"/>
  <c r="C394" i="7"/>
  <c r="A394" i="7"/>
  <c r="C393" i="7"/>
  <c r="A393" i="7"/>
  <c r="C392" i="7"/>
  <c r="A392" i="7"/>
  <c r="C391" i="7"/>
  <c r="A391" i="7"/>
  <c r="C390" i="7"/>
  <c r="A390" i="7"/>
  <c r="C389" i="7"/>
  <c r="A389" i="7"/>
  <c r="C388" i="7"/>
  <c r="A388" i="7"/>
  <c r="C387" i="7"/>
  <c r="A387" i="7"/>
  <c r="C386" i="7"/>
  <c r="A386" i="7"/>
  <c r="C385" i="7"/>
  <c r="A385" i="7"/>
  <c r="C384" i="7"/>
  <c r="A384" i="7"/>
  <c r="C383" i="7"/>
  <c r="A383" i="7"/>
  <c r="C382" i="7"/>
  <c r="A382" i="7"/>
  <c r="C381" i="7"/>
  <c r="A381" i="7"/>
  <c r="C380" i="7"/>
  <c r="A380" i="7"/>
  <c r="C379" i="7"/>
  <c r="A379" i="7"/>
  <c r="A2" i="7"/>
  <c r="C2" i="7"/>
  <c r="A3" i="7"/>
  <c r="C3" i="7"/>
  <c r="A4" i="7"/>
  <c r="C4" i="7"/>
  <c r="A5" i="7"/>
  <c r="C5" i="7"/>
  <c r="A6" i="7"/>
  <c r="C6" i="7"/>
  <c r="A7" i="7"/>
  <c r="C7" i="7"/>
  <c r="A8" i="7"/>
  <c r="C8" i="7"/>
  <c r="A9" i="7"/>
  <c r="C9" i="7"/>
  <c r="A10" i="7"/>
  <c r="C10" i="7"/>
  <c r="A11" i="7"/>
  <c r="C11" i="7"/>
  <c r="A12" i="7"/>
  <c r="C12" i="7"/>
  <c r="A13" i="7"/>
  <c r="C13" i="7"/>
  <c r="A14" i="7"/>
  <c r="C14" i="7"/>
  <c r="A15" i="7"/>
  <c r="C15" i="7"/>
  <c r="A16" i="7"/>
  <c r="C16" i="7"/>
  <c r="A17" i="7"/>
  <c r="C17" i="7"/>
  <c r="A18" i="7"/>
  <c r="C18" i="7"/>
  <c r="A19" i="7"/>
  <c r="C19" i="7"/>
  <c r="A20" i="7"/>
  <c r="C20" i="7"/>
  <c r="A21" i="7"/>
  <c r="C21" i="7"/>
  <c r="A22" i="7"/>
  <c r="C22" i="7"/>
  <c r="A23" i="7"/>
  <c r="C23" i="7"/>
  <c r="A24" i="7"/>
  <c r="C24" i="7"/>
  <c r="A25" i="7"/>
  <c r="C25" i="7"/>
  <c r="A26" i="7"/>
  <c r="C26" i="7"/>
  <c r="A27" i="7"/>
  <c r="C27" i="7"/>
  <c r="A28" i="7"/>
  <c r="C28" i="7"/>
  <c r="A29" i="7"/>
  <c r="C29" i="7"/>
  <c r="A30" i="7"/>
  <c r="C30" i="7"/>
  <c r="A31" i="7"/>
  <c r="C31" i="7"/>
  <c r="A32" i="7"/>
  <c r="C32" i="7"/>
  <c r="A33" i="7"/>
  <c r="C33" i="7"/>
  <c r="A34" i="7"/>
  <c r="C34" i="7"/>
  <c r="A35" i="7"/>
  <c r="C35" i="7"/>
  <c r="A36" i="7"/>
  <c r="C36" i="7"/>
  <c r="A37" i="7"/>
  <c r="C37" i="7"/>
  <c r="A38" i="7"/>
  <c r="C38" i="7"/>
  <c r="A39" i="7"/>
  <c r="C39" i="7"/>
  <c r="A40" i="7"/>
  <c r="C40" i="7"/>
  <c r="A41" i="7"/>
  <c r="C41" i="7"/>
  <c r="A42" i="7"/>
  <c r="C42" i="7"/>
  <c r="A43" i="7"/>
  <c r="C43" i="7"/>
  <c r="A44" i="7"/>
  <c r="C44" i="7"/>
  <c r="A45" i="7"/>
  <c r="C45" i="7"/>
  <c r="A46" i="7"/>
  <c r="C46" i="7"/>
  <c r="A47" i="7"/>
  <c r="C47" i="7"/>
  <c r="A48" i="7"/>
  <c r="C48" i="7"/>
  <c r="A49" i="7"/>
  <c r="C49" i="7"/>
  <c r="A50" i="7"/>
  <c r="C50" i="7"/>
  <c r="A51" i="7"/>
  <c r="C51" i="7"/>
  <c r="A52" i="7"/>
  <c r="C52" i="7"/>
  <c r="A53" i="7"/>
  <c r="C53" i="7"/>
  <c r="A54" i="7"/>
  <c r="C54" i="7"/>
  <c r="A55" i="7"/>
  <c r="C55" i="7"/>
  <c r="A56" i="7"/>
  <c r="C56" i="7"/>
  <c r="A57" i="7"/>
  <c r="C57" i="7"/>
  <c r="A58" i="7"/>
  <c r="C58" i="7"/>
  <c r="A59" i="7"/>
  <c r="C59" i="7"/>
  <c r="A60" i="7"/>
  <c r="C60" i="7"/>
  <c r="A61" i="7"/>
  <c r="C61" i="7"/>
  <c r="A62" i="7"/>
  <c r="C62" i="7"/>
  <c r="A63" i="7"/>
  <c r="C63" i="7"/>
  <c r="A64" i="7"/>
  <c r="C64" i="7"/>
  <c r="A65" i="7"/>
  <c r="C65" i="7"/>
  <c r="A66" i="7"/>
  <c r="C66" i="7"/>
  <c r="A67" i="7"/>
  <c r="C67" i="7"/>
  <c r="A68" i="7"/>
  <c r="C68" i="7"/>
  <c r="A69" i="7"/>
  <c r="C69" i="7"/>
  <c r="A70" i="7"/>
  <c r="C70" i="7"/>
  <c r="A71" i="7"/>
  <c r="C71" i="7"/>
  <c r="A72" i="7"/>
  <c r="C72" i="7"/>
  <c r="A73" i="7"/>
  <c r="C73" i="7"/>
  <c r="A74" i="7"/>
  <c r="C74" i="7"/>
  <c r="A75" i="7"/>
  <c r="C75" i="7"/>
  <c r="A76" i="7"/>
  <c r="C76" i="7"/>
  <c r="A77" i="7"/>
  <c r="C77" i="7"/>
  <c r="A78" i="7"/>
  <c r="C78" i="7"/>
  <c r="A79" i="7"/>
  <c r="C79" i="7"/>
  <c r="A80" i="7"/>
  <c r="C80" i="7"/>
  <c r="A81" i="7"/>
  <c r="C81" i="7"/>
  <c r="A82" i="7"/>
  <c r="C82" i="7"/>
  <c r="A83" i="7"/>
  <c r="C83" i="7"/>
  <c r="A84" i="7"/>
  <c r="C84" i="7"/>
  <c r="A85" i="7"/>
  <c r="C85" i="7"/>
  <c r="A86" i="7"/>
  <c r="C86" i="7"/>
  <c r="A87" i="7"/>
  <c r="C87" i="7"/>
  <c r="A88" i="7"/>
  <c r="C88" i="7"/>
  <c r="A89" i="7"/>
  <c r="C89" i="7"/>
  <c r="A90" i="7"/>
  <c r="C90" i="7"/>
  <c r="A91" i="7"/>
  <c r="C91" i="7"/>
  <c r="A92" i="7"/>
  <c r="C92" i="7"/>
  <c r="A93" i="7"/>
  <c r="C93" i="7"/>
  <c r="A94" i="7"/>
  <c r="C94" i="7"/>
  <c r="A95" i="7"/>
  <c r="C95" i="7"/>
  <c r="A96" i="7"/>
  <c r="C96" i="7"/>
  <c r="A97" i="7"/>
  <c r="C97" i="7"/>
  <c r="A98" i="7"/>
  <c r="C98" i="7"/>
  <c r="A99" i="7"/>
  <c r="C99" i="7"/>
  <c r="A100" i="7"/>
  <c r="C100" i="7"/>
  <c r="A101" i="7"/>
  <c r="C101" i="7"/>
  <c r="A102" i="7"/>
  <c r="C102" i="7"/>
  <c r="A103" i="7"/>
  <c r="C103" i="7"/>
  <c r="A104" i="7"/>
  <c r="C104" i="7"/>
  <c r="A105" i="7"/>
  <c r="C105" i="7"/>
  <c r="A106" i="7"/>
  <c r="C106" i="7"/>
  <c r="A107" i="7"/>
  <c r="C107" i="7"/>
  <c r="A108" i="7"/>
  <c r="C108" i="7"/>
  <c r="A109" i="7"/>
  <c r="C109" i="7"/>
  <c r="A110" i="7"/>
  <c r="C110" i="7"/>
  <c r="A111" i="7"/>
  <c r="C111" i="7"/>
  <c r="A112" i="7"/>
  <c r="C112" i="7"/>
  <c r="A113" i="7"/>
  <c r="C113" i="7"/>
  <c r="A114" i="7"/>
  <c r="C114" i="7"/>
  <c r="A115" i="7"/>
  <c r="C115" i="7"/>
  <c r="A116" i="7"/>
  <c r="C116" i="7"/>
  <c r="A117" i="7"/>
  <c r="C117" i="7"/>
  <c r="A118" i="7"/>
  <c r="C118" i="7"/>
  <c r="A119" i="7"/>
  <c r="C119" i="7"/>
  <c r="A120" i="7"/>
  <c r="C120" i="7"/>
  <c r="A121" i="7"/>
  <c r="C121" i="7"/>
  <c r="A122" i="7"/>
  <c r="C122" i="7"/>
  <c r="A123" i="7"/>
  <c r="C123" i="7"/>
  <c r="A124" i="7"/>
  <c r="C124" i="7"/>
  <c r="A125" i="7"/>
  <c r="C125" i="7"/>
  <c r="A126" i="7"/>
  <c r="C126" i="7"/>
  <c r="A127" i="7"/>
  <c r="C127" i="7"/>
  <c r="A128" i="7"/>
  <c r="C128" i="7"/>
  <c r="A129" i="7"/>
  <c r="C129" i="7"/>
  <c r="A130" i="7"/>
  <c r="C130" i="7"/>
  <c r="A131" i="7"/>
  <c r="C131" i="7"/>
  <c r="A132" i="7"/>
  <c r="C132" i="7"/>
  <c r="A133" i="7"/>
  <c r="C133" i="7"/>
  <c r="A134" i="7"/>
  <c r="C134" i="7"/>
  <c r="A135" i="7"/>
  <c r="C135" i="7"/>
  <c r="A136" i="7"/>
  <c r="C136" i="7"/>
  <c r="A137" i="7"/>
  <c r="C137" i="7"/>
  <c r="A138" i="7"/>
  <c r="C138" i="7"/>
  <c r="A139" i="7"/>
  <c r="C139" i="7"/>
  <c r="A140" i="7"/>
  <c r="C140" i="7"/>
  <c r="A141" i="7"/>
  <c r="C141" i="7"/>
  <c r="A142" i="7"/>
  <c r="C142" i="7"/>
  <c r="A143" i="7"/>
  <c r="C143" i="7"/>
  <c r="A144" i="7"/>
  <c r="C144" i="7"/>
  <c r="A145" i="7"/>
  <c r="C145" i="7"/>
  <c r="A146" i="7"/>
  <c r="C146" i="7"/>
  <c r="A147" i="7"/>
  <c r="C147" i="7"/>
  <c r="A148" i="7"/>
  <c r="C148" i="7"/>
  <c r="A149" i="7"/>
  <c r="C149" i="7"/>
  <c r="A150" i="7"/>
  <c r="C150" i="7"/>
  <c r="A151" i="7"/>
  <c r="C151" i="7"/>
  <c r="A152" i="7"/>
  <c r="C152" i="7"/>
  <c r="A153" i="7"/>
  <c r="C153" i="7"/>
  <c r="A154" i="7"/>
  <c r="C154" i="7"/>
  <c r="A155" i="7"/>
  <c r="C155" i="7"/>
  <c r="A156" i="7"/>
  <c r="C156" i="7"/>
  <c r="A157" i="7"/>
  <c r="C157" i="7"/>
  <c r="A158" i="7"/>
  <c r="C158" i="7"/>
  <c r="A159" i="7"/>
  <c r="C159" i="7"/>
  <c r="A160" i="7"/>
  <c r="C160" i="7"/>
  <c r="A161" i="7"/>
  <c r="C161" i="7"/>
  <c r="A162" i="7"/>
  <c r="C162" i="7"/>
  <c r="A163" i="7"/>
  <c r="C163" i="7"/>
  <c r="A164" i="7"/>
  <c r="C164" i="7"/>
  <c r="A165" i="7"/>
  <c r="C165" i="7"/>
  <c r="A166" i="7"/>
  <c r="C166" i="7"/>
  <c r="A167" i="7"/>
  <c r="C167" i="7"/>
  <c r="A168" i="7"/>
  <c r="C168" i="7"/>
  <c r="A169" i="7"/>
  <c r="C169" i="7"/>
  <c r="A170" i="7"/>
  <c r="C170" i="7"/>
  <c r="A171" i="7"/>
  <c r="C171" i="7"/>
  <c r="A172" i="7"/>
  <c r="C172" i="7"/>
  <c r="A173" i="7"/>
  <c r="C173" i="7"/>
  <c r="A174" i="7"/>
  <c r="C174" i="7"/>
  <c r="A175" i="7"/>
  <c r="C175" i="7"/>
  <c r="A176" i="7"/>
  <c r="C176" i="7"/>
  <c r="A177" i="7"/>
  <c r="C177" i="7"/>
  <c r="A178" i="7"/>
  <c r="C178" i="7"/>
  <c r="A179" i="7"/>
  <c r="C179" i="7"/>
  <c r="A180" i="7"/>
  <c r="C180" i="7"/>
  <c r="A181" i="7"/>
  <c r="C181" i="7"/>
  <c r="A182" i="7"/>
  <c r="C182" i="7"/>
  <c r="A183" i="7"/>
  <c r="C183" i="7"/>
  <c r="A184" i="7"/>
  <c r="C184" i="7"/>
  <c r="A185" i="7"/>
  <c r="C185" i="7"/>
  <c r="A186" i="7"/>
  <c r="C186" i="7"/>
  <c r="A187" i="7"/>
  <c r="C187" i="7"/>
  <c r="A188" i="7"/>
  <c r="C188" i="7"/>
  <c r="A189" i="7"/>
  <c r="C189" i="7"/>
  <c r="A190" i="7"/>
  <c r="C190" i="7"/>
  <c r="A191" i="7"/>
  <c r="C191" i="7"/>
  <c r="A192" i="7"/>
  <c r="C192" i="7"/>
  <c r="A193" i="7"/>
  <c r="C193" i="7"/>
  <c r="A194" i="7"/>
  <c r="C194" i="7"/>
  <c r="A195" i="7"/>
  <c r="C195" i="7"/>
  <c r="A196" i="7"/>
  <c r="C196" i="7"/>
  <c r="A197" i="7"/>
  <c r="C197" i="7"/>
  <c r="A198" i="7"/>
  <c r="C198" i="7"/>
  <c r="A199" i="7"/>
  <c r="C199" i="7"/>
  <c r="A200" i="7"/>
  <c r="C200" i="7"/>
  <c r="A201" i="7"/>
  <c r="C201" i="7"/>
  <c r="A202" i="7"/>
  <c r="C202" i="7"/>
  <c r="A203" i="7"/>
  <c r="C203" i="7"/>
  <c r="A204" i="7"/>
  <c r="C204" i="7"/>
  <c r="A205" i="7"/>
  <c r="C205" i="7"/>
  <c r="A206" i="7"/>
  <c r="C206" i="7"/>
  <c r="A207" i="7"/>
  <c r="C207" i="7"/>
  <c r="A208" i="7"/>
  <c r="C208" i="7"/>
  <c r="A209" i="7"/>
  <c r="C209" i="7"/>
  <c r="A210" i="7"/>
  <c r="C210" i="7"/>
  <c r="A211" i="7"/>
  <c r="C211" i="7"/>
  <c r="A212" i="7"/>
  <c r="C212" i="7"/>
  <c r="A213" i="7"/>
  <c r="C213" i="7"/>
  <c r="A214" i="7"/>
  <c r="C214" i="7"/>
  <c r="A215" i="7"/>
  <c r="C215" i="7"/>
  <c r="A216" i="7"/>
  <c r="C216" i="7"/>
  <c r="A217" i="7"/>
  <c r="C217" i="7"/>
  <c r="A218" i="7"/>
  <c r="C218" i="7"/>
  <c r="A219" i="7"/>
  <c r="C219" i="7"/>
  <c r="A220" i="7"/>
  <c r="C220" i="7"/>
  <c r="A221" i="7"/>
  <c r="C221" i="7"/>
  <c r="A222" i="7"/>
  <c r="C222" i="7"/>
  <c r="A223" i="7"/>
  <c r="C223" i="7"/>
  <c r="A224" i="7"/>
  <c r="C224" i="7"/>
  <c r="A225" i="7"/>
  <c r="C225" i="7"/>
  <c r="A226" i="7"/>
  <c r="C226" i="7"/>
  <c r="A227" i="7"/>
  <c r="C227" i="7"/>
  <c r="A228" i="7"/>
  <c r="C228" i="7"/>
  <c r="A229" i="7"/>
  <c r="C229" i="7"/>
  <c r="A230" i="7"/>
  <c r="C230" i="7"/>
  <c r="A231" i="7"/>
  <c r="C231" i="7"/>
  <c r="A232" i="7"/>
  <c r="C232" i="7"/>
  <c r="A233" i="7"/>
  <c r="C233" i="7"/>
  <c r="A234" i="7"/>
  <c r="C234" i="7"/>
  <c r="A235" i="7"/>
  <c r="C235" i="7"/>
  <c r="A236" i="7"/>
  <c r="C236" i="7"/>
  <c r="A237" i="7"/>
  <c r="C237" i="7"/>
  <c r="A238" i="7"/>
  <c r="C238" i="7"/>
  <c r="A239" i="7"/>
  <c r="C239" i="7"/>
  <c r="A240" i="7"/>
  <c r="C240" i="7"/>
  <c r="A241" i="7"/>
  <c r="C241" i="7"/>
  <c r="A242" i="7"/>
  <c r="C242" i="7"/>
  <c r="A243" i="7"/>
  <c r="C243" i="7"/>
  <c r="A244" i="7"/>
  <c r="C244" i="7"/>
  <c r="A245" i="7"/>
  <c r="C245" i="7"/>
  <c r="A246" i="7"/>
  <c r="C246" i="7"/>
  <c r="A247" i="7"/>
  <c r="C247" i="7"/>
  <c r="A248" i="7"/>
  <c r="C248" i="7"/>
  <c r="A249" i="7"/>
  <c r="C249" i="7"/>
  <c r="A250" i="7"/>
  <c r="C250" i="7"/>
  <c r="A251" i="7"/>
  <c r="C251" i="7"/>
  <c r="A252" i="7"/>
  <c r="C252" i="7"/>
  <c r="A253" i="7"/>
  <c r="C253" i="7"/>
  <c r="A254" i="7"/>
  <c r="C254" i="7"/>
  <c r="A255" i="7"/>
  <c r="C255" i="7"/>
  <c r="A256" i="7"/>
  <c r="C256" i="7"/>
  <c r="A257" i="7"/>
  <c r="C257" i="7"/>
  <c r="A258" i="7"/>
  <c r="C258" i="7"/>
  <c r="A259" i="7"/>
  <c r="C259" i="7"/>
  <c r="A260" i="7"/>
  <c r="C260" i="7"/>
  <c r="A261" i="7"/>
  <c r="C261" i="7"/>
  <c r="A262" i="7"/>
  <c r="C262" i="7"/>
  <c r="A263" i="7"/>
  <c r="C263" i="7"/>
  <c r="A264" i="7"/>
  <c r="C264" i="7"/>
  <c r="A265" i="7"/>
  <c r="C265" i="7"/>
  <c r="A266" i="7"/>
  <c r="C266" i="7"/>
  <c r="A267" i="7"/>
  <c r="C267" i="7"/>
  <c r="A268" i="7"/>
  <c r="C268" i="7"/>
  <c r="A269" i="7"/>
  <c r="C269" i="7"/>
  <c r="A270" i="7"/>
  <c r="C270" i="7"/>
  <c r="A271" i="7"/>
  <c r="C271" i="7"/>
  <c r="A272" i="7"/>
  <c r="C272" i="7"/>
  <c r="A273" i="7"/>
  <c r="C273" i="7"/>
  <c r="A274" i="7"/>
  <c r="C274" i="7"/>
  <c r="A275" i="7"/>
  <c r="C275" i="7"/>
  <c r="A276" i="7"/>
  <c r="C276" i="7"/>
  <c r="A277" i="7"/>
  <c r="C277" i="7"/>
  <c r="A278" i="7"/>
  <c r="C278" i="7"/>
  <c r="A279" i="7"/>
  <c r="C279" i="7"/>
  <c r="A280" i="7"/>
  <c r="C280" i="7"/>
  <c r="A281" i="7"/>
  <c r="C281" i="7"/>
  <c r="A282" i="7"/>
  <c r="C282" i="7"/>
  <c r="A283" i="7"/>
  <c r="C283" i="7"/>
  <c r="A284" i="7"/>
  <c r="C284" i="7"/>
  <c r="A285" i="7"/>
  <c r="C285" i="7"/>
  <c r="A286" i="7"/>
  <c r="C286" i="7"/>
  <c r="A287" i="7"/>
  <c r="C287" i="7"/>
  <c r="A288" i="7"/>
  <c r="C288" i="7"/>
  <c r="A289" i="7"/>
  <c r="C289" i="7"/>
  <c r="A290" i="7"/>
  <c r="C290" i="7"/>
  <c r="A291" i="7"/>
  <c r="C291" i="7"/>
  <c r="A292" i="7"/>
  <c r="C292" i="7"/>
  <c r="A293" i="7"/>
  <c r="C293" i="7"/>
  <c r="A294" i="7"/>
  <c r="C294" i="7"/>
  <c r="A295" i="7"/>
  <c r="C295" i="7"/>
  <c r="A296" i="7"/>
  <c r="C296" i="7"/>
  <c r="A297" i="7"/>
  <c r="C297" i="7"/>
  <c r="A298" i="7"/>
  <c r="C298" i="7"/>
  <c r="A299" i="7"/>
  <c r="C299" i="7"/>
  <c r="A300" i="7"/>
  <c r="C300" i="7"/>
  <c r="A301" i="7"/>
  <c r="C301" i="7"/>
  <c r="A302" i="7"/>
  <c r="C302" i="7"/>
  <c r="A303" i="7"/>
  <c r="C303" i="7"/>
  <c r="A304" i="7"/>
  <c r="C304" i="7"/>
  <c r="A305" i="7"/>
  <c r="C305" i="7"/>
  <c r="A306" i="7"/>
  <c r="C306" i="7"/>
  <c r="A307" i="7"/>
  <c r="C307" i="7"/>
  <c r="A308" i="7"/>
  <c r="C308" i="7"/>
  <c r="A309" i="7"/>
  <c r="C309" i="7"/>
  <c r="A310" i="7"/>
  <c r="C310" i="7"/>
  <c r="A311" i="7"/>
  <c r="C311" i="7"/>
  <c r="A312" i="7"/>
  <c r="C312" i="7"/>
  <c r="A313" i="7"/>
  <c r="C313" i="7"/>
  <c r="A314" i="7"/>
  <c r="C314" i="7"/>
  <c r="A315" i="7"/>
  <c r="C315" i="7"/>
  <c r="A316" i="7"/>
  <c r="C316" i="7"/>
  <c r="A317" i="7"/>
  <c r="C317" i="7"/>
  <c r="A321" i="7"/>
  <c r="C321" i="7"/>
  <c r="A322" i="7"/>
  <c r="C322" i="7"/>
  <c r="A323" i="7"/>
  <c r="C323" i="7"/>
  <c r="A324" i="7"/>
  <c r="C324" i="7"/>
  <c r="A325" i="7"/>
  <c r="C325" i="7"/>
  <c r="A326" i="7"/>
  <c r="C326" i="7"/>
  <c r="A327" i="7"/>
  <c r="C327" i="7"/>
  <c r="A328" i="7"/>
  <c r="C328" i="7"/>
  <c r="A329" i="7"/>
  <c r="C329" i="7"/>
  <c r="A330" i="7"/>
  <c r="C330" i="7"/>
  <c r="A331" i="7"/>
  <c r="C331" i="7"/>
  <c r="A332" i="7"/>
  <c r="C332" i="7"/>
  <c r="A333" i="7"/>
  <c r="C333" i="7"/>
  <c r="A334" i="7"/>
  <c r="C334" i="7"/>
  <c r="A335" i="7"/>
  <c r="C335" i="7"/>
  <c r="A336" i="7"/>
  <c r="C336" i="7"/>
  <c r="A337" i="7"/>
  <c r="C337" i="7"/>
  <c r="A338" i="7"/>
  <c r="C338" i="7"/>
  <c r="A339" i="7"/>
  <c r="C339" i="7"/>
  <c r="A340" i="7"/>
  <c r="C340" i="7"/>
  <c r="A341" i="7"/>
  <c r="C341" i="7"/>
  <c r="A342" i="7"/>
  <c r="C342" i="7"/>
  <c r="A343" i="7"/>
  <c r="C343" i="7"/>
  <c r="A344" i="7"/>
  <c r="C344" i="7"/>
  <c r="A345" i="7"/>
  <c r="C345" i="7"/>
  <c r="A346" i="7"/>
  <c r="C346" i="7"/>
  <c r="A347" i="7"/>
  <c r="C347" i="7"/>
  <c r="A348" i="7"/>
  <c r="C348" i="7"/>
  <c r="A349" i="7"/>
  <c r="C349" i="7"/>
  <c r="A350" i="7"/>
  <c r="C350" i="7"/>
  <c r="A351" i="7"/>
  <c r="C351" i="7"/>
  <c r="A352" i="7"/>
  <c r="C352" i="7"/>
  <c r="A353" i="7"/>
  <c r="C353" i="7"/>
  <c r="A354" i="7"/>
  <c r="C354" i="7"/>
  <c r="A355" i="7"/>
  <c r="C355" i="7"/>
  <c r="A356" i="7"/>
  <c r="C356" i="7"/>
  <c r="A357" i="7"/>
  <c r="C357" i="7"/>
  <c r="A358" i="7"/>
  <c r="C358" i="7"/>
  <c r="A359" i="7"/>
  <c r="C359" i="7"/>
  <c r="A360" i="7"/>
  <c r="C360" i="7"/>
  <c r="A361" i="7"/>
  <c r="C361" i="7"/>
  <c r="A362" i="7"/>
  <c r="C362" i="7"/>
  <c r="A363" i="7"/>
  <c r="C363" i="7"/>
  <c r="A364" i="7"/>
  <c r="C364" i="7"/>
  <c r="A365" i="7"/>
  <c r="C365" i="7"/>
  <c r="A366" i="7"/>
  <c r="C366" i="7"/>
  <c r="A367" i="7"/>
  <c r="C367" i="7"/>
  <c r="A368" i="7"/>
  <c r="C368" i="7"/>
  <c r="A369" i="7"/>
  <c r="C369" i="7"/>
  <c r="A370" i="7"/>
  <c r="C370" i="7"/>
  <c r="A371" i="7"/>
  <c r="C371" i="7"/>
  <c r="A372" i="7"/>
  <c r="C372" i="7"/>
  <c r="A373" i="7"/>
  <c r="C373" i="7"/>
  <c r="A374" i="7"/>
  <c r="C374" i="7"/>
  <c r="A375" i="7"/>
  <c r="C375" i="7"/>
  <c r="A376" i="7"/>
  <c r="C376" i="7"/>
  <c r="A377" i="7"/>
  <c r="C377" i="7"/>
  <c r="A378" i="7"/>
  <c r="C378" i="7"/>
  <c r="H261" i="1" l="1"/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3" i="1"/>
  <c r="H147" i="1" l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T1" i="1"/>
  <c r="S1" i="1"/>
  <c r="R1" i="1"/>
  <c r="Q1" i="1"/>
  <c r="P1" i="1"/>
  <c r="O1" i="1"/>
  <c r="N1" i="1"/>
  <c r="P67" i="19" l="1"/>
  <c r="Q67" i="19" s="1"/>
  <c r="P66" i="19"/>
  <c r="Q66" i="19" s="1"/>
  <c r="P65" i="19"/>
  <c r="Q65" i="19" s="1"/>
  <c r="P64" i="19"/>
  <c r="Q64" i="19" s="1"/>
  <c r="P62" i="19"/>
  <c r="Q62" i="19" s="1"/>
  <c r="P61" i="19"/>
  <c r="Q61" i="19" s="1"/>
  <c r="P60" i="19"/>
  <c r="Q60" i="19" s="1"/>
  <c r="P58" i="19"/>
  <c r="Q58" i="19" s="1"/>
  <c r="P57" i="19"/>
  <c r="Q57" i="19" s="1"/>
  <c r="P56" i="19"/>
  <c r="Q56" i="19" s="1"/>
  <c r="P50" i="19"/>
  <c r="Q50" i="19" s="1"/>
  <c r="P49" i="19"/>
  <c r="Q49" i="19" s="1"/>
  <c r="P48" i="19"/>
  <c r="Q48" i="19" s="1"/>
  <c r="P47" i="19"/>
  <c r="Q47" i="19" s="1"/>
  <c r="P45" i="19"/>
  <c r="Q45" i="19" s="1"/>
  <c r="P44" i="19"/>
  <c r="Q44" i="19" s="1"/>
  <c r="P43" i="19"/>
  <c r="Q43" i="19" s="1"/>
  <c r="P41" i="19"/>
  <c r="Q41" i="19" s="1"/>
  <c r="P40" i="19"/>
  <c r="Q40" i="19" s="1"/>
  <c r="P39" i="19"/>
  <c r="Q39" i="19" s="1"/>
  <c r="P28" i="19"/>
  <c r="Q28" i="19" s="1"/>
  <c r="P29" i="19"/>
  <c r="Q29" i="19" s="1"/>
  <c r="P32" i="19"/>
  <c r="Q32" i="19" s="1"/>
  <c r="P31" i="19"/>
  <c r="Q31" i="19" s="1"/>
  <c r="P30" i="19"/>
  <c r="Q30" i="19" s="1"/>
  <c r="P26" i="19"/>
  <c r="Q26" i="19" s="1"/>
  <c r="P25" i="19"/>
  <c r="Q25" i="19" s="1"/>
  <c r="P24" i="19"/>
  <c r="Q24" i="19" s="1"/>
  <c r="P22" i="19"/>
  <c r="Q22" i="19" s="1"/>
  <c r="P21" i="19"/>
  <c r="Q21" i="19" s="1"/>
  <c r="P20" i="19"/>
  <c r="Q20" i="19" s="1"/>
  <c r="P14" i="19"/>
  <c r="Q14" i="19" s="1"/>
  <c r="P13" i="19"/>
  <c r="Q13" i="19" s="1"/>
  <c r="P12" i="19"/>
  <c r="Q12" i="19" s="1"/>
  <c r="P11" i="19"/>
  <c r="Q11" i="19" s="1"/>
  <c r="P9" i="19"/>
  <c r="Q9" i="19" s="1"/>
  <c r="P8" i="19"/>
  <c r="Q8" i="19" s="1"/>
  <c r="P7" i="19"/>
  <c r="Q7" i="19" s="1"/>
  <c r="P5" i="19"/>
  <c r="Q5" i="19" s="1"/>
  <c r="P4" i="19"/>
  <c r="Q4" i="19" s="1"/>
  <c r="P3" i="19"/>
  <c r="Q3" i="19" s="1"/>
  <c r="J68" i="19"/>
  <c r="I68" i="19"/>
  <c r="H68" i="19"/>
  <c r="G68" i="19"/>
  <c r="F68" i="19"/>
  <c r="J63" i="19"/>
  <c r="I63" i="19"/>
  <c r="H63" i="19"/>
  <c r="G63" i="19"/>
  <c r="F63" i="19"/>
  <c r="J51" i="19"/>
  <c r="I51" i="19"/>
  <c r="H51" i="19"/>
  <c r="G51" i="19"/>
  <c r="F51" i="19"/>
  <c r="J46" i="19"/>
  <c r="I46" i="19"/>
  <c r="H46" i="19"/>
  <c r="G46" i="19"/>
  <c r="F46" i="19"/>
  <c r="J33" i="19"/>
  <c r="I33" i="19"/>
  <c r="H33" i="19"/>
  <c r="G33" i="19"/>
  <c r="F33" i="19"/>
  <c r="J27" i="19"/>
  <c r="I27" i="19"/>
  <c r="H27" i="19"/>
  <c r="G27" i="19"/>
  <c r="F27" i="19"/>
  <c r="J15" i="19"/>
  <c r="I15" i="19"/>
  <c r="H15" i="19"/>
  <c r="G15" i="19"/>
  <c r="F15" i="19"/>
  <c r="J10" i="19"/>
  <c r="I10" i="19"/>
  <c r="H10" i="19"/>
  <c r="G10" i="19"/>
  <c r="F10" i="19"/>
  <c r="M68" i="19"/>
  <c r="P68" i="19" s="1"/>
  <c r="E68" i="19"/>
  <c r="L67" i="19"/>
  <c r="N67" i="19" s="1"/>
  <c r="K67" i="19"/>
  <c r="L66" i="19"/>
  <c r="N66" i="19" s="1"/>
  <c r="K66" i="19"/>
  <c r="L65" i="19"/>
  <c r="N65" i="19" s="1"/>
  <c r="K65" i="19"/>
  <c r="L64" i="19"/>
  <c r="N64" i="19" s="1"/>
  <c r="K64" i="19"/>
  <c r="M63" i="19"/>
  <c r="P63" i="19" s="1"/>
  <c r="Q63" i="19" s="1"/>
  <c r="E63" i="19"/>
  <c r="L62" i="19"/>
  <c r="N62" i="19" s="1"/>
  <c r="K62" i="19"/>
  <c r="L61" i="19"/>
  <c r="N61" i="19" s="1"/>
  <c r="K61" i="19"/>
  <c r="L60" i="19"/>
  <c r="N60" i="19" s="1"/>
  <c r="K60" i="19"/>
  <c r="M59" i="19"/>
  <c r="P59" i="19" s="1"/>
  <c r="Q59" i="19" s="1"/>
  <c r="J59" i="19"/>
  <c r="I59" i="19"/>
  <c r="H59" i="19"/>
  <c r="G59" i="19"/>
  <c r="E59" i="19"/>
  <c r="L58" i="19"/>
  <c r="N58" i="19" s="1"/>
  <c r="K58" i="19"/>
  <c r="L57" i="19"/>
  <c r="N57" i="19" s="1"/>
  <c r="K57" i="19"/>
  <c r="L56" i="19"/>
  <c r="N56" i="19" s="1"/>
  <c r="K56" i="19"/>
  <c r="K41" i="19"/>
  <c r="K40" i="19"/>
  <c r="K39" i="19"/>
  <c r="L11" i="19"/>
  <c r="N11" i="19" s="1"/>
  <c r="L12" i="19"/>
  <c r="N12" i="19" s="1"/>
  <c r="E42" i="19"/>
  <c r="K31" i="19"/>
  <c r="L31" i="19"/>
  <c r="N31" i="19" s="1"/>
  <c r="E23" i="19"/>
  <c r="M51" i="19"/>
  <c r="P51" i="19" s="1"/>
  <c r="E51" i="19"/>
  <c r="L50" i="19"/>
  <c r="N50" i="19" s="1"/>
  <c r="K50" i="19"/>
  <c r="L49" i="19"/>
  <c r="N49" i="19" s="1"/>
  <c r="K49" i="19"/>
  <c r="L48" i="19"/>
  <c r="N48" i="19" s="1"/>
  <c r="K48" i="19"/>
  <c r="L47" i="19"/>
  <c r="N47" i="19" s="1"/>
  <c r="K47" i="19"/>
  <c r="M46" i="19"/>
  <c r="P46" i="19" s="1"/>
  <c r="Q46" i="19" s="1"/>
  <c r="E46" i="19"/>
  <c r="L45" i="19"/>
  <c r="N45" i="19" s="1"/>
  <c r="K45" i="19"/>
  <c r="L44" i="19"/>
  <c r="N44" i="19" s="1"/>
  <c r="K44" i="19"/>
  <c r="L43" i="19"/>
  <c r="N43" i="19" s="1"/>
  <c r="K43" i="19"/>
  <c r="M42" i="19"/>
  <c r="P42" i="19" s="1"/>
  <c r="Q42" i="19" s="1"/>
  <c r="J42" i="19"/>
  <c r="I42" i="19"/>
  <c r="H42" i="19"/>
  <c r="G42" i="19"/>
  <c r="L41" i="19"/>
  <c r="N41" i="19" s="1"/>
  <c r="L40" i="19"/>
  <c r="N40" i="19" s="1"/>
  <c r="L39" i="19"/>
  <c r="N39" i="19" s="1"/>
  <c r="M33" i="19"/>
  <c r="E33" i="19"/>
  <c r="L32" i="19"/>
  <c r="N32" i="19" s="1"/>
  <c r="K32" i="19"/>
  <c r="L30" i="19"/>
  <c r="N30" i="19" s="1"/>
  <c r="K30" i="19"/>
  <c r="L29" i="19"/>
  <c r="N29" i="19" s="1"/>
  <c r="K29" i="19"/>
  <c r="L28" i="19"/>
  <c r="N28" i="19" s="1"/>
  <c r="K28" i="19"/>
  <c r="M27" i="19"/>
  <c r="P27" i="19" s="1"/>
  <c r="Q27" i="19" s="1"/>
  <c r="E27" i="19"/>
  <c r="L26" i="19"/>
  <c r="N26" i="19" s="1"/>
  <c r="K26" i="19"/>
  <c r="L25" i="19"/>
  <c r="N25" i="19" s="1"/>
  <c r="K25" i="19"/>
  <c r="L24" i="19"/>
  <c r="N24" i="19" s="1"/>
  <c r="K24" i="19"/>
  <c r="M23" i="19"/>
  <c r="P23" i="19" s="1"/>
  <c r="Q23" i="19" s="1"/>
  <c r="J23" i="19"/>
  <c r="I23" i="19"/>
  <c r="H23" i="19"/>
  <c r="G23" i="19"/>
  <c r="L22" i="19"/>
  <c r="N22" i="19" s="1"/>
  <c r="K22" i="19"/>
  <c r="L21" i="19"/>
  <c r="N21" i="19" s="1"/>
  <c r="K21" i="19"/>
  <c r="L20" i="19"/>
  <c r="N20" i="19" s="1"/>
  <c r="K20" i="19"/>
  <c r="K14" i="19"/>
  <c r="K13" i="19"/>
  <c r="K12" i="19"/>
  <c r="K11" i="19"/>
  <c r="M15" i="19"/>
  <c r="P15" i="19" s="1"/>
  <c r="L14" i="19"/>
  <c r="N14" i="19" s="1"/>
  <c r="L13" i="19"/>
  <c r="N13" i="19" s="1"/>
  <c r="E15" i="19"/>
  <c r="E10" i="19"/>
  <c r="K7" i="19"/>
  <c r="K3" i="19"/>
  <c r="M10" i="19"/>
  <c r="P10" i="19" s="1"/>
  <c r="L9" i="19"/>
  <c r="N9" i="19" s="1"/>
  <c r="L8" i="19"/>
  <c r="N8" i="19" s="1"/>
  <c r="L7" i="19"/>
  <c r="N7" i="19" s="1"/>
  <c r="K9" i="19"/>
  <c r="K8" i="19"/>
  <c r="L5" i="19"/>
  <c r="L4" i="19"/>
  <c r="L3" i="19"/>
  <c r="N3" i="19" s="1"/>
  <c r="J6" i="19"/>
  <c r="I6" i="19"/>
  <c r="H6" i="19"/>
  <c r="G6" i="19"/>
  <c r="K5" i="19"/>
  <c r="K4" i="19"/>
  <c r="T5" i="19" l="1"/>
  <c r="P69" i="19"/>
  <c r="Q68" i="19"/>
  <c r="Q69" i="19" s="1"/>
  <c r="Q51" i="19"/>
  <c r="Q52" i="19" s="1"/>
  <c r="P52" i="19"/>
  <c r="Q33" i="19"/>
  <c r="Q34" i="19" s="1"/>
  <c r="P33" i="19"/>
  <c r="P34" i="19" s="1"/>
  <c r="Q15" i="19"/>
  <c r="Q10" i="19"/>
  <c r="U5" i="19" s="1"/>
  <c r="F16" i="19"/>
  <c r="E69" i="19"/>
  <c r="G34" i="19"/>
  <c r="I16" i="19"/>
  <c r="G69" i="19"/>
  <c r="G16" i="19"/>
  <c r="J16" i="19"/>
  <c r="F52" i="19"/>
  <c r="E52" i="19"/>
  <c r="H16" i="19"/>
  <c r="H34" i="19"/>
  <c r="F34" i="19"/>
  <c r="I34" i="19"/>
  <c r="J34" i="19"/>
  <c r="G52" i="19"/>
  <c r="H52" i="19"/>
  <c r="F69" i="19"/>
  <c r="I52" i="19"/>
  <c r="J52" i="19"/>
  <c r="J69" i="19"/>
  <c r="H69" i="19"/>
  <c r="I69" i="19"/>
  <c r="K59" i="19"/>
  <c r="N59" i="19"/>
  <c r="K63" i="19"/>
  <c r="N63" i="19"/>
  <c r="K68" i="19"/>
  <c r="M69" i="19"/>
  <c r="N68" i="19"/>
  <c r="E34" i="19"/>
  <c r="E16" i="19"/>
  <c r="K46" i="19"/>
  <c r="K42" i="19"/>
  <c r="N42" i="19"/>
  <c r="N46" i="19"/>
  <c r="K51" i="19"/>
  <c r="K27" i="19"/>
  <c r="K33" i="19"/>
  <c r="M52" i="19"/>
  <c r="N23" i="19"/>
  <c r="N51" i="19"/>
  <c r="N27" i="19"/>
  <c r="K23" i="19"/>
  <c r="M34" i="19"/>
  <c r="N33" i="19"/>
  <c r="K15" i="19"/>
  <c r="N15" i="19"/>
  <c r="N10" i="19"/>
  <c r="K10" i="19"/>
  <c r="M6" i="19"/>
  <c r="N5" i="19"/>
  <c r="N4" i="19"/>
  <c r="K6" i="19"/>
  <c r="U6" i="19" l="1"/>
  <c r="T6" i="19"/>
  <c r="M16" i="19"/>
  <c r="P6" i="19"/>
  <c r="I71" i="19"/>
  <c r="F71" i="19"/>
  <c r="H71" i="19"/>
  <c r="G71" i="19"/>
  <c r="J71" i="19"/>
  <c r="E71" i="19"/>
  <c r="K69" i="19"/>
  <c r="N69" i="19"/>
  <c r="K34" i="19"/>
  <c r="N34" i="19"/>
  <c r="K52" i="19"/>
  <c r="N52" i="19"/>
  <c r="K16" i="19"/>
  <c r="N6" i="19"/>
  <c r="N16" i="19" s="1"/>
  <c r="Q6" i="19" l="1"/>
  <c r="T4" i="19"/>
  <c r="T7" i="19" s="1"/>
  <c r="P16" i="19"/>
  <c r="P71" i="19" s="1"/>
  <c r="K71" i="19"/>
  <c r="H146" i="1"/>
  <c r="Q16" i="19" l="1"/>
  <c r="Q71" i="19" s="1"/>
  <c r="U4" i="19"/>
  <c r="U7" i="19" s="1"/>
  <c r="H88" i="1" l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26" i="1"/>
  <c r="H27" i="1"/>
  <c r="H28" i="1"/>
  <c r="H29" i="1"/>
  <c r="H30" i="1"/>
  <c r="H31" i="1"/>
  <c r="H32" i="1"/>
  <c r="H33" i="1"/>
  <c r="H3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6" i="1"/>
  <c r="H5" i="1"/>
  <c r="H4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<sst xmlns="http://schemas.openxmlformats.org/spreadsheetml/2006/main" count="16650" uniqueCount="1378">
  <si>
    <t>Store</t>
  </si>
  <si>
    <t>Bill Date</t>
  </si>
  <si>
    <t>Customer ID</t>
  </si>
  <si>
    <t>Division</t>
  </si>
  <si>
    <t>Section</t>
  </si>
  <si>
    <t>Department</t>
  </si>
  <si>
    <t>Node</t>
  </si>
  <si>
    <t>Barcode</t>
  </si>
  <si>
    <t>Icode</t>
  </si>
  <si>
    <t>Vendor Article Number</t>
  </si>
  <si>
    <t>Item Name</t>
  </si>
  <si>
    <t>Size</t>
  </si>
  <si>
    <t>MRP</t>
  </si>
  <si>
    <t>RSP</t>
  </si>
  <si>
    <t>Qty</t>
  </si>
  <si>
    <t>Basic Amt</t>
  </si>
  <si>
    <t>Promo Amt</t>
  </si>
  <si>
    <t>Coupon Amt</t>
  </si>
  <si>
    <t>Net Sale Amt</t>
  </si>
  <si>
    <t>Payment Mode</t>
  </si>
  <si>
    <t>Broadway-Pune</t>
  </si>
  <si>
    <t>23/03/2026</t>
  </si>
  <si>
    <t>B91913F4EFFB</t>
  </si>
  <si>
    <t>Clothing</t>
  </si>
  <si>
    <t>Men</t>
  </si>
  <si>
    <t>Topwear</t>
  </si>
  <si>
    <t>Tshirts</t>
  </si>
  <si>
    <t>Crazy Mosquitoes</t>
  </si>
  <si>
    <t>BD1358785</t>
  </si>
  <si>
    <t>Crazy Mosquitoes-Men-Topwear-Tshirts-Tshirts-Black-Black-Onesize</t>
  </si>
  <si>
    <t>Onesize</t>
  </si>
  <si>
    <t>Card</t>
  </si>
  <si>
    <t>22/03/2026</t>
  </si>
  <si>
    <t>8D2838FDA88D</t>
  </si>
  <si>
    <t>Shirt</t>
  </si>
  <si>
    <t>BD1385614</t>
  </si>
  <si>
    <t>8905302263226_Gre_XL</t>
  </si>
  <si>
    <t>Crazy Mosquitoes-Men-Topwear-Shirt-Shirt-Grey-Grey-XL</t>
  </si>
  <si>
    <t>XL</t>
  </si>
  <si>
    <t>Cash, Pinelab UPI</t>
  </si>
  <si>
    <t>6DB5604E9DBD</t>
  </si>
  <si>
    <t>BD1385622</t>
  </si>
  <si>
    <t>8905302263234_Mus_L</t>
  </si>
  <si>
    <t>Crazy Mosquitoes-Men-Topwear-Shirt-Shirt-Mustard-Mustard-L</t>
  </si>
  <si>
    <t>L</t>
  </si>
  <si>
    <t>Pinelab Card</t>
  </si>
  <si>
    <t>A4EB5E62ECF1</t>
  </si>
  <si>
    <t>BD1358754</t>
  </si>
  <si>
    <t>8905202269106_Whi_XL</t>
  </si>
  <si>
    <t>Crazy Mosquitoes-Men-Topwear-Tshirts-Tshirts-White-White-XL</t>
  </si>
  <si>
    <t>Pinelab UPI</t>
  </si>
  <si>
    <t>E89D8C4F7DAD</t>
  </si>
  <si>
    <t>BD1358769</t>
  </si>
  <si>
    <t>Crazy Mosquitoes-Men-Topwear-Tshirts-Tshirts-Black-Black-S</t>
  </si>
  <si>
    <t>S</t>
  </si>
  <si>
    <t>Cash</t>
  </si>
  <si>
    <t>21/03/2026</t>
  </si>
  <si>
    <t>984DDD01B20F</t>
  </si>
  <si>
    <t>BD1358792</t>
  </si>
  <si>
    <t>8905202264842_Bla_M</t>
  </si>
  <si>
    <t>Crazy Mosquitoes-Men-Topwear-Tshirts-Tshirts-Black-Black-M</t>
  </si>
  <si>
    <t>M</t>
  </si>
  <si>
    <t>Broadway-Hyderabad</t>
  </si>
  <si>
    <t>1005952B2609</t>
  </si>
  <si>
    <t>Bottomwear</t>
  </si>
  <si>
    <t>Jeans</t>
  </si>
  <si>
    <t>BD1385603</t>
  </si>
  <si>
    <t>8905302263211_Blu_M</t>
  </si>
  <si>
    <t>Crazy Mosquitoes-Men-Bottomwear-Jeans-Denim-Blue-Ice Blue-M</t>
  </si>
  <si>
    <t>20/03/2026</t>
  </si>
  <si>
    <t>84F8CE9740E6</t>
  </si>
  <si>
    <t>BD1385618</t>
  </si>
  <si>
    <t>8905302263231_Bei_L</t>
  </si>
  <si>
    <t>Crazy Mosquitoes-Men-Topwear-Shirt-Shirt-Beige-Beige-L</t>
  </si>
  <si>
    <t>Credit Note Received, Cash</t>
  </si>
  <si>
    <t>7E9CFD5F0908</t>
  </si>
  <si>
    <t>BD1385625</t>
  </si>
  <si>
    <t>8905302263236_Cha_S</t>
  </si>
  <si>
    <t>Crazy Mosquitoes-Men-Topwear-Shirt-Shirt-Charcoal-Charcoal-S</t>
  </si>
  <si>
    <t>19/03/2026</t>
  </si>
  <si>
    <t>492135A226C1</t>
  </si>
  <si>
    <t>BD1385602</t>
  </si>
  <si>
    <t>8905302263213_Blu_XXL</t>
  </si>
  <si>
    <t>Crazy Mosquitoes-Men-Bottomwear-Jeans-Denim-Blue-Ice Blue-XXL</t>
  </si>
  <si>
    <t>XXL</t>
  </si>
  <si>
    <t>BD1358807</t>
  </si>
  <si>
    <t>8905202264910_Blu_XL</t>
  </si>
  <si>
    <t>Crazy Mosquitoes-Men-Topwear-Tshirts-Tshirts-Blue-Blue-XL</t>
  </si>
  <si>
    <t>38CE27EB68C3</t>
  </si>
  <si>
    <t>BD1385623</t>
  </si>
  <si>
    <t>8905302263230_Bei_M</t>
  </si>
  <si>
    <t>Crazy Mosquitoes-Men-Topwear-Shirt-Shirt-Beige-Beige-M</t>
  </si>
  <si>
    <t>B5F8E44E2932</t>
  </si>
  <si>
    <t>BD1358771</t>
  </si>
  <si>
    <t>Crazy Mosquitoes-Men-Topwear-Tshirts-Tshirts-Black-Black-L</t>
  </si>
  <si>
    <t>BD1358758</t>
  </si>
  <si>
    <t>8905202269427_Red_L</t>
  </si>
  <si>
    <t>Crazy Mosquitoes-Men-Topwear-Tshirts-Tshirts-Red-Red-L</t>
  </si>
  <si>
    <t>8B11D4A079F0</t>
  </si>
  <si>
    <t>BD1386695</t>
  </si>
  <si>
    <t>8905302263245_Blu_L</t>
  </si>
  <si>
    <t>Crazy Mosquitoes-Men-Topwear-Shirt-Tshirt-Blue-Blue-L</t>
  </si>
  <si>
    <t>72BDB16F6837</t>
  </si>
  <si>
    <t>BD1385599</t>
  </si>
  <si>
    <t>8905302263212_Blu_L</t>
  </si>
  <si>
    <t>Crazy Mosquitoes-Men-Bottomwear-Jeans-Denim-Blue-Ice Blue-L</t>
  </si>
  <si>
    <t>18/03/2026</t>
  </si>
  <si>
    <t>E7EC8E6A9C7C</t>
  </si>
  <si>
    <t>BD1385608</t>
  </si>
  <si>
    <t>8905302263224_Gre_M</t>
  </si>
  <si>
    <t>Crazy Mosquitoes-Men-Topwear-Shirt-Shirt-Grey-Grey-M</t>
  </si>
  <si>
    <t>BD1385613</t>
  </si>
  <si>
    <t>8905302263227_Oli_M</t>
  </si>
  <si>
    <t>Crazy Mosquitoes-Men-Topwear-Shirt-Shirt-Olive-Olive-M</t>
  </si>
  <si>
    <t>17/03/2026</t>
  </si>
  <si>
    <t>41ABF2E97528</t>
  </si>
  <si>
    <t>BD1385611</t>
  </si>
  <si>
    <t>8905302263225_Gre_L</t>
  </si>
  <si>
    <t>Crazy Mosquitoes-Men-Topwear-Shirt-Shirt-Grey-Grey-L</t>
  </si>
  <si>
    <t>15/03/2026</t>
  </si>
  <si>
    <t>6F3943FD635B</t>
  </si>
  <si>
    <t>BD1358764</t>
  </si>
  <si>
    <t>8905202269328_Blu_L</t>
  </si>
  <si>
    <t>Crazy Mosquitoes-Men-Topwear-Tshirts-Tshirts-Blue-Blue-L</t>
  </si>
  <si>
    <t>14/03/2026</t>
  </si>
  <si>
    <t>E0C68D03F674</t>
  </si>
  <si>
    <t>BD1358760</t>
  </si>
  <si>
    <t>8905202269359_Blu_XL</t>
  </si>
  <si>
    <t>06/03/2026</t>
  </si>
  <si>
    <t>3DE81A07680F</t>
  </si>
  <si>
    <t>BD1358793</t>
  </si>
  <si>
    <t>8905202264873_Bla_L</t>
  </si>
  <si>
    <t>04/03/2026</t>
  </si>
  <si>
    <t>5FF466E18B2B</t>
  </si>
  <si>
    <t>01/03/2026</t>
  </si>
  <si>
    <t>83AFB14CD121</t>
  </si>
  <si>
    <t>Women</t>
  </si>
  <si>
    <t>BD1358885</t>
  </si>
  <si>
    <t>Crazy Mosquitoes-Women-Topwear-Tshirts-Tshirts-Black-Black-M</t>
  </si>
  <si>
    <t>BD1358892</t>
  </si>
  <si>
    <t>Crazy Mosquitoes-Women-Topwear-Tshirts-Tshirts-Red-Red-M</t>
  </si>
  <si>
    <t>C16E3647601A</t>
  </si>
  <si>
    <t>BD1358752</t>
  </si>
  <si>
    <t>8905202269076_Whi_L</t>
  </si>
  <si>
    <t>Crazy Mosquitoes-Men-Topwear-Tshirts-Tshirts-White-White-L</t>
  </si>
  <si>
    <t>Cash, Gift Voucher</t>
  </si>
  <si>
    <t>CCAE25E6708E</t>
  </si>
  <si>
    <t>BD1358794</t>
  </si>
  <si>
    <t>8905202264866_Bla_XL</t>
  </si>
  <si>
    <t>Crazy Mosquitoes-Men-Topwear-Tshirts-Tshirts-Black-Black-XL</t>
  </si>
  <si>
    <t>Mustard</t>
  </si>
  <si>
    <t>Dual Snakes</t>
  </si>
  <si>
    <t>Core Crop Red</t>
  </si>
  <si>
    <t>25/01/2026</t>
  </si>
  <si>
    <t>E1629BAA146E</t>
  </si>
  <si>
    <t>BD1358756</t>
  </si>
  <si>
    <t>8905202269434_Red_M</t>
  </si>
  <si>
    <t>Crazy Mosquitoes-Men-Topwear-Tshirts-Tshirts-Red-Red-M</t>
  </si>
  <si>
    <t>24/01/2026</t>
  </si>
  <si>
    <t>2581B944517C</t>
  </si>
  <si>
    <t>Sweatshirts</t>
  </si>
  <si>
    <t>BD1358815</t>
  </si>
  <si>
    <t>8905202263135_Red_XL</t>
  </si>
  <si>
    <t>Crazy Mosquitoes-Men-Topwear-Sweatshirts-Sweatshirts-Red-Red-XL</t>
  </si>
  <si>
    <t>4886B15E2D12</t>
  </si>
  <si>
    <t>BD1358828</t>
  </si>
  <si>
    <t>8905202263142_Blu_S</t>
  </si>
  <si>
    <t>Crazy Mosquitoes-Men-Topwear-Sweatshirts-Sweatshirts-Blue-Blue-S</t>
  </si>
  <si>
    <t>BD1358839</t>
  </si>
  <si>
    <t>Crazy Mosquitoes-Men-Topwear-Sweatshirts-Sweatshirts-Blue-Blue-M</t>
  </si>
  <si>
    <t>23/01/2026</t>
  </si>
  <si>
    <t>EC4D133416A0</t>
  </si>
  <si>
    <t>BD1358798</t>
  </si>
  <si>
    <t>Crazy Mosquitoes-Men-Topwear-Tshirts-Tshirts-Grey-Grey-XL</t>
  </si>
  <si>
    <t>BD1358811</t>
  </si>
  <si>
    <t>18/01/2026</t>
  </si>
  <si>
    <t>B3A8FD4D9692</t>
  </si>
  <si>
    <t>BD1358753</t>
  </si>
  <si>
    <t>15/01/2026</t>
  </si>
  <si>
    <t>BEEBE284CC7F</t>
  </si>
  <si>
    <t>BD1358805</t>
  </si>
  <si>
    <t>6C3B16C33324</t>
  </si>
  <si>
    <t>BD1358762</t>
  </si>
  <si>
    <t>8905202269335_Blu_M</t>
  </si>
  <si>
    <t>Crazy Mosquitoes-Men-Topwear-Tshirts-Tshirts-Blue-Blue-M</t>
  </si>
  <si>
    <t>12/01/2026</t>
  </si>
  <si>
    <t>16FDCCE866C6</t>
  </si>
  <si>
    <t>11/01/2026</t>
  </si>
  <si>
    <t>C3D6BA930C45</t>
  </si>
  <si>
    <t>BD1358743</t>
  </si>
  <si>
    <t>8905202269083_Whi_M</t>
  </si>
  <si>
    <t>Crazy Mosquitoes-Men-Topwear-Tshirts-Tshirts-White-White-M</t>
  </si>
  <si>
    <t>BD1358759</t>
  </si>
  <si>
    <t>10/01/2026</t>
  </si>
  <si>
    <t>12EF2D177796</t>
  </si>
  <si>
    <t>09/01/2026</t>
  </si>
  <si>
    <t>433C1185AB10</t>
  </si>
  <si>
    <t>05/01/2026</t>
  </si>
  <si>
    <t>5220E0BF002E</t>
  </si>
  <si>
    <t>BD1358883</t>
  </si>
  <si>
    <t>Crazy Mosquitoes-Women-Topwear-Tshirts-Tshirts-Black-Black-S</t>
  </si>
  <si>
    <t>04/01/2026</t>
  </si>
  <si>
    <t>6BEEDECE8462</t>
  </si>
  <si>
    <t>BD1358803</t>
  </si>
  <si>
    <t>99FA79BA7F97</t>
  </si>
  <si>
    <t>BD1358814</t>
  </si>
  <si>
    <t>8905202263104_Red_L</t>
  </si>
  <si>
    <t>Crazy Mosquitoes-Men-Topwear-Sweatshirts-Sweatshirts-Red-Red-L</t>
  </si>
  <si>
    <t>02/01/2026</t>
  </si>
  <si>
    <t>BD1358826</t>
  </si>
  <si>
    <t>Crazy Mosquitoes-Men-Topwear-Sweatshirts-Sweatshirts-Black-Black-S</t>
  </si>
  <si>
    <t>22/02/2026</t>
  </si>
  <si>
    <t>98F00C0FAC60</t>
  </si>
  <si>
    <t>BD1358808</t>
  </si>
  <si>
    <t>8905202265047_Blu_M</t>
  </si>
  <si>
    <t>16/02/2026</t>
  </si>
  <si>
    <t>12B5C7E6DE13</t>
  </si>
  <si>
    <t>BD1358788</t>
  </si>
  <si>
    <t>8905202264774_Whi_L</t>
  </si>
  <si>
    <t>13/02/2026</t>
  </si>
  <si>
    <t>BF05EE6CA6D4</t>
  </si>
  <si>
    <t>BD1358787</t>
  </si>
  <si>
    <t>8905202264743_Whi_M</t>
  </si>
  <si>
    <t>238C4B73D7A2</t>
  </si>
  <si>
    <t>10/02/2026</t>
  </si>
  <si>
    <t>3A5D291D76DB</t>
  </si>
  <si>
    <t>BD1358824</t>
  </si>
  <si>
    <t>Crazy Mosquitoes-Men-Topwear-Sweatshirts-Sweatshirts-Black-Black-L</t>
  </si>
  <si>
    <t>08/02/2026</t>
  </si>
  <si>
    <t>D2D786B7D62E</t>
  </si>
  <si>
    <t>07/02/2026</t>
  </si>
  <si>
    <t>FDBE1A79B0ED</t>
  </si>
  <si>
    <t>BD1358806</t>
  </si>
  <si>
    <t>8905202264927_Blu_L</t>
  </si>
  <si>
    <t>02/02/2026</t>
  </si>
  <si>
    <t>25C1DDE5E97B</t>
  </si>
  <si>
    <t>BD1358827</t>
  </si>
  <si>
    <t>Crazy Mosquitoes-Men-Topwear-Sweatshirts-Sweatshirts-Black-Black-M</t>
  </si>
  <si>
    <t>28/12/2025</t>
  </si>
  <si>
    <t>55672E26637B</t>
  </si>
  <si>
    <t>BD1358849</t>
  </si>
  <si>
    <t>59B304DADCBD</t>
  </si>
  <si>
    <t>27/12/2025</t>
  </si>
  <si>
    <t>1A2458BF22F6</t>
  </si>
  <si>
    <t>BD1358749</t>
  </si>
  <si>
    <t>Crazy Mosquitoes-Men-Topwear-Tshirts-Tshirts-Red-Red-XL</t>
  </si>
  <si>
    <t>Credit Note Received, Pinelab UPI</t>
  </si>
  <si>
    <t>29/03/2026</t>
  </si>
  <si>
    <t>29F863516598</t>
  </si>
  <si>
    <t>BD1358801</t>
  </si>
  <si>
    <t>8905202264859_Bla_XXL</t>
  </si>
  <si>
    <t>Crazy Mosquitoes-Men-Topwear-Tshirts-Tshirts-Black-Black-XXL</t>
  </si>
  <si>
    <t>BD1358765</t>
  </si>
  <si>
    <t>122483EC1569</t>
  </si>
  <si>
    <t>Cash, UPI</t>
  </si>
  <si>
    <t>174698DC2969</t>
  </si>
  <si>
    <t>BD1385584</t>
  </si>
  <si>
    <t>8905302263181_Cha_M</t>
  </si>
  <si>
    <t>Crazy Mosquitoes-Men-Bottomwear-Jeans-Denim-Charcoal-Charcoal Grey-M</t>
  </si>
  <si>
    <t>UPI</t>
  </si>
  <si>
    <t>28/03/2026</t>
  </si>
  <si>
    <t>EED81572CC79</t>
  </si>
  <si>
    <t>27/03/2026</t>
  </si>
  <si>
    <t>534D2A5DBA11</t>
  </si>
  <si>
    <t>26/03/2026</t>
  </si>
  <si>
    <t>BD1385583</t>
  </si>
  <si>
    <t>8905302263180_Cha_S</t>
  </si>
  <si>
    <t>Crazy Mosquitoes-Men-Bottomwear-Jeans-Denim-Charcoal-Charcoal Grey-S</t>
  </si>
  <si>
    <t>25/03/2026</t>
  </si>
  <si>
    <t>BD1385587</t>
  </si>
  <si>
    <t>8905302263177_Blu_L</t>
  </si>
  <si>
    <t>Crazy Mosquitoes-Men-Bottomwear-Jeans-Denim-Blue-Light Acid Blue-L</t>
  </si>
  <si>
    <t>BD1385593</t>
  </si>
  <si>
    <t>8905302263190_Blu_M</t>
  </si>
  <si>
    <t>Crazy Mosquitoes-Men-Bottomwear-Jeans-Denim-Blue-Vintage Blue-M</t>
  </si>
  <si>
    <t>24/03/2026</t>
  </si>
  <si>
    <t>CB3A3B8A988D</t>
  </si>
  <si>
    <t>BD1385621</t>
  </si>
  <si>
    <t>8905302263233_Mus_M</t>
  </si>
  <si>
    <t>Crazy Mosquitoes-Men-Topwear-Shirt-Shirt-Mustard-Mustard-M</t>
  </si>
  <si>
    <t>D73926DBFF20</t>
  </si>
  <si>
    <t>BD1386694</t>
  </si>
  <si>
    <t>8905302263244_Blu_S</t>
  </si>
  <si>
    <t>Crazy Mosquitoes-Men-Topwear-Shirt-Tshirt-Blue-Blue-S</t>
  </si>
  <si>
    <t>Cash, Pinelab Card</t>
  </si>
  <si>
    <t>2CD43552D4DD</t>
  </si>
  <si>
    <t>F8C97FC4B46F</t>
  </si>
  <si>
    <t>BD1358886</t>
  </si>
  <si>
    <t>Crazy Mosquitoes-Women-Topwear-Tshirts-Tshirts-Black-Black-L</t>
  </si>
  <si>
    <t>10D634915642</t>
  </si>
  <si>
    <t>BD1385588</t>
  </si>
  <si>
    <t>8905302263203_Bla_L</t>
  </si>
  <si>
    <t>Crazy Mosquitoes-Men-Bottomwear-Jeans-Denim-Black-Washed Black-L</t>
  </si>
  <si>
    <t>6A0CC210B095</t>
  </si>
  <si>
    <t>Shorts</t>
  </si>
  <si>
    <t>BD1358887</t>
  </si>
  <si>
    <t>Crazy Mosquitoes-Men-Bottomwear-Shorts-Shorts-Navy Blue-Navy Blue-L</t>
  </si>
  <si>
    <t>F74A0382845C</t>
  </si>
  <si>
    <t>14EC85598D1A</t>
  </si>
  <si>
    <t>Parent Article Number</t>
  </si>
  <si>
    <t>EAN Barcode</t>
  </si>
  <si>
    <t>VendorArticleNumber</t>
  </si>
  <si>
    <t>Product Name</t>
  </si>
  <si>
    <t>Brand Name</t>
  </si>
  <si>
    <t>Design / Model</t>
  </si>
  <si>
    <t>Pack Type</t>
  </si>
  <si>
    <t>Product Type</t>
  </si>
  <si>
    <t>ArticleType</t>
  </si>
  <si>
    <t>MRP of the Product</t>
  </si>
  <si>
    <t>Retail Selling Price</t>
  </si>
  <si>
    <t>HSN</t>
  </si>
  <si>
    <t>Tax Rate</t>
  </si>
  <si>
    <t>Product Colour</t>
  </si>
  <si>
    <t>Standard Size</t>
  </si>
  <si>
    <t>Season/Flavour/Variant</t>
  </si>
  <si>
    <t xml:space="preserve">Is Hero Product </t>
  </si>
  <si>
    <t>MENS  Oversized  T-Shirt London</t>
  </si>
  <si>
    <t>Each</t>
  </si>
  <si>
    <t>Commercial Sale</t>
  </si>
  <si>
    <t>a1298e08-ebf2-443e-8f1c-5006ff3d3073</t>
  </si>
  <si>
    <t>White</t>
  </si>
  <si>
    <t>NO</t>
  </si>
  <si>
    <t>Surfer print  drop shoulder crew neck oversized t-shirt.</t>
  </si>
  <si>
    <t>Red</t>
  </si>
  <si>
    <t>YES</t>
  </si>
  <si>
    <t>Extinction Drop Shoulder Terry T-Shirt in Black</t>
  </si>
  <si>
    <t>Black</t>
  </si>
  <si>
    <t xml:space="preserve">Delusion Front Full Print drop shoulder oversized T shirt                     </t>
  </si>
  <si>
    <t>Blue</t>
  </si>
  <si>
    <t xml:space="preserve">Back Graffti print Drop Shoulder Crew Neck T-Shirt                                                 </t>
  </si>
  <si>
    <t xml:space="preserve">Mumbai  Terry Drop Shoulder T-Shirt in Black </t>
  </si>
  <si>
    <t xml:space="preserve">David full print Drop Shoulder Crew Neck T-Shirt                                                 </t>
  </si>
  <si>
    <t xml:space="preserve">X Graphic Terry Free Size Tee in Black </t>
  </si>
  <si>
    <t>Grumpy Face Embroidered Terry Free Size Tee in Black</t>
  </si>
  <si>
    <t>Mosquito Embroidered Terry Free Size Tee in White</t>
  </si>
  <si>
    <t xml:space="preserve"> Pixel print drop  oversized unisex T shirt                     </t>
  </si>
  <si>
    <t xml:space="preserve"> Kitty Gang Oversized T shirt</t>
  </si>
  <si>
    <t>Grey</t>
  </si>
  <si>
    <t xml:space="preserve"> Psy Bear  Terry Drop Shoulder T-Shirt in Black </t>
  </si>
  <si>
    <t xml:space="preserve"> Ballet Queen Drop Shoulder T-Shirt in White</t>
  </si>
  <si>
    <t xml:space="preserve">Stamp Tshirt in Blue </t>
  </si>
  <si>
    <t>Be Crazy not Clown Tshirt</t>
  </si>
  <si>
    <t>Urban Cheetah Oversized Fleece Sweatshirt in Red</t>
  </si>
  <si>
    <t>4f8e5d65-a666-414c-8a2d-9d461696ec18</t>
  </si>
  <si>
    <t>Urban Cheetah Oversized  FLeece Sweatshirt in Red</t>
  </si>
  <si>
    <t>Bear Swag Oversized  FLeece Sweatshirt in Cobalt Blue</t>
  </si>
  <si>
    <t>Ramen Cat Oversized  FLeece Sweatshirt in Black</t>
  </si>
  <si>
    <t>Bengaluru Oversized  FLeece Sweatshirt in Navy</t>
  </si>
  <si>
    <t>Navy Blue</t>
  </si>
  <si>
    <t>Delusion Oversized  FLeece Sweatshirt in Grey Melange</t>
  </si>
  <si>
    <t>Tokyo Graphic Regular  FLeece Sweatshirt in Black</t>
  </si>
  <si>
    <t>Be Strong Regular  FLeece Sweatshirt in Navy</t>
  </si>
  <si>
    <t>Breathe and Buzz Regular  FLeece Hoodie in Navy</t>
  </si>
  <si>
    <t>Dragon Regular  FLeece Hoodie in Black</t>
  </si>
  <si>
    <t>Medusa Oversized  FLeece Applique Hoodie in Black</t>
  </si>
  <si>
    <t>Music Mos Oversized  FLeece Hoodie in Black</t>
  </si>
  <si>
    <t>David Oversized  FLeece Hoodie in Red</t>
  </si>
  <si>
    <t>BeautiFul Heart Oversized  FLeece Hoodie in Grey Melange</t>
  </si>
  <si>
    <t>Bad Attitude Jogger Navy</t>
  </si>
  <si>
    <t>Joggers</t>
  </si>
  <si>
    <t>4f8e5d65-a666-414c-8a2d-9d461696ec70</t>
  </si>
  <si>
    <t>Bad Attitude Jogger Black</t>
  </si>
  <si>
    <t xml:space="preserve">Steam Punk Grey </t>
  </si>
  <si>
    <t>Steam Punk Black</t>
  </si>
  <si>
    <t>Official Shorts Navy</t>
  </si>
  <si>
    <t>06e8ccc2-4657-42d6-9b91-b84d3c8435f0</t>
  </si>
  <si>
    <t>Three Pocket Shorts Black</t>
  </si>
  <si>
    <t>Cosmic Intruder Crop - Black</t>
  </si>
  <si>
    <t>1c2796ae-8e75-4a43-928d-053d9dfe0647</t>
  </si>
  <si>
    <t>XS</t>
  </si>
  <si>
    <t>Delusion Crop Blue</t>
  </si>
  <si>
    <t>Tokyo Hoodie Navy</t>
  </si>
  <si>
    <t>a62a12c7-1155-4a27-ba52-fd9140724b2b</t>
  </si>
  <si>
    <t>World Wide Long Hoodie</t>
  </si>
  <si>
    <t>Self Love Crop Sweat</t>
  </si>
  <si>
    <t>Unrestricted Crop Sweat</t>
  </si>
  <si>
    <t>Barell Fit Light Blue</t>
  </si>
  <si>
    <t>Denim</t>
  </si>
  <si>
    <t>9f526a42-887a-4cfb-9c5e-18a0299cc266</t>
  </si>
  <si>
    <t>Light Acid Blue</t>
  </si>
  <si>
    <t>Barell Fit Grey</t>
  </si>
  <si>
    <t>Charcoal</t>
  </si>
  <si>
    <t>Charcoal Grey</t>
  </si>
  <si>
    <t>Fray Indigo</t>
  </si>
  <si>
    <t>Indigo</t>
  </si>
  <si>
    <t>Duo Pocket Vintage</t>
  </si>
  <si>
    <t>Vintage Blue</t>
  </si>
  <si>
    <t>Reverse Blue</t>
  </si>
  <si>
    <t>Mid Blue</t>
  </si>
  <si>
    <t>Stud Black</t>
  </si>
  <si>
    <t>Jet Black</t>
  </si>
  <si>
    <t>Open Bottom Black</t>
  </si>
  <si>
    <t>Washed Black</t>
  </si>
  <si>
    <t>Half Moon Blue</t>
  </si>
  <si>
    <t>Distress Drawsting</t>
  </si>
  <si>
    <t>Ice Blue</t>
  </si>
  <si>
    <t>Denim Shorts Black</t>
  </si>
  <si>
    <t>Denim Shorts</t>
  </si>
  <si>
    <t>Ash Black</t>
  </si>
  <si>
    <t>Denim Shorts Blue</t>
  </si>
  <si>
    <t>Car Plaid Grey</t>
  </si>
  <si>
    <t>42917e1a-4b1f-42b0-8989-0ccb9c262867</t>
  </si>
  <si>
    <t>CD Drop Shoulder Olive</t>
  </si>
  <si>
    <t>Olive</t>
  </si>
  <si>
    <t>CD Drop Shoulder Beige</t>
  </si>
  <si>
    <t>Beige</t>
  </si>
  <si>
    <t>Oversized Mustard</t>
  </si>
  <si>
    <t>Grunge Denim Charcoal</t>
  </si>
  <si>
    <t>Grunge Denim Blue</t>
  </si>
  <si>
    <t>No</t>
  </si>
  <si>
    <t xml:space="preserve">Style name </t>
  </si>
  <si>
    <t>Month</t>
  </si>
  <si>
    <t>Crazy Mosquitoes-Men-Topwear-Tshirts-Tshirts-White-White-XXL</t>
  </si>
  <si>
    <t>BD1358800</t>
  </si>
  <si>
    <t>930E44736B90</t>
  </si>
  <si>
    <t>01/04/2026</t>
  </si>
  <si>
    <t>Crazy Mosquitoes-Men-Topwear-Tshirts-Tshirts-White-White-S</t>
  </si>
  <si>
    <t>BD1358802</t>
  </si>
  <si>
    <t>33D3D672FC27</t>
  </si>
  <si>
    <t>Crazy Mosquitoes-Men-Topwear-Shirt-Shirt-Olive-Olive-L</t>
  </si>
  <si>
    <t>8905302263228_Oli_L</t>
  </si>
  <si>
    <t>BD1385612</t>
  </si>
  <si>
    <t>Crazy Mosquitoes-Men-Topwear-Shirt-Denim-Blue-Blue-XL</t>
  </si>
  <si>
    <t>8905302263248_Blu_XL</t>
  </si>
  <si>
    <t>BD1386692</t>
  </si>
  <si>
    <t>EC15C1D6D5E1</t>
  </si>
  <si>
    <t>02/04/2026</t>
  </si>
  <si>
    <t>Crazy Mosquitoes-Men-Bottomwear-Jeans-Denim-Blue-Vintage Blue-L</t>
  </si>
  <si>
    <t>8905302263208_Blu_L</t>
  </si>
  <si>
    <t>BD1385607</t>
  </si>
  <si>
    <t>628086B8CA60</t>
  </si>
  <si>
    <t>06/04/2026</t>
  </si>
  <si>
    <t>Crazy Mosquitoes-Men-Bottomwear-Jeans-Denim-Black-Jet Black-L</t>
  </si>
  <si>
    <t>8905302263198_Bla_L</t>
  </si>
  <si>
    <t>BD1385596</t>
  </si>
  <si>
    <t>3001A03E2C83</t>
  </si>
  <si>
    <t>Crazy Mosquitoes-Men-Topwear-Tshirts-Tshirts-White-White-Onesize</t>
  </si>
  <si>
    <t>8905202264705_Whi_Onesize</t>
  </si>
  <si>
    <t>BD1358784</t>
  </si>
  <si>
    <t>Crazy Mosquitoes-Men-Topwear-Shirt-Denim-Blue-Blue-XXL</t>
  </si>
  <si>
    <t>8905302263249_Blu_XXL</t>
  </si>
  <si>
    <t>BD1386693</t>
  </si>
  <si>
    <t>9ECBA46F82BE</t>
  </si>
  <si>
    <t>08/04/2026</t>
  </si>
  <si>
    <t>ECFB3D858A3D</t>
  </si>
  <si>
    <t>Crazy Mosquitoes-Men-Topwear-Shirt-Shirt-Mustard-Mustard-XL</t>
  </si>
  <si>
    <t>8905302263235_Mus_XL</t>
  </si>
  <si>
    <t>BD1385624</t>
  </si>
  <si>
    <t>10/04/2026</t>
  </si>
  <si>
    <t>Credit Note Received, Pinelab Card</t>
  </si>
  <si>
    <t>Crazy Mosquitoes-Men-Topwear-Shirt-Shirt-Black-Black-M</t>
  </si>
  <si>
    <t>8905302263251_Bla_M</t>
  </si>
  <si>
    <t>BD1392651</t>
  </si>
  <si>
    <t>2A0CD86AC7ED</t>
  </si>
  <si>
    <t>837AED53BA31</t>
  </si>
  <si>
    <t>11/04/2026</t>
  </si>
  <si>
    <t>Crazy Mosquitoes-Men-Bottomwear-Joggers-Joggers-Black-Black-XL</t>
  </si>
  <si>
    <t>BD1358873</t>
  </si>
  <si>
    <t>094E5C574000</t>
  </si>
  <si>
    <t>Crazy Mosquitoes-Men-Bottomwear-Jeans-Denim-Black-Washed Black-XL</t>
  </si>
  <si>
    <t>8905302263205_Bla_XL</t>
  </si>
  <si>
    <t>BD1385589</t>
  </si>
  <si>
    <t>B0863BDDA195</t>
  </si>
  <si>
    <t>Crazy Mosquitoes-Men-Bottomwear-Jeans-Denim-Blue-Vintage Blue-XL</t>
  </si>
  <si>
    <t>8905302263192_Blu_XL</t>
  </si>
  <si>
    <t>BD1385594</t>
  </si>
  <si>
    <t>BA7C1FB7C456</t>
  </si>
  <si>
    <t>03/04/2026</t>
  </si>
  <si>
    <t>EBE83CFE6188</t>
  </si>
  <si>
    <t>04/04/2026</t>
  </si>
  <si>
    <t>8969A2BE54F3</t>
  </si>
  <si>
    <t>CCA322AED82B</t>
  </si>
  <si>
    <t>05/04/2026</t>
  </si>
  <si>
    <t>Crazy Mosquitoes-Men-Bottomwear-Jeans-Denim-Black-Washed Black-M</t>
  </si>
  <si>
    <t>8905302263202_Bla_M</t>
  </si>
  <si>
    <t>BD1385591</t>
  </si>
  <si>
    <t>2E66F89401B7</t>
  </si>
  <si>
    <t>8905202269090_Whi_S</t>
  </si>
  <si>
    <t>BD1358739</t>
  </si>
  <si>
    <t>3899E18DA661</t>
  </si>
  <si>
    <t>8905202264675_Bla_S</t>
  </si>
  <si>
    <t>BD1358778</t>
  </si>
  <si>
    <t>10413CE44FC4</t>
  </si>
  <si>
    <t>Crazy Mosquitoes-Men-Bottomwear-Jeans-Denim-Charcoal-Charcoal Grey-XL</t>
  </si>
  <si>
    <t>8905302263183_Cha_XL</t>
  </si>
  <si>
    <t>BD1385585</t>
  </si>
  <si>
    <t>645A21ED1B0B</t>
  </si>
  <si>
    <t>09/04/2026</t>
  </si>
  <si>
    <t>D3BF874D4EEE</t>
  </si>
  <si>
    <t>Brand (Bill)</t>
  </si>
  <si>
    <t>School Micro checks  Black</t>
  </si>
  <si>
    <t>School Micro checks  Green</t>
  </si>
  <si>
    <t>Green</t>
  </si>
  <si>
    <t>CD Drop Shoulder Grey</t>
  </si>
  <si>
    <t>Banana Shirt Blue</t>
  </si>
  <si>
    <t>Hello Shirt Yellow</t>
  </si>
  <si>
    <t>Cross Stich Blue</t>
  </si>
  <si>
    <t>Cross Stich Black</t>
  </si>
  <si>
    <t>Brooklyn Green</t>
  </si>
  <si>
    <t>Xl</t>
  </si>
  <si>
    <t>Mushroom Blue</t>
  </si>
  <si>
    <t>Mushroom Red</t>
  </si>
  <si>
    <t>Leaf Blue</t>
  </si>
  <si>
    <t>Linen Navy</t>
  </si>
  <si>
    <t>Linen Sky</t>
  </si>
  <si>
    <t>Creative Brown</t>
  </si>
  <si>
    <t>Brown</t>
  </si>
  <si>
    <t>Blue Heart</t>
  </si>
  <si>
    <t>Blue Stripe</t>
  </si>
  <si>
    <t>Mom's Warning</t>
  </si>
  <si>
    <t>Blue Paint Brush</t>
  </si>
  <si>
    <t>Black Paint Brush</t>
  </si>
  <si>
    <t>Green Flower Checks</t>
  </si>
  <si>
    <t>Grunge Denim Grey</t>
  </si>
  <si>
    <t>Orange Micro Check</t>
  </si>
  <si>
    <t>Orange</t>
  </si>
  <si>
    <t>Mom's Warning Navy</t>
  </si>
  <si>
    <t>Jap Zip  D Green</t>
  </si>
  <si>
    <t>Jap Zip  Beige</t>
  </si>
  <si>
    <t>Jap Zip  Maroon</t>
  </si>
  <si>
    <t>Maroon</t>
  </si>
  <si>
    <t>White Blue Stripe</t>
  </si>
  <si>
    <t>Blue Parasite</t>
  </si>
  <si>
    <t>Bad Habits</t>
  </si>
  <si>
    <t xml:space="preserve">Denim Half </t>
  </si>
  <si>
    <t>Blue Paint Splash</t>
  </si>
  <si>
    <t>Black Paint Splash</t>
  </si>
  <si>
    <t>12/04/2026</t>
  </si>
  <si>
    <t>70A37A21FC9A</t>
  </si>
  <si>
    <t>BD1358779</t>
  </si>
  <si>
    <t>8905202264682_Bla_XL</t>
  </si>
  <si>
    <t>BD1358768</t>
  </si>
  <si>
    <t>8905202269281_Bla_M</t>
  </si>
  <si>
    <t>Black S Pants</t>
  </si>
  <si>
    <t>SOH on Date</t>
  </si>
  <si>
    <t>Biege</t>
  </si>
  <si>
    <t>Inward-1</t>
  </si>
  <si>
    <t>inward-2</t>
  </si>
  <si>
    <t>inward-3</t>
  </si>
  <si>
    <t>total</t>
  </si>
  <si>
    <t>inward-4</t>
  </si>
  <si>
    <t>20/04/2026</t>
  </si>
  <si>
    <t>BC663B7C366F</t>
  </si>
  <si>
    <t>BD1385595</t>
  </si>
  <si>
    <t>8905302263197_Bla_M</t>
  </si>
  <si>
    <t>Crazy Mosquitoes-Men-Bottomwear-Jeans-Denim-Black-Jet Black-M</t>
  </si>
  <si>
    <t>18/04/2026</t>
  </si>
  <si>
    <t>F5AC20533A3E</t>
  </si>
  <si>
    <t>21/04/2026</t>
  </si>
  <si>
    <t>D7FA3ECC03ED</t>
  </si>
  <si>
    <t>19/04/2026</t>
  </si>
  <si>
    <t>339AA44E3EF4</t>
  </si>
  <si>
    <t>BD1358791</t>
  </si>
  <si>
    <t>8905202264835_Bla_S</t>
  </si>
  <si>
    <t>BD1358755</t>
  </si>
  <si>
    <t>8905202269441_Red_S</t>
  </si>
  <si>
    <t>Crazy Mosquitoes-Men-Topwear-Tshirts-Tshirts-Red-Red-S</t>
  </si>
  <si>
    <t>17/04/2026</t>
  </si>
  <si>
    <t>064C8A360197</t>
  </si>
  <si>
    <t>16/04/2026</t>
  </si>
  <si>
    <t>8190B4B27EE5</t>
  </si>
  <si>
    <t>BD1358884</t>
  </si>
  <si>
    <t>Crazy Mosquitoes-Men-Bottomwear-Shorts-Shorts-Navy Blue-Navy Blue-M</t>
  </si>
  <si>
    <t>14/04/2026</t>
  </si>
  <si>
    <t>3B7219925344</t>
  </si>
  <si>
    <t>BD1385590</t>
  </si>
  <si>
    <t>8905302263201_Bla_XXL</t>
  </si>
  <si>
    <t>Crazy Mosquitoes-Men-Bottomwear-Jeans-Denim-Black-Jet Black-XXL</t>
  </si>
  <si>
    <t>BD1358890</t>
  </si>
  <si>
    <t>Crazy Mosquitoes-Women-Topwear-Tshirts-Tshirts-Black-Black-XL</t>
  </si>
  <si>
    <t>22/04/2026</t>
  </si>
  <si>
    <t>6F3C871B60B3</t>
  </si>
  <si>
    <t>BD1358772</t>
  </si>
  <si>
    <t>23/04/2026</t>
  </si>
  <si>
    <t>13B37559ECB9</t>
  </si>
  <si>
    <t>Broadway Delhi, Vasantkunj</t>
  </si>
  <si>
    <t>8FA8BB27CC01</t>
  </si>
  <si>
    <t>24/04/2026</t>
  </si>
  <si>
    <t>2220A205DB16</t>
  </si>
  <si>
    <t>BD1386697</t>
  </si>
  <si>
    <t>8905302263247_Blu_XXL</t>
  </si>
  <si>
    <t>Crazy Mosquitoes-Men-Topwear-Shirt-Tshirt-Blue-Blue-XXL</t>
  </si>
  <si>
    <t xml:space="preserve">Pinelab UPI, Pinelab UPI </t>
  </si>
  <si>
    <t>587D9E402C90</t>
  </si>
  <si>
    <t>BD1385597</t>
  </si>
  <si>
    <t>8905302263200_Bla_XL</t>
  </si>
  <si>
    <t>Crazy Mosquitoes-Men-Bottomwear-Jeans-Denim-Black-Jet Black-XL</t>
  </si>
  <si>
    <t>BD1385605</t>
  </si>
  <si>
    <t>8905302263206_Bla_XXL</t>
  </si>
  <si>
    <t>Crazy Mosquitoes-Men-Bottomwear-Jeans-Denim-Black-Washed Black-XXL</t>
  </si>
  <si>
    <t>B57E1D7CB32E</t>
  </si>
  <si>
    <t>BD1392646</t>
  </si>
  <si>
    <t>8905302263253_Gre_S</t>
  </si>
  <si>
    <t>Crazy Mosquitoes-Men-Topwear-Shirt-Shirt-Green-Green-S</t>
  </si>
  <si>
    <t>25/04/2026</t>
  </si>
  <si>
    <t>3B0811708787</t>
  </si>
  <si>
    <t>B2D846DB7F1D</t>
  </si>
  <si>
    <t>26/04/2026</t>
  </si>
  <si>
    <t>A4F710C70A54</t>
  </si>
  <si>
    <t>BD1394039</t>
  </si>
  <si>
    <t>8905302263314_Blu_M</t>
  </si>
  <si>
    <t>Crazy Mosquitoes-Men-Bottomwear-Jeans-Denim-Blue-Blue-M</t>
  </si>
  <si>
    <t>BD1395078</t>
  </si>
  <si>
    <t>8905302263362_Bla_M</t>
  </si>
  <si>
    <t>Crazy Mosquitoes-Men-Bottomwear-Jeans-Denim-Black-Black-M</t>
  </si>
  <si>
    <t>22F2329AA57B</t>
  </si>
  <si>
    <t>BD1385626</t>
  </si>
  <si>
    <t>8905302263237_Cha_M</t>
  </si>
  <si>
    <t>Crazy Mosquitoes-Men-Topwear-Shirt-Shirt-Charcoal-Charcoal-M</t>
  </si>
  <si>
    <t>3E928A136E02</t>
  </si>
  <si>
    <t>BD1395039</t>
  </si>
  <si>
    <t>8905302263345_Whi_M</t>
  </si>
  <si>
    <t>Crazy Mosquitoes-Men-Topwear-Shirt-Shirt-White-White-M</t>
  </si>
  <si>
    <t>31/03/2026</t>
  </si>
  <si>
    <t>9E4FACECA6FC</t>
  </si>
  <si>
    <t>1335B2F42598</t>
  </si>
  <si>
    <t>BD1385620</t>
  </si>
  <si>
    <t>8905302263232_Bei_XL</t>
  </si>
  <si>
    <t>Crazy Mosquitoes-Men-Topwear-Shirt-Shirt-Beige-Beige-XL</t>
  </si>
  <si>
    <t>BD1385630</t>
  </si>
  <si>
    <t>8905302263243_Blu_XL</t>
  </si>
  <si>
    <t>Crazy Mosquitoes-Men-Topwear-Shirt-Shirt-Blue-Blue-XL</t>
  </si>
  <si>
    <t>30/03/2026</t>
  </si>
  <si>
    <t>A479D95E8DE3</t>
  </si>
  <si>
    <t>BD1385631</t>
  </si>
  <si>
    <t>8905302263239_Cha_XL</t>
  </si>
  <si>
    <t>Crazy Mosquitoes-Men-Topwear-Shirt-Shirt-Charcoal-Charcoal-XL</t>
  </si>
  <si>
    <t>631D1C72A4D9</t>
  </si>
  <si>
    <t>BD1358767</t>
  </si>
  <si>
    <t>FC68EB5069DF</t>
  </si>
  <si>
    <t>BD1358882</t>
  </si>
  <si>
    <t>Crazy Mosquitoes-Women-Topwear-Tshirts-Tshirts-Black-Black-XS</t>
  </si>
  <si>
    <t>31/12/2025</t>
  </si>
  <si>
    <t>CD52791FF0F0</t>
  </si>
  <si>
    <t>BD1358830</t>
  </si>
  <si>
    <t>Crazy Mosquitoes-Men-Topwear-Sweatshirts-Sweatshirts-Grey-Grey-S</t>
  </si>
  <si>
    <t>27/04/2026</t>
  </si>
  <si>
    <t>19781C918D09</t>
  </si>
  <si>
    <t>1B780BD32749</t>
  </si>
  <si>
    <t>BD1385627</t>
  </si>
  <si>
    <t>8905302263238_Cha_L</t>
  </si>
  <si>
    <t>Crazy Mosquitoes-Men-Topwear-Shirt-Shirt-Charcoal-Charcoal-L</t>
  </si>
  <si>
    <t>Cash, Card</t>
  </si>
  <si>
    <t>BD1358773</t>
  </si>
  <si>
    <t>8905202269274_Bla_L</t>
  </si>
  <si>
    <t>2DB60CB65F6A</t>
  </si>
  <si>
    <t>28/04/2026</t>
  </si>
  <si>
    <t>Credit Note Issued [-]</t>
  </si>
  <si>
    <t>30/04/2026</t>
  </si>
  <si>
    <t>A624508A7063</t>
  </si>
  <si>
    <t>BD1358891</t>
  </si>
  <si>
    <t>Crazy Mosquitoes-Women-Topwear-Tshirts-Tshirts-Red-Red-S</t>
  </si>
  <si>
    <t>4E9E8371BBCF</t>
  </si>
  <si>
    <t>8E5708CB080C</t>
  </si>
  <si>
    <t>BD1358812</t>
  </si>
  <si>
    <t>C7CA910D83EB</t>
  </si>
  <si>
    <t>77F739378A48</t>
  </si>
  <si>
    <t>6B7982E945B6</t>
  </si>
  <si>
    <t>224E55A31C8F</t>
  </si>
  <si>
    <t>BD1392644</t>
  </si>
  <si>
    <t>8905302263254_Gre_M</t>
  </si>
  <si>
    <t>Crazy Mosquitoes-Men-Topwear-Shirt-Shirt-Green-Green-M</t>
  </si>
  <si>
    <t>25F7B65E9A61</t>
  </si>
  <si>
    <t>02/05/2026</t>
  </si>
  <si>
    <t>48ACDDD8967B</t>
  </si>
  <si>
    <t>BD1393984</t>
  </si>
  <si>
    <t>8905302263259_Blu_S</t>
  </si>
  <si>
    <t>Crazy Mosquitoes-Men-Topwear-Shirt-Shirt-Blue-Blue-S</t>
  </si>
  <si>
    <t>01/05/2026</t>
  </si>
  <si>
    <t>A28EF3C39D54</t>
  </si>
  <si>
    <t>BD1358783</t>
  </si>
  <si>
    <t>8905202264712_Bla_Onesize</t>
  </si>
  <si>
    <t>3853CBF7C925</t>
  </si>
  <si>
    <t>BD1358796</t>
  </si>
  <si>
    <t>Crazy Mosquitoes-Men-Topwear-Tshirts-Tshirts-Grey-Grey-S</t>
  </si>
  <si>
    <t>03/05/2026</t>
  </si>
  <si>
    <t>9159B380711C</t>
  </si>
  <si>
    <t>DBE3D0994DA9</t>
  </si>
  <si>
    <t>BD1392655</t>
  </si>
  <si>
    <t>8905302263258_Gre_XL</t>
  </si>
  <si>
    <t>84C7DE197BFB</t>
  </si>
  <si>
    <t>05/05/2026</t>
  </si>
  <si>
    <t>7CD8135D29ED</t>
  </si>
  <si>
    <t>BD1358750</t>
  </si>
  <si>
    <t>8905202269465_Red_XXL</t>
  </si>
  <si>
    <t>Crazy Mosquitoes-Men-Topwear-Tshirts-Tshirts-Red-Red-XXL</t>
  </si>
  <si>
    <t>07/05/2026</t>
  </si>
  <si>
    <t>7CBEE9EF72EC</t>
  </si>
  <si>
    <t>BD1358799</t>
  </si>
  <si>
    <t>8905202265030_Blu_S</t>
  </si>
  <si>
    <t>Crazy Mosquitoes-Men-Topwear-Tshirts-Tshirts-Blue-Blue-S</t>
  </si>
  <si>
    <t>13B1C4DE1C64</t>
  </si>
  <si>
    <t>BD1394041</t>
  </si>
  <si>
    <t>8905302263320_Bla_XL</t>
  </si>
  <si>
    <t>Crazy Mosquitoes-Men-Bottomwear-Jeans-Denim-Black-Black-XL</t>
  </si>
  <si>
    <t>71BD99468FE0</t>
  </si>
  <si>
    <t>888DA9C17761</t>
  </si>
  <si>
    <t>08/05/2026</t>
  </si>
  <si>
    <t>4F2063DD701C</t>
  </si>
  <si>
    <t>BD1395041</t>
  </si>
  <si>
    <t>8905302263346_Whi_L</t>
  </si>
  <si>
    <t>Crazy Mosquitoes-Men-Topwear-Shirt-Shirt-White-White-L</t>
  </si>
  <si>
    <t>FE42E42459AF</t>
  </si>
  <si>
    <t>10/05/2026</t>
  </si>
  <si>
    <t>319C16805314</t>
  </si>
  <si>
    <t>792889BD8875</t>
  </si>
  <si>
    <t>BD1395008</t>
  </si>
  <si>
    <t>8905302263330_Ora_L</t>
  </si>
  <si>
    <t>Crazy Mosquitoes-Men-Topwear-Shirt-Shirt-Orange-Orange-L</t>
  </si>
  <si>
    <t>09/05/2026</t>
  </si>
  <si>
    <t>F5818C22D99A</t>
  </si>
  <si>
    <t>BD1395104</t>
  </si>
  <si>
    <t>8905302263380_Bla_L</t>
  </si>
  <si>
    <t>00FBE0DA0F3A</t>
  </si>
  <si>
    <t>73CF1EE70059</t>
  </si>
  <si>
    <t>BD1395003</t>
  </si>
  <si>
    <t>8905302263328_Ora_S</t>
  </si>
  <si>
    <t>Crazy Mosquitoes-Men-Topwear-Shirt-Shirt-Orange-Orange-S</t>
  </si>
  <si>
    <t>627963132FF0</t>
  </si>
  <si>
    <t>BD1358813</t>
  </si>
  <si>
    <t>Art &amp; Artist</t>
  </si>
  <si>
    <t>NA</t>
  </si>
  <si>
    <t>Monaco</t>
  </si>
  <si>
    <t>Pink</t>
  </si>
  <si>
    <t>Butterfly</t>
  </si>
  <si>
    <t>Wild Flower</t>
  </si>
  <si>
    <t>Shark Green</t>
  </si>
  <si>
    <t>Victory Stripe Blue</t>
  </si>
  <si>
    <t xml:space="preserve">Blue Baggy Jeans </t>
  </si>
  <si>
    <t>Grand Total</t>
  </si>
  <si>
    <t>Sum of Qty</t>
  </si>
  <si>
    <t>Sum of Net Sale Amt</t>
  </si>
  <si>
    <t>Values</t>
  </si>
  <si>
    <t>13/05/2026</t>
  </si>
  <si>
    <t>BD1395037</t>
  </si>
  <si>
    <t>8905302263344_Whi_S</t>
  </si>
  <si>
    <t>Crazy Mosquitoes-Men-Topwear-Shirt-Shirt-White-White-S</t>
  </si>
  <si>
    <t>BD1395101</t>
  </si>
  <si>
    <t>8905302263379_Bla_M</t>
  </si>
  <si>
    <t>14/05/2026</t>
  </si>
  <si>
    <t>F4155B1B52AA</t>
  </si>
  <si>
    <t>BD1394032</t>
  </si>
  <si>
    <t>8905302263316_Blu_XL</t>
  </si>
  <si>
    <t>Crazy Mosquitoes-Men-Bottomwear-Jeans-Denim-Blue-Blue-XL</t>
  </si>
  <si>
    <t>BD1395082</t>
  </si>
  <si>
    <t>8905302263360_Blu_XL</t>
  </si>
  <si>
    <t>BD1394009</t>
  </si>
  <si>
    <t>8905302263286_Red_L</t>
  </si>
  <si>
    <t>Crazy Mosquitoes-Men-Topwear-Shirt-Shirt-Red-Red-L</t>
  </si>
  <si>
    <t>5A540F5A9034</t>
  </si>
  <si>
    <t>BD1392653</t>
  </si>
  <si>
    <t>8905302263256_Gre_M</t>
  </si>
  <si>
    <t>15/05/2026</t>
  </si>
  <si>
    <t>9F76A8E9534E</t>
  </si>
  <si>
    <t>BD1394008</t>
  </si>
  <si>
    <t>8905302263285_Red_M</t>
  </si>
  <si>
    <t>Crazy Mosquitoes-Men-Topwear-Shirt-Shirt-Red-Red-M</t>
  </si>
  <si>
    <t>C48C73658B03</t>
  </si>
  <si>
    <t>CC516B4FFB35</t>
  </si>
  <si>
    <t>BD1392654</t>
  </si>
  <si>
    <t>8905302263257_Gre_L</t>
  </si>
  <si>
    <t>BD1402124</t>
  </si>
  <si>
    <t>8905302263398_Bla_XXL</t>
  </si>
  <si>
    <t>Crazy Mosquitoes-Men-Topwear-Tshirts-Dual Snakes-Black-Black-2XL</t>
  </si>
  <si>
    <t>2XL</t>
  </si>
  <si>
    <t>1F1EBF73FAC5</t>
  </si>
  <si>
    <t>577689D2A6B9</t>
  </si>
  <si>
    <t>16/05/2026</t>
  </si>
  <si>
    <t>16753C5D2DDE</t>
  </si>
  <si>
    <t>BD1358870</t>
  </si>
  <si>
    <t>8905202268697_Nav_XL</t>
  </si>
  <si>
    <t>Crazy Mosquitoes-Men-Bottomwear-Joggers-Joggers-Navy Blue-Navy Blue-XL</t>
  </si>
  <si>
    <t>EA53969DAE9A</t>
  </si>
  <si>
    <t>10B1023C86B7</t>
  </si>
  <si>
    <t>BD1395103</t>
  </si>
  <si>
    <t>8905302263378_Pin_XL</t>
  </si>
  <si>
    <t>Crazy Mosquitoes-Men-Topwear-Tshirts-Tshirts-Pink-Pink-XL</t>
  </si>
  <si>
    <t>Tshirts Total</t>
  </si>
  <si>
    <t>Shirt Total</t>
  </si>
  <si>
    <t>Jeans Total</t>
  </si>
  <si>
    <t>17/05/2026</t>
  </si>
  <si>
    <t>2E8D347CBB76</t>
  </si>
  <si>
    <t>26E283D02504</t>
  </si>
  <si>
    <t>BD1358780</t>
  </si>
  <si>
    <t>8905202264651_Bla_L</t>
  </si>
  <si>
    <t>60ED962E6CE6</t>
  </si>
  <si>
    <t>627B0DB7E56A</t>
  </si>
  <si>
    <t>BD1358776</t>
  </si>
  <si>
    <t>8905202264668_Bla_M</t>
  </si>
  <si>
    <t>6C48A2C9CFD4</t>
  </si>
  <si>
    <t>0AA20E2004A9</t>
  </si>
  <si>
    <t>9F3FFEA51ACE</t>
  </si>
  <si>
    <t>18/05/2026</t>
  </si>
  <si>
    <t>B9C829E9A84A</t>
  </si>
  <si>
    <t>7CA491996230</t>
  </si>
  <si>
    <t>49829F9A405B</t>
  </si>
  <si>
    <t>BD1358770</t>
  </si>
  <si>
    <t>19/05/2026</t>
  </si>
  <si>
    <t>FB797CC049E8</t>
  </si>
  <si>
    <t>C7427B6619FA</t>
  </si>
  <si>
    <t>BD1394038</t>
  </si>
  <si>
    <t>8905302263310_Blu_L</t>
  </si>
  <si>
    <t>Crazy Mosquitoes-Men-Topwear-Shirt-Shirt-Blue-Blue-L</t>
  </si>
  <si>
    <t>20/05/2026</t>
  </si>
  <si>
    <t>4336112E87F1</t>
  </si>
  <si>
    <t>A1205085C9BE</t>
  </si>
  <si>
    <t>627C2795F77D</t>
  </si>
  <si>
    <t>BD1358781</t>
  </si>
  <si>
    <t>8905202264699_Bla_XXL</t>
  </si>
  <si>
    <t>21/05/2026</t>
  </si>
  <si>
    <t>B3943FA2E298</t>
  </si>
  <si>
    <t>BD1402125</t>
  </si>
  <si>
    <t>8905302263395_Bla_S</t>
  </si>
  <si>
    <t>Crazy Mosquitoes-Men-Topwear-Tshirts-Dual Snakes-Black-Black-S</t>
  </si>
  <si>
    <t>17A3C51B6134</t>
  </si>
  <si>
    <t>BD1394997</t>
  </si>
  <si>
    <t>8905302263323_Gre_L</t>
  </si>
  <si>
    <t>Crazy Mosquitoes-Men-Topwear-Shirt-Shirt-Green-Green-L</t>
  </si>
  <si>
    <t>D717CE1D8963</t>
  </si>
  <si>
    <t>BD1402127</t>
  </si>
  <si>
    <t>8905302263397_Bla_XL</t>
  </si>
  <si>
    <t>Crazy Mosquitoes-Men-Topwear-Tshirts-Dual Snakes-Black-Black-XL</t>
  </si>
  <si>
    <t>3CB8A8163B4F</t>
  </si>
  <si>
    <t>04/05/2026</t>
  </si>
  <si>
    <t>ASP</t>
  </si>
  <si>
    <t>22/05/2026</t>
  </si>
  <si>
    <t>3A73977A5B8B</t>
  </si>
  <si>
    <t>BD1393986</t>
  </si>
  <si>
    <t>8905302263260_Blu_M</t>
  </si>
  <si>
    <t>Crazy Mosquitoes-Men-Topwear-Shirt-Shirt-Blue-Blue-M</t>
  </si>
  <si>
    <t>264DCA40C373</t>
  </si>
  <si>
    <t>AE525C168F7B</t>
  </si>
  <si>
    <t>Avg set size</t>
  </si>
  <si>
    <t>Options in full</t>
  </si>
  <si>
    <t>sale</t>
  </si>
  <si>
    <t>sale units</t>
  </si>
  <si>
    <t>B.Stock</t>
  </si>
  <si>
    <t>Category</t>
  </si>
  <si>
    <t>Store Total</t>
  </si>
  <si>
    <t>Plan - Broadway Hyderabad</t>
  </si>
  <si>
    <t>Plan - Broadway Pune</t>
  </si>
  <si>
    <t xml:space="preserve">shorts </t>
  </si>
  <si>
    <t>Plan - Broadway Delhi</t>
  </si>
  <si>
    <t>Plan - Bombay</t>
  </si>
  <si>
    <t>Grand total</t>
  </si>
  <si>
    <t>Q1 Buy</t>
  </si>
  <si>
    <t>Q1 sales</t>
  </si>
  <si>
    <t>23/05/2026</t>
  </si>
  <si>
    <t>4E5CF68E9B98</t>
  </si>
  <si>
    <t>BD1395085</t>
  </si>
  <si>
    <t>8905302263363_Bla_L</t>
  </si>
  <si>
    <t>Crazy Mosquitoes-Men-Bottomwear-Jeans-Denim-Black-Black-L</t>
  </si>
  <si>
    <t>72F3AA7D6CA5</t>
  </si>
  <si>
    <t>BD1395113</t>
  </si>
  <si>
    <t>8905302263382_Blu_M</t>
  </si>
  <si>
    <t>9C7132033A77</t>
  </si>
  <si>
    <t>2F75F986C34D</t>
  </si>
  <si>
    <t>24/05/2026</t>
  </si>
  <si>
    <t>814B936489B4</t>
  </si>
  <si>
    <t>71AD153CDB81</t>
  </si>
  <si>
    <t>BD1395010</t>
  </si>
  <si>
    <t>8905302263329_Ora_M</t>
  </si>
  <si>
    <t>Crazy Mosquitoes-Men-Topwear-Shirt-Shirt-Orange-Orange-M</t>
  </si>
  <si>
    <t>154102622A65</t>
  </si>
  <si>
    <t>BD1395100</t>
  </si>
  <si>
    <t>8905302263376_Pin_M</t>
  </si>
  <si>
    <t>Crazy Mosquitoes-Men-Topwear-Tshirts-Tshirts-Pink-Pink-M</t>
  </si>
  <si>
    <t>4941F0661101</t>
  </si>
  <si>
    <t>BD1395070</t>
  </si>
  <si>
    <t>8905302263358_Blu_M</t>
  </si>
  <si>
    <t>91C11C22D365</t>
  </si>
  <si>
    <t>2A6E63544687</t>
  </si>
  <si>
    <t>5EB79797578C</t>
  </si>
  <si>
    <t>25/05/2026</t>
  </si>
  <si>
    <t>5F17520A7A2C</t>
  </si>
  <si>
    <t>BD1395076</t>
  </si>
  <si>
    <t>8905302263361_Bla_S</t>
  </si>
  <si>
    <t>Crazy Mosquitoes-Men-Bottomwear-Jeans-Denim-Black-Black-S</t>
  </si>
  <si>
    <t>9B95C1B9CC4E</t>
  </si>
  <si>
    <t>BD1395023</t>
  </si>
  <si>
    <t>8905302263332_Nav_L</t>
  </si>
  <si>
    <t>Crazy Mosquitoes-Men-Topwear-Shirt-Shirt-Navy Blue-Navy Blue-L</t>
  </si>
  <si>
    <t>3A15300F4EFE</t>
  </si>
  <si>
    <t>BD1395108</t>
  </si>
  <si>
    <t>8905302263381_Bla_XL</t>
  </si>
  <si>
    <t>26/05/2026</t>
  </si>
  <si>
    <t>E5C90BAB5629</t>
  </si>
  <si>
    <t>7E0B74688DE4</t>
  </si>
  <si>
    <t>BD1402126</t>
  </si>
  <si>
    <t>8905302263396_Bla_L</t>
  </si>
  <si>
    <t>Crazy Mosquitoes-Men-Topwear-Tshirts-Dual Snakes-Black-Black-L</t>
  </si>
  <si>
    <t>BD1358790</t>
  </si>
  <si>
    <t>Crazy Mosquitoes-Men-Topwear-Tshirts-Tshirts-Grey-Grey-L</t>
  </si>
  <si>
    <t>27/05/2026</t>
  </si>
  <si>
    <t>9F943DEFE0B9</t>
  </si>
  <si>
    <t>22297B39EF79</t>
  </si>
  <si>
    <t>BD1394022</t>
  </si>
  <si>
    <t>8905302263305_Blu_L</t>
  </si>
  <si>
    <t>FABE002AE1CB</t>
  </si>
  <si>
    <t>28/05/2026</t>
  </si>
  <si>
    <t>BD1395093</t>
  </si>
  <si>
    <t>8905302263364_Bla_XL</t>
  </si>
  <si>
    <t>BD1358918</t>
  </si>
  <si>
    <t>8905302263178_Gre_L</t>
  </si>
  <si>
    <t>Crazy Mosquitoes-Women-Topwear-Sweatshirts-Sweatshirts-Grey-Grey-L</t>
  </si>
  <si>
    <t>E650F852CDF0</t>
  </si>
  <si>
    <t>220E8FA55BB9</t>
  </si>
  <si>
    <t>29/05/2026</t>
  </si>
  <si>
    <t>9F73C8DB9040</t>
  </si>
  <si>
    <t>30/05/2026</t>
  </si>
  <si>
    <t>31/05/2026</t>
  </si>
  <si>
    <t>4E08E7D05A85</t>
  </si>
  <si>
    <t>BD1385606</t>
  </si>
  <si>
    <t>8905302263207_Blu_M</t>
  </si>
  <si>
    <t>AB4A5EB4905C</t>
  </si>
  <si>
    <t>A6B26632CD21</t>
  </si>
  <si>
    <t>BD1385615</t>
  </si>
  <si>
    <t>8905302263218_Gre_XXL</t>
  </si>
  <si>
    <t>Crazy Mosquitoes-Men-Bottomwear-Shorts-Denim Shorts-Grey-Ash Black-XXL</t>
  </si>
  <si>
    <t>BD1411063</t>
  </si>
  <si>
    <t>8905302263400_Blu_M</t>
  </si>
  <si>
    <t>Crazy Mosquitoes-Men-Bottomwear-Jeans-Denim-Blue-Core-M</t>
  </si>
  <si>
    <t>3BF86E16D7E6</t>
  </si>
  <si>
    <t>01/06/2026</t>
  </si>
  <si>
    <t>548E736EC77B</t>
  </si>
  <si>
    <t>Jun</t>
  </si>
  <si>
    <t>02/06/2026</t>
  </si>
  <si>
    <t>3C414065EBC5</t>
  </si>
  <si>
    <t>BD1394020</t>
  </si>
  <si>
    <t>8905302263304_Blu_M</t>
  </si>
  <si>
    <t>52A4656B5EEE</t>
  </si>
  <si>
    <t>F7B86651B934</t>
  </si>
  <si>
    <t>97DBB447C2DF</t>
  </si>
  <si>
    <t>04/06/2026</t>
  </si>
  <si>
    <t>BB7D2F22292B</t>
  </si>
  <si>
    <t>BD1393998</t>
  </si>
  <si>
    <t>8905302263272_Blu_S</t>
  </si>
  <si>
    <t>338EF8A80388</t>
  </si>
  <si>
    <t>BD1394996</t>
  </si>
  <si>
    <t>8905302263322_Gre_M</t>
  </si>
  <si>
    <t>4C166815BB2B</t>
  </si>
  <si>
    <t>May</t>
  </si>
  <si>
    <t>05/06/2026</t>
  </si>
  <si>
    <t>Card, UPI</t>
  </si>
  <si>
    <t>06/06/2026</t>
  </si>
  <si>
    <t>9B97CF8323FD</t>
  </si>
  <si>
    <t>BD1395119</t>
  </si>
  <si>
    <t>8905302263195_Blu_L</t>
  </si>
  <si>
    <t>Crazy Mosquitoes-Men-Bottomwear-Jeans-Denim-Blue-Mid Blue-L</t>
  </si>
  <si>
    <t>07/06/2026</t>
  </si>
  <si>
    <t>9F9C6ACB788B</t>
  </si>
  <si>
    <t>BD1385628</t>
  </si>
  <si>
    <t>8905302263242_Blu_L</t>
  </si>
  <si>
    <t>08/06/2026</t>
  </si>
  <si>
    <t>Jun Total</t>
  </si>
  <si>
    <t>(All)</t>
  </si>
  <si>
    <t>Mrp Sales</t>
  </si>
  <si>
    <t>Broadway Delhi, Vasantkunj Total</t>
  </si>
  <si>
    <t>Broadway-Hyderabad Total</t>
  </si>
  <si>
    <t>Broadway-Pune Total</t>
  </si>
  <si>
    <t>09/06/2026</t>
  </si>
  <si>
    <t>7DDC74541D43</t>
  </si>
  <si>
    <t>Broadway Mumbai</t>
  </si>
  <si>
    <t>83497F2BE9BF</t>
  </si>
  <si>
    <t>10/06/2026</t>
  </si>
  <si>
    <t>7CE89E38A98D</t>
  </si>
  <si>
    <t>Broadway Mumbai Total</t>
  </si>
  <si>
    <t>11/06/2026</t>
  </si>
  <si>
    <t>5102CBD7E900</t>
  </si>
  <si>
    <t>BD1394029</t>
  </si>
  <si>
    <t>8905302263303_Blu_S</t>
  </si>
  <si>
    <t>12/06/2026</t>
  </si>
  <si>
    <t>DEA586C60753</t>
  </si>
  <si>
    <t>BD1358817</t>
  </si>
  <si>
    <t>809579E4EED9</t>
  </si>
  <si>
    <t>214CA9F029A9</t>
  </si>
  <si>
    <t>BD1395114</t>
  </si>
  <si>
    <t>8905302263383_Blu_L</t>
  </si>
  <si>
    <t>13/06/2026</t>
  </si>
  <si>
    <t>E09ABFC51DAA</t>
  </si>
  <si>
    <t>4FCF47B5FB32</t>
  </si>
  <si>
    <t>B6EF6B3DC386</t>
  </si>
  <si>
    <t>20C3C1400EC8</t>
  </si>
  <si>
    <t>BD1358804</t>
  </si>
  <si>
    <t>E459BDCFB300</t>
  </si>
  <si>
    <t>BD1393992</t>
  </si>
  <si>
    <t>8905302263276_Bla_M</t>
  </si>
  <si>
    <t>3C80BACB4452</t>
  </si>
  <si>
    <t>14/06/2026</t>
  </si>
  <si>
    <t>2197283E1DC0</t>
  </si>
  <si>
    <t>BD1395097</t>
  </si>
  <si>
    <t>8905302263373_Bla_M</t>
  </si>
  <si>
    <t>B161FE44562E</t>
  </si>
  <si>
    <t>BD1395098</t>
  </si>
  <si>
    <t>8905302263374_Bla_L</t>
  </si>
  <si>
    <t>8CB356E618F2</t>
  </si>
  <si>
    <t>BD1394007</t>
  </si>
  <si>
    <t>8905302263284_Red_S</t>
  </si>
  <si>
    <t>Crazy Mosquitoes-Men-Topwear-Shirt-Shirt-Red-Red-S</t>
  </si>
  <si>
    <t>B44A46BC1E8E</t>
  </si>
  <si>
    <t>DEEA92271629</t>
  </si>
  <si>
    <t>00D92D4BA4E4</t>
  </si>
  <si>
    <t>B885C8EFD55E</t>
  </si>
  <si>
    <t>BD1411067</t>
  </si>
  <si>
    <t>8905302263405_Bla_M</t>
  </si>
  <si>
    <t>Crazy Mosquitoes-Men-Bottomwear-Jeans-Denim-Black-Core-M</t>
  </si>
  <si>
    <t xml:space="preserve">Pinelab Card, Pinelab Card </t>
  </si>
  <si>
    <t>8C9B2CC588CC</t>
  </si>
  <si>
    <t>F7BDF50D8410</t>
  </si>
  <si>
    <t>BD1395050</t>
  </si>
  <si>
    <t>8905302263350_Whi_S</t>
  </si>
  <si>
    <t>BD1395106</t>
  </si>
  <si>
    <t>8905302263389_Blu_S</t>
  </si>
  <si>
    <t>12438F66160E</t>
  </si>
  <si>
    <t>15/06/2026</t>
  </si>
  <si>
    <t>BD1395123</t>
  </si>
  <si>
    <t>8905302263393_Blu_L</t>
  </si>
  <si>
    <t>Crazy Mosquitoes-Men-Bottomwear-Jeans-Denim-Blue-Blue-L</t>
  </si>
  <si>
    <t>Credit Note Issued [-], Credit Note Received</t>
  </si>
  <si>
    <t>318ECC2B18BB</t>
  </si>
  <si>
    <t>BD1385617</t>
  </si>
  <si>
    <t>8905302263223_Blu_XXL</t>
  </si>
  <si>
    <t>Crazy Mosquitoes-Men-Bottomwear-Shorts-Denim Shorts-Blue-Mid Blue-XXL</t>
  </si>
  <si>
    <t>2F46872890E3</t>
  </si>
  <si>
    <t>BD1358809</t>
  </si>
  <si>
    <t>8905202264903_Blu_XXL</t>
  </si>
  <si>
    <t>Crazy Mosquitoes-Men-Topwear-Tshirts-Tshirts-Blue-Blue-XXL</t>
  </si>
  <si>
    <t>8316B0D79FBC</t>
  </si>
  <si>
    <t>BD1394019</t>
  </si>
  <si>
    <t>8905302263295_Blu_M</t>
  </si>
  <si>
    <t>0D124DDB1FE7</t>
  </si>
  <si>
    <t>16/06/2026</t>
  </si>
  <si>
    <t>31A9FB400BA2</t>
  </si>
  <si>
    <t>17/06/2026</t>
  </si>
  <si>
    <t>28DFA5E6F891</t>
  </si>
  <si>
    <t>87FB494BD825</t>
  </si>
  <si>
    <t>18/06/2026</t>
  </si>
  <si>
    <t>C8B3C1D6381C</t>
  </si>
  <si>
    <t>5578BA03A2E4</t>
  </si>
  <si>
    <t>BD1358751</t>
  </si>
  <si>
    <t>3E5EA96D2D39</t>
  </si>
  <si>
    <t>BD1411062</t>
  </si>
  <si>
    <t>8905302263399_Blu_S</t>
  </si>
  <si>
    <t>Crazy Mosquitoes-Men-Bottomwear-Jeans-Denim-Blue-Core-S</t>
  </si>
  <si>
    <t>19/06/2026</t>
  </si>
  <si>
    <t>8DE6B3B292DF</t>
  </si>
  <si>
    <t>BD1395122</t>
  </si>
  <si>
    <t>8905302263392_Blu_M</t>
  </si>
  <si>
    <t>4FC90ED13B79</t>
  </si>
  <si>
    <t>BD1394034</t>
  </si>
  <si>
    <t>8905302263318_Bla_M</t>
  </si>
  <si>
    <t>BD1385632</t>
  </si>
  <si>
    <t>8905302263241_Blu_M</t>
  </si>
  <si>
    <t>21FEBEB03654</t>
  </si>
  <si>
    <t>5DC7CB6470F3</t>
  </si>
  <si>
    <t>951EBE2365FB</t>
  </si>
  <si>
    <t>BD1358893</t>
  </si>
  <si>
    <t>Crazy Mosquitoes-Women-Topwear-Tshirts-Tshirts-Red-Red-L</t>
  </si>
  <si>
    <t>20/06/2026</t>
  </si>
  <si>
    <t>92FB481741AA</t>
  </si>
  <si>
    <t>3466D3DB23FA</t>
  </si>
  <si>
    <t>E69E72187492</t>
  </si>
  <si>
    <t>BD1395071</t>
  </si>
  <si>
    <t>8905302263357_Blu_S</t>
  </si>
  <si>
    <t>Crazy Mosquitoes-Men-Bottomwear-Jeans-Denim-Blue-Blue-S</t>
  </si>
  <si>
    <t>BD1394003</t>
  </si>
  <si>
    <t>8905302263283_Blu_L</t>
  </si>
  <si>
    <t>59F40FEBA1CB</t>
  </si>
  <si>
    <t>BD1394026</t>
  </si>
  <si>
    <t>8905302263300_Bro_M</t>
  </si>
  <si>
    <t>Crazy Mosquitoes-Men-Topwear-Shirt-Shirt-Brown-Brown-M</t>
  </si>
  <si>
    <t>A2E8FDF5CFA8</t>
  </si>
  <si>
    <t>75B483DA2061</t>
  </si>
  <si>
    <t>80A6B050B1CA</t>
  </si>
  <si>
    <t>9536D20AE93E</t>
  </si>
  <si>
    <t>BD1395109</t>
  </si>
  <si>
    <t>8905302263384_Blu_XL</t>
  </si>
  <si>
    <t>3D141B651E77</t>
  </si>
  <si>
    <t>Credit Note Received, Credit Note Received , Cash</t>
  </si>
  <si>
    <t>D502BA14E487</t>
  </si>
  <si>
    <t>DistrictPay(Temp)</t>
  </si>
  <si>
    <t>63DD4CDD8781</t>
  </si>
  <si>
    <t>21/06/2026</t>
  </si>
  <si>
    <t>F46AE0B7B393</t>
  </si>
  <si>
    <t>BD1358775</t>
  </si>
  <si>
    <t>8905202269311_Bla_XXL</t>
  </si>
  <si>
    <t>22D3A5466C30</t>
  </si>
  <si>
    <t>DAD293A17763</t>
  </si>
  <si>
    <t>B257A0FDC034</t>
  </si>
  <si>
    <t>BD1411068</t>
  </si>
  <si>
    <t>8905302263406_Bla_L</t>
  </si>
  <si>
    <t>Crazy Mosquitoes-Men-Bottomwear-Jeans-Denim-Black-Core-L</t>
  </si>
  <si>
    <t>30648FB998AD</t>
  </si>
  <si>
    <t>BD1358797</t>
  </si>
  <si>
    <t>Crazy Mosquitoes-Men-Topwear-Tshirts-Tshirts-Grey-Grey-M</t>
  </si>
  <si>
    <t>22/06/2026</t>
  </si>
  <si>
    <t>BD1411075</t>
  </si>
  <si>
    <t>8905302263417_Bla_XL</t>
  </si>
  <si>
    <t>Crazy Mosquitoes-Men-Topwear-Shirt-Creative -Black-Core-XL</t>
  </si>
  <si>
    <t>0FAB81D87331</t>
  </si>
  <si>
    <t>6DCA3DAF59AA</t>
  </si>
  <si>
    <t>DCAFEA717160</t>
  </si>
  <si>
    <t>BD1392647</t>
  </si>
  <si>
    <t>8905302263252_Bla_L</t>
  </si>
  <si>
    <t>Crazy Mosquitoes-Men-Topwear-Shirt-Shirt-Black-Black-L</t>
  </si>
  <si>
    <t>2DE35A24AEF5</t>
  </si>
  <si>
    <t>BD1395102</t>
  </si>
  <si>
    <t>8905302263377_Pin_L</t>
  </si>
  <si>
    <t>Crazy Mosquitoes-Men-Topwear-Tshirts-Tshirts-Pink-Pink-L</t>
  </si>
  <si>
    <t>F7FA7E7B4686</t>
  </si>
  <si>
    <t>BD1417302</t>
  </si>
  <si>
    <t>8905302263339_Blu_L</t>
  </si>
  <si>
    <t>Crazy Mosquitoes-Men-Bottomwear-Jeans-Vintage-Blue-Core-L</t>
  </si>
  <si>
    <t>23/06/2026</t>
  </si>
  <si>
    <t>3D2E8D722156</t>
  </si>
  <si>
    <t>9AFCF395E47F</t>
  </si>
  <si>
    <t>E9B3DF4015DA</t>
  </si>
  <si>
    <t>BD1394017</t>
  </si>
  <si>
    <t>8905302263296_Blu_L</t>
  </si>
  <si>
    <t>24/06/2026</t>
  </si>
  <si>
    <t>D39409E05A79</t>
  </si>
  <si>
    <t>18F494EDB124</t>
  </si>
  <si>
    <t>25/06/2026</t>
  </si>
  <si>
    <t>B20463D41959</t>
  </si>
  <si>
    <t>8EAFBCAE3FF9</t>
  </si>
  <si>
    <t>BD1395107</t>
  </si>
  <si>
    <t>8905302263390_Blu_M</t>
  </si>
  <si>
    <t>5BA1A8614335</t>
  </si>
  <si>
    <t>26/06/2026</t>
  </si>
  <si>
    <t>C42578D78DCA</t>
  </si>
  <si>
    <t>C454D6F0E3C1</t>
  </si>
  <si>
    <t>EBE010CB74BB</t>
  </si>
  <si>
    <t>5B389C15F52C</t>
  </si>
  <si>
    <t>BE5465876DB5</t>
  </si>
  <si>
    <t>27/06/2026</t>
  </si>
  <si>
    <t>BD1411069</t>
  </si>
  <si>
    <t>8905302263412_Whi_XL</t>
  </si>
  <si>
    <t>Crazy Mosquitoes-Men-Topwear-Shirt-Creative -White-Core-XL</t>
  </si>
  <si>
    <t>83B0026A732C</t>
  </si>
  <si>
    <t>FE8BC58F8F62</t>
  </si>
  <si>
    <t>CD0F7A15FFE6</t>
  </si>
  <si>
    <t>B4D8007C70A5</t>
  </si>
  <si>
    <t xml:space="preserve">Reverse Classic Blue </t>
  </si>
  <si>
    <t>C Blue</t>
  </si>
  <si>
    <t>Black Dart Denim</t>
  </si>
  <si>
    <t>Creative White</t>
  </si>
  <si>
    <t>Creative Black</t>
  </si>
  <si>
    <t>Creative D.Brown</t>
  </si>
  <si>
    <t>D Brown</t>
  </si>
  <si>
    <t>Champion White Tee</t>
  </si>
  <si>
    <t>V.Blue Paint Splash</t>
  </si>
  <si>
    <t>Butterfly Grey</t>
  </si>
  <si>
    <t>Lemon Half Garffiti</t>
  </si>
  <si>
    <t>Yellow</t>
  </si>
  <si>
    <t>Red Stripe Shirt</t>
  </si>
  <si>
    <t>That’s ALL Folks</t>
  </si>
  <si>
    <t>Vintage Paint Splash</t>
  </si>
  <si>
    <t>Yellow Stripe Shirt</t>
  </si>
  <si>
    <t>Army Green Oxford</t>
  </si>
  <si>
    <t>E4DA7C3AEA66</t>
  </si>
  <si>
    <t>227BAD5C24F6</t>
  </si>
  <si>
    <t>F7F7F9D8E5D8</t>
  </si>
  <si>
    <t>34C35F69D273</t>
  </si>
  <si>
    <t>DDBBA9340012</t>
  </si>
  <si>
    <t>28/06/2026</t>
  </si>
  <si>
    <t>AAEB3EA984D5</t>
  </si>
  <si>
    <t>1D7C9B59F3B2</t>
  </si>
  <si>
    <t>51B32946585A</t>
  </si>
  <si>
    <t>BD1411072</t>
  </si>
  <si>
    <t>8905302263415_Bla_M</t>
  </si>
  <si>
    <t>Crazy Mosquitoes-Men-Topwear-Shirt-Creative -Black-Core-M</t>
  </si>
  <si>
    <t>E315E9D62A75</t>
  </si>
  <si>
    <t>ACDB4B796FCB</t>
  </si>
  <si>
    <t>5CBDA5FB30F3</t>
  </si>
  <si>
    <t>EA7FC21284F0</t>
  </si>
  <si>
    <t>333430190C6C</t>
  </si>
  <si>
    <t>BD1358777</t>
  </si>
  <si>
    <t>EB4DA24716D9</t>
  </si>
  <si>
    <t>1738A49D3015</t>
  </si>
  <si>
    <t>29/06/2026</t>
  </si>
  <si>
    <t>036DC83BB903</t>
  </si>
  <si>
    <t>44C96763512A</t>
  </si>
  <si>
    <t>30/06/2026</t>
  </si>
  <si>
    <t>48833FFB3BE2</t>
  </si>
  <si>
    <t>EAEACF15562F</t>
  </si>
  <si>
    <t>4E4A71F05490</t>
  </si>
  <si>
    <t>22B7B521F07E</t>
  </si>
  <si>
    <t>BD1394033</t>
  </si>
  <si>
    <t>8905302263317_Bla_S</t>
  </si>
  <si>
    <t>25305F4BB754</t>
  </si>
  <si>
    <t>B31F2042B530</t>
  </si>
  <si>
    <t>s</t>
  </si>
  <si>
    <t>Jan</t>
  </si>
  <si>
    <t>Feb</t>
  </si>
  <si>
    <t>Mar</t>
  </si>
  <si>
    <t>Apr</t>
  </si>
  <si>
    <t>Dec</t>
  </si>
  <si>
    <t>(blank)</t>
  </si>
  <si>
    <t>% Cont</t>
  </si>
  <si>
    <t>NSV</t>
  </si>
  <si>
    <t>Total NSV</t>
  </si>
  <si>
    <t>.Qty</t>
  </si>
  <si>
    <t>Total .Qty</t>
  </si>
  <si>
    <t>Growth %</t>
  </si>
  <si>
    <t>Broadway-Hyderabad-Store</t>
  </si>
  <si>
    <t>01/07/2026</t>
  </si>
  <si>
    <t>Jul</t>
  </si>
  <si>
    <t>Jul Total</t>
  </si>
  <si>
    <t>02/07/2026</t>
  </si>
  <si>
    <t>3E75B97D2358</t>
  </si>
  <si>
    <t>8587350CEB49</t>
  </si>
  <si>
    <t>03/07/2026</t>
  </si>
  <si>
    <t>D897BDB54B58</t>
  </si>
  <si>
    <t>C001B02916EA</t>
  </si>
  <si>
    <t>A86EB406A418</t>
  </si>
  <si>
    <t>7BDFF14F6E6E</t>
  </si>
  <si>
    <t>A5D13FAD93C2</t>
  </si>
  <si>
    <t>0710ED32214E</t>
  </si>
  <si>
    <t>82D5413D5198</t>
  </si>
  <si>
    <t>BD1385619</t>
  </si>
  <si>
    <t>8905302263229_Oli_XL</t>
  </si>
  <si>
    <t>Crazy Mosquitoes-Men-Topwear-Shirt-Shirt-Olive-Olive-XL</t>
  </si>
  <si>
    <t xml:space="preserve">Card, Pinelab Card </t>
  </si>
  <si>
    <t>66C7A87C4590</t>
  </si>
  <si>
    <t>BD1395051</t>
  </si>
  <si>
    <t>8905302263347_Blu_S</t>
  </si>
  <si>
    <t>Shorts Total</t>
  </si>
  <si>
    <t>Joggers Total</t>
  </si>
  <si>
    <t>Sweatshirts Total</t>
  </si>
  <si>
    <t>(blank) Total</t>
  </si>
  <si>
    <t>04/07/2026</t>
  </si>
  <si>
    <t>588C877A3B0E</t>
  </si>
  <si>
    <t>BD1411078</t>
  </si>
  <si>
    <t>8905302263411_Whi_L</t>
  </si>
  <si>
    <t>Crazy Mosquitoes-Men-Topwear-Shirt-Creative -White-Core-L</t>
  </si>
  <si>
    <t>99ACF0F904AB</t>
  </si>
  <si>
    <t>BD1411077</t>
  </si>
  <si>
    <t>8905302263410_Whi_M</t>
  </si>
  <si>
    <t>Crazy Mosquitoes-Men-Topwear-Shirt-Creative -White-Core-M</t>
  </si>
  <si>
    <t>614B009BEB73</t>
  </si>
  <si>
    <t>2E4B415088CC</t>
  </si>
  <si>
    <t>6983D8297AF7</t>
  </si>
  <si>
    <t>A21396F4E411</t>
  </si>
  <si>
    <t>Total Sum of Qty</t>
  </si>
  <si>
    <t>Total Sum of Net Sale Amt</t>
  </si>
  <si>
    <t>05/07/2026</t>
  </si>
  <si>
    <t>B09479BB043A</t>
  </si>
  <si>
    <t>BD1395080</t>
  </si>
  <si>
    <t>8905302263359_Blu_L</t>
  </si>
  <si>
    <t>D8FACDB3BFA6</t>
  </si>
  <si>
    <t>BD1411060</t>
  </si>
  <si>
    <t>8905302263407_Bla_XL</t>
  </si>
  <si>
    <t>Crazy Mosquitoes-Men-Bottomwear-Jeans-Denim-Black-Core-XL</t>
  </si>
  <si>
    <t>FA182749BF97</t>
  </si>
  <si>
    <t>CA485EEE368A</t>
  </si>
  <si>
    <t>ECDC901FBC76</t>
  </si>
  <si>
    <t>06/07/2026</t>
  </si>
  <si>
    <t>26B3B9B4C522</t>
  </si>
  <si>
    <t>07/07/2026</t>
  </si>
  <si>
    <t>D9BA2CC64304</t>
  </si>
  <si>
    <t>#N/A</t>
  </si>
  <si>
    <t>08/07/2026</t>
  </si>
  <si>
    <t>31539BCC81EA</t>
  </si>
  <si>
    <t>9DF28BBDDA0B</t>
  </si>
  <si>
    <t>BD1393988</t>
  </si>
  <si>
    <t>8905302263263_Blu_M</t>
  </si>
  <si>
    <t>03E5D3A30E17</t>
  </si>
  <si>
    <t>BD1393999</t>
  </si>
  <si>
    <t>8905302263273_Blu_M</t>
  </si>
  <si>
    <t>469B38F27F07</t>
  </si>
  <si>
    <t>5C6179333FCF</t>
  </si>
  <si>
    <t>10/07/2026</t>
  </si>
  <si>
    <t>D162915B43F6</t>
  </si>
  <si>
    <t>538B7FF1EFF9</t>
  </si>
  <si>
    <t>22BB3EA44EF2</t>
  </si>
  <si>
    <t>BD1394000</t>
  </si>
  <si>
    <t>8905302263279_Gre_L</t>
  </si>
  <si>
    <t>BD1429686</t>
  </si>
  <si>
    <t>8905302263433_Gre_L</t>
  </si>
  <si>
    <t>Crazy Mosquitoes-Men-Topwear-Tshirts-Butterfly-Grey-Core-L</t>
  </si>
  <si>
    <t>11/07/2026</t>
  </si>
  <si>
    <t>4CD7C1755742</t>
  </si>
  <si>
    <t>BD1394002</t>
  </si>
  <si>
    <t>8905302263281_Blu_S</t>
  </si>
  <si>
    <t>1C26D0987A99</t>
  </si>
  <si>
    <t>31B7ABD9D249</t>
  </si>
  <si>
    <t>BD1358786</t>
  </si>
  <si>
    <t>8905202264736_Whi_S</t>
  </si>
  <si>
    <t>F9D10F96FF54</t>
  </si>
  <si>
    <t>A9835580F2EC</t>
  </si>
  <si>
    <t>F8B5FB3B2663</t>
  </si>
  <si>
    <t>12/07/2026</t>
  </si>
  <si>
    <t>30ED8025800A</t>
  </si>
  <si>
    <t>BD1395121</t>
  </si>
  <si>
    <t>8905302263391_Blu_L</t>
  </si>
  <si>
    <t>0DE44B5ED8E2</t>
  </si>
  <si>
    <t>BD1385610</t>
  </si>
  <si>
    <t>8905302263222_Blu_XL</t>
  </si>
  <si>
    <t>Crazy Mosquitoes-Men-Bottomwear-Shorts-Denim Shorts-Blue-Mid Blue-XL</t>
  </si>
  <si>
    <t>41465660A768</t>
  </si>
  <si>
    <t>BD1411074</t>
  </si>
  <si>
    <t>8905302263414_Bla_S</t>
  </si>
  <si>
    <t>Crazy Mosquitoes-Men-Topwear-Shirt-Creative -Black-Core-S</t>
  </si>
  <si>
    <t>AE47D0C9F0CB</t>
  </si>
  <si>
    <t>8A930528EDCD</t>
  </si>
  <si>
    <t>1C04C5409F74</t>
  </si>
  <si>
    <t>BD1395013</t>
  </si>
  <si>
    <t>8905302263331_Nav_M</t>
  </si>
  <si>
    <t>Crazy Mosquitoes-Men-Topwear-Shirt-Shirt-Navy Blue-Navy Blue-M</t>
  </si>
  <si>
    <t>D7FCBBA9A874</t>
  </si>
  <si>
    <t>5912F36DC14C</t>
  </si>
  <si>
    <t>BD1394004</t>
  </si>
  <si>
    <t>8905302263277_Bla_L</t>
  </si>
  <si>
    <t>FF4507491CFB</t>
  </si>
  <si>
    <t>A6EE59E8A6B6</t>
  </si>
  <si>
    <t xml:space="preserve">Card, Card </t>
  </si>
  <si>
    <t>5BD499E032C8</t>
  </si>
  <si>
    <t>BD1429693</t>
  </si>
  <si>
    <t>8905302263434_Gre_XL</t>
  </si>
  <si>
    <t>Crazy Mosquitoes-Men-Topwear-Tshirts-Butterfly-Grey-Core-XL</t>
  </si>
  <si>
    <t>C76C6740B0A4</t>
  </si>
  <si>
    <t>13/07/2026</t>
  </si>
  <si>
    <t>14/07/2026</t>
  </si>
  <si>
    <t>B8940F6AA848</t>
  </si>
  <si>
    <t>D1C6337F57DA</t>
  </si>
  <si>
    <t>55538A95245D</t>
  </si>
  <si>
    <t>866D7728BCB4</t>
  </si>
  <si>
    <t>BD1429685</t>
  </si>
  <si>
    <t>8905302263432_Gre_M</t>
  </si>
  <si>
    <t>Crazy Mosquitoes-Men-Topwear-Tshirts-Butterfly-Grey-Core-M</t>
  </si>
  <si>
    <t>29651F1A3C15</t>
  </si>
  <si>
    <t>UPI, Pinelab UPI</t>
  </si>
  <si>
    <t>15/07/2026</t>
  </si>
  <si>
    <t>E226583B6BAF</t>
  </si>
  <si>
    <t>3ADD438A96CB</t>
  </si>
  <si>
    <t>D54873DA4255</t>
  </si>
  <si>
    <t>4E51ACD84AA7</t>
  </si>
  <si>
    <t>C3FE79487609</t>
  </si>
  <si>
    <t>16/07/2026</t>
  </si>
  <si>
    <t>BB93E0A27783</t>
  </si>
  <si>
    <t>BD1394013</t>
  </si>
  <si>
    <t>8905302263292_Nav_L</t>
  </si>
  <si>
    <t>479395A341D6</t>
  </si>
  <si>
    <t>BD1385575</t>
  </si>
  <si>
    <t>Crazy Mosquitoes-Women-Topwear-Tshirts-Tshirts-Blue-Blue-XL</t>
  </si>
  <si>
    <t>17/07/2026</t>
  </si>
  <si>
    <t>4393CEF26670</t>
  </si>
  <si>
    <t>BD1411065</t>
  </si>
  <si>
    <t>8905302263402_Blu_XL</t>
  </si>
  <si>
    <t>Crazy Mosquitoes-Men-Bottomwear-Jeans-Denim-Blue-Core-XL</t>
  </si>
  <si>
    <t>9E01946AD80D</t>
  </si>
  <si>
    <t>71EA4026E22A</t>
  </si>
  <si>
    <t>19/07/2026</t>
  </si>
  <si>
    <t>F92CB88A9425</t>
  </si>
  <si>
    <t>E7117090AC88</t>
  </si>
  <si>
    <t>Credit Note Received, Credit Note Received , Credit Note Received , Credit Note Received , Card, Pinelab UPI</t>
  </si>
  <si>
    <t>B4FEBEE14E3D</t>
  </si>
  <si>
    <t>D9F2EA18C109</t>
  </si>
  <si>
    <t>901E5B2D5EAF</t>
  </si>
  <si>
    <t>4D8F6F7DA728</t>
  </si>
  <si>
    <t>BD1393990</t>
  </si>
  <si>
    <t>8905302263274_Blu_L</t>
  </si>
  <si>
    <t>9131C5DEE108</t>
  </si>
  <si>
    <t>BD1358880</t>
  </si>
  <si>
    <t>Crazy Mosquitoes-Men-Bottomwear-Shorts-Shorts-Black-Black-L</t>
  </si>
  <si>
    <t>F95CDAF0AA73</t>
  </si>
  <si>
    <t>78D6D790B527</t>
  </si>
  <si>
    <t>F534007636CD</t>
  </si>
  <si>
    <t>18/07/2026</t>
  </si>
  <si>
    <t>551034700C4E</t>
  </si>
  <si>
    <t>087FC37FA5EC</t>
  </si>
  <si>
    <t>A46A01302731</t>
  </si>
  <si>
    <t>D402D594DEAA</t>
  </si>
  <si>
    <t>BD1385600</t>
  </si>
  <si>
    <t>8905302263215_Gre_M</t>
  </si>
  <si>
    <t>Crazy Mosquitoes-Men-Bottomwear-Shorts-Denim Shorts-Grey-Ash Black-M</t>
  </si>
  <si>
    <t>A66459527E55</t>
  </si>
  <si>
    <t>02CEF06708FD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</si>
</sst>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rgb="FF4A1E1E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4D4D4C"/>
      <name val="Courier New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91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1" xfId="0" applyFont="1" applyBorder="1"/>
    <xf numFmtId="0" fontId="6" fillId="0" borderId="0" xfId="0" applyFont="1"/>
    <xf numFmtId="0" fontId="0" fillId="0" borderId="0" xfId="0" applyProtection="1">
      <protection locked="0"/>
    </xf>
    <xf numFmtId="0" fontId="5" fillId="0" borderId="1" xfId="0" applyFont="1" applyBorder="1" applyAlignment="1">
      <alignment horizontal="left" vertical="top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4" fillId="0" borderId="1" xfId="0" applyFont="1" applyBorder="1"/>
    <xf numFmtId="0" fontId="11" fillId="0" borderId="4" xfId="0" applyFont="1" applyBorder="1"/>
    <xf numFmtId="0" fontId="12" fillId="0" borderId="0" xfId="0" applyFont="1"/>
    <xf numFmtId="2" fontId="0" fillId="0" borderId="0" xfId="0" applyNumberFormat="1"/>
    <xf numFmtId="0" fontId="4" fillId="0" borderId="4" xfId="0" applyFont="1" applyBorder="1"/>
    <xf numFmtId="1" fontId="0" fillId="0" borderId="1" xfId="0" applyNumberFormat="1" applyBorder="1"/>
    <xf numFmtId="0" fontId="7" fillId="0" borderId="2" xfId="0" applyFont="1" applyBorder="1" applyAlignment="1">
      <alignment horizontal="right"/>
    </xf>
    <xf numFmtId="0" fontId="6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8" fillId="0" borderId="1" xfId="0" applyFont="1" applyBorder="1" applyProtection="1">
      <protection locked="0"/>
    </xf>
    <xf numFmtId="0" fontId="4" fillId="0" borderId="2" xfId="0" applyFont="1" applyBorder="1" applyAlignment="1">
      <alignment horizontal="right"/>
    </xf>
    <xf numFmtId="0" fontId="0" fillId="0" borderId="0" xfId="0" applyAlignment="1" applyProtection="1">
      <alignment horizontal="right"/>
      <protection locked="0"/>
    </xf>
    <xf numFmtId="0" fontId="9" fillId="0" borderId="1" xfId="0" applyFont="1" applyBorder="1" applyProtection="1">
      <protection locked="0"/>
    </xf>
    <xf numFmtId="0" fontId="9" fillId="0" borderId="3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10" fillId="0" borderId="0" xfId="0" applyFont="1"/>
    <xf numFmtId="0" fontId="5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1" fontId="0" fillId="0" borderId="0" xfId="0" applyNumberFormat="1" applyAlignment="1">
      <alignment horizontal="center"/>
    </xf>
    <xf numFmtId="0" fontId="4" fillId="3" borderId="0" xfId="0" applyFont="1" applyFill="1"/>
    <xf numFmtId="1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6" fillId="3" borderId="0" xfId="0" applyFont="1" applyFill="1"/>
    <xf numFmtId="0" fontId="0" fillId="3" borderId="0" xfId="0" applyFill="1" applyProtection="1">
      <protection locked="0"/>
    </xf>
    <xf numFmtId="0" fontId="5" fillId="3" borderId="1" xfId="0" applyFont="1" applyFill="1" applyBorder="1" applyAlignment="1">
      <alignment horizontal="left" vertical="top"/>
    </xf>
    <xf numFmtId="0" fontId="0" fillId="3" borderId="0" xfId="0" applyFill="1"/>
    <xf numFmtId="0" fontId="11" fillId="3" borderId="4" xfId="0" applyFont="1" applyFill="1" applyBorder="1"/>
    <xf numFmtId="0" fontId="0" fillId="3" borderId="1" xfId="0" applyFill="1" applyBorder="1"/>
    <xf numFmtId="1" fontId="6" fillId="3" borderId="3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8" fillId="3" borderId="4" xfId="0" applyFont="1" applyFill="1" applyBorder="1"/>
    <xf numFmtId="0" fontId="4" fillId="3" borderId="1" xfId="0" applyFont="1" applyFill="1" applyBorder="1"/>
    <xf numFmtId="0" fontId="4" fillId="3" borderId="4" xfId="0" applyFont="1" applyFill="1" applyBorder="1"/>
    <xf numFmtId="0" fontId="9" fillId="3" borderId="4" xfId="0" applyFont="1" applyFill="1" applyBorder="1"/>
    <xf numFmtId="0" fontId="1" fillId="2" borderId="4" xfId="0" applyFont="1" applyFill="1" applyBorder="1" applyAlignment="1">
      <alignment horizontal="left" vertical="top" wrapText="1"/>
    </xf>
    <xf numFmtId="0" fontId="0" fillId="4" borderId="0" xfId="0" applyFill="1"/>
    <xf numFmtId="0" fontId="0" fillId="5" borderId="0" xfId="0" applyFill="1"/>
    <xf numFmtId="0" fontId="4" fillId="6" borderId="0" xfId="0" applyFont="1" applyFill="1"/>
    <xf numFmtId="1" fontId="0" fillId="6" borderId="1" xfId="0" applyNumberFormat="1" applyFill="1" applyBorder="1" applyAlignment="1">
      <alignment horizontal="center"/>
    </xf>
    <xf numFmtId="0" fontId="5" fillId="6" borderId="1" xfId="0" applyFont="1" applyFill="1" applyBorder="1"/>
    <xf numFmtId="0" fontId="4" fillId="6" borderId="1" xfId="0" applyFont="1" applyFill="1" applyBorder="1"/>
    <xf numFmtId="0" fontId="0" fillId="6" borderId="0" xfId="0" applyFill="1" applyProtection="1">
      <protection locked="0"/>
    </xf>
    <xf numFmtId="0" fontId="0" fillId="6" borderId="0" xfId="0" applyFill="1"/>
    <xf numFmtId="0" fontId="5" fillId="6" borderId="1" xfId="0" applyFont="1" applyFill="1" applyBorder="1" applyAlignment="1">
      <alignment horizontal="left" vertical="top"/>
    </xf>
    <xf numFmtId="0" fontId="0" fillId="6" borderId="1" xfId="0" applyFill="1" applyBorder="1"/>
    <xf numFmtId="0" fontId="6" fillId="6" borderId="0" xfId="0" applyFont="1" applyFill="1"/>
    <xf numFmtId="0" fontId="0" fillId="0" borderId="0" xfId="0" pivotButton="1"/>
    <xf numFmtId="0" fontId="0" fillId="7" borderId="0" xfId="0" applyFill="1"/>
    <xf numFmtId="0" fontId="0" fillId="8" borderId="0" xfId="0" applyFill="1"/>
    <xf numFmtId="164" fontId="0" fillId="0" borderId="0" xfId="1" applyNumberFormat="1" applyFont="1"/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2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2" fontId="15" fillId="0" borderId="1" xfId="2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15" fillId="0" borderId="10" xfId="0" applyNumberFormat="1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1" fontId="15" fillId="0" borderId="12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0" fillId="8" borderId="6" xfId="0" applyFill="1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1" fontId="0" fillId="0" borderId="21" xfId="0" applyNumberFormat="1" applyBorder="1"/>
    <xf numFmtId="0" fontId="0" fillId="0" borderId="22" xfId="0" applyBorder="1"/>
    <xf numFmtId="0" fontId="15" fillId="8" borderId="9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2" fontId="15" fillId="8" borderId="1" xfId="0" applyNumberFormat="1" applyFont="1" applyFill="1" applyBorder="1" applyAlignment="1">
      <alignment horizontal="center"/>
    </xf>
    <xf numFmtId="1" fontId="15" fillId="8" borderId="1" xfId="0" applyNumberFormat="1" applyFont="1" applyFill="1" applyBorder="1" applyAlignment="1">
      <alignment horizontal="center"/>
    </xf>
    <xf numFmtId="1" fontId="15" fillId="8" borderId="10" xfId="0" applyNumberFormat="1" applyFont="1" applyFill="1" applyBorder="1" applyAlignment="1">
      <alignment horizontal="center"/>
    </xf>
    <xf numFmtId="2" fontId="15" fillId="8" borderId="1" xfId="2" applyNumberFormat="1" applyFont="1" applyFill="1" applyBorder="1" applyAlignment="1">
      <alignment horizontal="center"/>
    </xf>
    <xf numFmtId="0" fontId="0" fillId="0" borderId="16" xfId="0" applyBorder="1"/>
    <xf numFmtId="0" fontId="15" fillId="0" borderId="14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15" fillId="8" borderId="24" xfId="0" applyFont="1" applyFill="1" applyBorder="1" applyAlignment="1">
      <alignment horizontal="center"/>
    </xf>
    <xf numFmtId="1" fontId="15" fillId="0" borderId="25" xfId="0" applyNumberFormat="1" applyFont="1" applyBorder="1" applyAlignment="1">
      <alignment horizontal="center"/>
    </xf>
    <xf numFmtId="1" fontId="15" fillId="8" borderId="26" xfId="0" applyNumberFormat="1" applyFont="1" applyFill="1" applyBorder="1" applyAlignment="1">
      <alignment horizontal="center"/>
    </xf>
    <xf numFmtId="0" fontId="0" fillId="0" borderId="24" xfId="0" applyBorder="1"/>
    <xf numFmtId="0" fontId="15" fillId="0" borderId="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1" fontId="15" fillId="0" borderId="22" xfId="0" applyNumberFormat="1" applyFont="1" applyBorder="1" applyAlignment="1">
      <alignment horizontal="center"/>
    </xf>
    <xf numFmtId="0" fontId="0" fillId="9" borderId="0" xfId="0" applyFill="1"/>
    <xf numFmtId="2" fontId="0" fillId="5" borderId="0" xfId="0" applyNumberFormat="1" applyFill="1"/>
    <xf numFmtId="2" fontId="0" fillId="7" borderId="0" xfId="0" applyNumberFormat="1" applyFill="1"/>
    <xf numFmtId="0" fontId="5" fillId="0" borderId="0" xfId="0" applyFont="1"/>
    <xf numFmtId="0" fontId="5" fillId="0" borderId="0" xfId="0" applyFont="1" applyAlignment="1">
      <alignment horizontal="left" vertical="top"/>
    </xf>
    <xf numFmtId="0" fontId="6" fillId="8" borderId="1" xfId="0" applyFont="1" applyFill="1" applyBorder="1"/>
    <xf numFmtId="0" fontId="0" fillId="8" borderId="1" xfId="0" applyFill="1" applyBorder="1"/>
    <xf numFmtId="0" fontId="4" fillId="8" borderId="0" xfId="0" applyFont="1" applyFill="1"/>
    <xf numFmtId="0" fontId="4" fillId="4" borderId="0" xfId="0" applyFont="1" applyFill="1"/>
    <xf numFmtId="1" fontId="0" fillId="4" borderId="1" xfId="0" applyNumberFormat="1" applyFill="1" applyBorder="1" applyAlignment="1">
      <alignment horizontal="center"/>
    </xf>
    <xf numFmtId="0" fontId="5" fillId="4" borderId="1" xfId="0" applyFont="1" applyFill="1" applyBorder="1"/>
    <xf numFmtId="0" fontId="0" fillId="4" borderId="0" xfId="0" applyFill="1" applyProtection="1">
      <protection locked="0"/>
    </xf>
    <xf numFmtId="0" fontId="5" fillId="4" borderId="1" xfId="0" applyFont="1" applyFill="1" applyBorder="1" applyAlignment="1">
      <alignment horizontal="left" vertical="top"/>
    </xf>
    <xf numFmtId="0" fontId="0" fillId="4" borderId="1" xfId="0" applyFill="1" applyBorder="1"/>
    <xf numFmtId="0" fontId="6" fillId="4" borderId="0" xfId="0" applyFont="1" applyFill="1"/>
    <xf numFmtId="0" fontId="4" fillId="4" borderId="4" xfId="0" applyFont="1" applyFill="1" applyBorder="1"/>
    <xf numFmtId="1" fontId="0" fillId="8" borderId="1" xfId="0" applyNumberFormat="1" applyFill="1" applyBorder="1" applyAlignment="1">
      <alignment horizontal="center"/>
    </xf>
    <xf numFmtId="0" fontId="0" fillId="8" borderId="4" xfId="0" applyFill="1" applyBorder="1"/>
    <xf numFmtId="0" fontId="5" fillId="8" borderId="1" xfId="0" applyFont="1" applyFill="1" applyBorder="1"/>
    <xf numFmtId="0" fontId="0" fillId="8" borderId="0" xfId="0" applyFill="1" applyProtection="1">
      <protection locked="0"/>
    </xf>
    <xf numFmtId="0" fontId="5" fillId="8" borderId="1" xfId="0" applyFont="1" applyFill="1" applyBorder="1" applyAlignment="1">
      <alignment horizontal="left" vertical="top"/>
    </xf>
    <xf numFmtId="0" fontId="6" fillId="8" borderId="0" xfId="0" applyFont="1" applyFill="1"/>
    <xf numFmtId="0" fontId="8" fillId="8" borderId="0" xfId="0" applyFont="1" applyFill="1" applyProtection="1">
      <protection locked="0"/>
    </xf>
    <xf numFmtId="0" fontId="4" fillId="4" borderId="1" xfId="0" applyFont="1" applyFill="1" applyBorder="1"/>
    <xf numFmtId="0" fontId="11" fillId="4" borderId="1" xfId="0" applyFont="1" applyFill="1" applyBorder="1"/>
    <xf numFmtId="0" fontId="4" fillId="10" borderId="0" xfId="0" applyFont="1" applyFill="1"/>
    <xf numFmtId="1" fontId="0" fillId="10" borderId="1" xfId="0" applyNumberFormat="1" applyFill="1" applyBorder="1" applyAlignment="1">
      <alignment horizontal="center"/>
    </xf>
    <xf numFmtId="0" fontId="5" fillId="10" borderId="1" xfId="0" applyFont="1" applyFill="1" applyBorder="1"/>
    <xf numFmtId="0" fontId="0" fillId="10" borderId="0" xfId="0" applyFill="1" applyProtection="1">
      <protection locked="0"/>
    </xf>
    <xf numFmtId="0" fontId="5" fillId="10" borderId="1" xfId="0" applyFont="1" applyFill="1" applyBorder="1" applyAlignment="1">
      <alignment horizontal="left" vertical="top"/>
    </xf>
    <xf numFmtId="0" fontId="0" fillId="10" borderId="0" xfId="0" applyFill="1"/>
    <xf numFmtId="0" fontId="11" fillId="10" borderId="0" xfId="0" applyFont="1" applyFill="1"/>
    <xf numFmtId="0" fontId="5" fillId="10" borderId="0" xfId="0" applyFont="1" applyFill="1"/>
    <xf numFmtId="0" fontId="6" fillId="10" borderId="0" xfId="0" applyFont="1" applyFill="1"/>
    <xf numFmtId="0" fontId="4" fillId="9" borderId="0" xfId="0" applyFont="1" applyFill="1"/>
    <xf numFmtId="1" fontId="0" fillId="9" borderId="1" xfId="0" applyNumberFormat="1" applyFill="1" applyBorder="1" applyAlignment="1">
      <alignment horizontal="center"/>
    </xf>
    <xf numFmtId="0" fontId="5" fillId="9" borderId="1" xfId="0" applyFont="1" applyFill="1" applyBorder="1"/>
    <xf numFmtId="0" fontId="0" fillId="9" borderId="0" xfId="0" applyFill="1" applyProtection="1">
      <protection locked="0"/>
    </xf>
    <xf numFmtId="0" fontId="5" fillId="9" borderId="1" xfId="0" applyFont="1" applyFill="1" applyBorder="1" applyAlignment="1">
      <alignment horizontal="left" vertical="top"/>
    </xf>
    <xf numFmtId="0" fontId="11" fillId="9" borderId="0" xfId="0" applyFont="1" applyFill="1"/>
    <xf numFmtId="0" fontId="5" fillId="9" borderId="0" xfId="0" applyFont="1" applyFill="1"/>
    <xf numFmtId="0" fontId="6" fillId="9" borderId="0" xfId="0" applyFont="1" applyFill="1"/>
    <xf numFmtId="0" fontId="0" fillId="9" borderId="1" xfId="0" applyFill="1" applyBorder="1"/>
    <xf numFmtId="0" fontId="11" fillId="9" borderId="1" xfId="0" applyFont="1" applyFill="1" applyBorder="1"/>
    <xf numFmtId="0" fontId="4" fillId="9" borderId="1" xfId="0" applyFont="1" applyFill="1" applyBorder="1"/>
    <xf numFmtId="1" fontId="0" fillId="8" borderId="0" xfId="0" applyNumberFormat="1" applyFill="1"/>
    <xf numFmtId="0" fontId="6" fillId="4" borderId="1" xfId="0" applyFont="1" applyFill="1" applyBorder="1"/>
    <xf numFmtId="0" fontId="11" fillId="3" borderId="1" xfId="0" applyFont="1" applyFill="1" applyBorder="1"/>
    <xf numFmtId="0" fontId="6" fillId="3" borderId="1" xfId="0" applyFont="1" applyFill="1" applyBorder="1"/>
    <xf numFmtId="0" fontId="6" fillId="8" borderId="4" xfId="0" applyFont="1" applyFill="1" applyBorder="1"/>
    <xf numFmtId="164" fontId="0" fillId="0" borderId="0" xfId="0" applyNumberFormat="1"/>
    <xf numFmtId="9" fontId="0" fillId="0" borderId="0" xfId="2" applyFont="1"/>
    <xf numFmtId="0" fontId="0" fillId="0" borderId="28" xfId="0" applyBorder="1"/>
    <xf numFmtId="1" fontId="0" fillId="0" borderId="28" xfId="0" applyNumberFormat="1" applyBorder="1"/>
    <xf numFmtId="9" fontId="0" fillId="0" borderId="28" xfId="2" applyFont="1" applyBorder="1"/>
    <xf numFmtId="9" fontId="16" fillId="0" borderId="28" xfId="0" applyNumberFormat="1" applyFont="1" applyBorder="1"/>
    <xf numFmtId="0" fontId="15" fillId="8" borderId="28" xfId="0" applyFont="1" applyFill="1" applyBorder="1"/>
    <xf numFmtId="0" fontId="15" fillId="0" borderId="28" xfId="0" applyFont="1" applyBorder="1"/>
    <xf numFmtId="1" fontId="15" fillId="0" borderId="28" xfId="0" applyNumberFormat="1" applyFont="1" applyBorder="1"/>
    <xf numFmtId="0" fontId="15" fillId="8" borderId="32" xfId="0" applyFont="1" applyFill="1" applyBorder="1"/>
    <xf numFmtId="0" fontId="15" fillId="8" borderId="0" xfId="0" applyFont="1" applyFill="1"/>
    <xf numFmtId="9" fontId="15" fillId="8" borderId="0" xfId="2" applyFont="1" applyFill="1"/>
    <xf numFmtId="9" fontId="15" fillId="0" borderId="28" xfId="2" applyFont="1" applyBorder="1"/>
    <xf numFmtId="164" fontId="0" fillId="0" borderId="0" xfId="0" pivotButton="1" applyNumberFormat="1"/>
    <xf numFmtId="1" fontId="0" fillId="11" borderId="0" xfId="0" applyNumberFormat="1" applyFill="1"/>
    <xf numFmtId="1" fontId="0" fillId="5" borderId="0" xfId="0" applyNumberFormat="1" applyFill="1"/>
    <xf numFmtId="164" fontId="0" fillId="5" borderId="0" xfId="0" applyNumberFormat="1" applyFill="1"/>
    <xf numFmtId="0" fontId="12" fillId="5" borderId="0" xfId="0" applyFont="1" applyFill="1"/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15" fillId="8" borderId="15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15" fillId="8" borderId="17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15" fillId="8" borderId="18" xfId="0" applyFont="1" applyFill="1" applyBorder="1" applyAlignment="1">
      <alignment horizontal="center"/>
    </xf>
    <xf numFmtId="0" fontId="15" fillId="8" borderId="19" xfId="0" applyFont="1" applyFill="1" applyBorder="1" applyAlignment="1">
      <alignment horizontal="center"/>
    </xf>
    <xf numFmtId="0" fontId="0" fillId="0" borderId="0" xfId="0" applyNumberFormat="1"/>
    <xf numFmtId="0" fontId="0" fillId="5" borderId="0" xfId="0" applyNumberFormat="1" applyFill="1"/>
    <xf numFmtId="164" fontId="0" fillId="0" borderId="0" xfId="0" applyNumberFormat="1" applyFill="1"/>
    <xf numFmtId="1" fontId="0" fillId="0" borderId="0" xfId="0" applyNumberFormat="1" applyFill="1"/>
    <xf numFmtId="0" fontId="0" fillId="11" borderId="0" xfId="0" applyFill="1"/>
    <xf numFmtId="0" fontId="12" fillId="11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3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" formatCode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" formatCode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64" formatCode="_(* #,##0_);_(* \(#,##0\);_(* &quot;-&quot;??_);_(@_)"/>
    </dxf>
    <dxf>
      <numFmt numFmtId="1" formatCode="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" formatCode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64" formatCode="_(* #,##0_);_(* \(#,##0\);_(* &quot;-&quot;??_);_(@_)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" formatCode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" formatCode="0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23.02524988426" createdVersion="8" refreshedVersion="8" minRefreshableVersion="3" recordCount="601" xr:uid="{43FA8EDE-D055-1B46-BF38-EECC8EA8224D}">
  <cacheSource type="worksheet">
    <worksheetSource ref="A2:V603" sheet="YTD"/>
  </cacheSource>
  <cacheFields count="22">
    <cacheField name="Store" numFmtId="0">
      <sharedItems containsBlank="1" count="6">
        <s v="Broadway-Hyderabad"/>
        <s v="Broadway-Pune"/>
        <s v="Broadway Delhi, Vasantkunj"/>
        <s v="Broadway Mumbai"/>
        <m/>
        <s v="Broadway-Hyderabad-Store" u="1"/>
      </sharedItems>
    </cacheField>
    <cacheField name="Bill Date" numFmtId="0">
      <sharedItems containsBlank="1" count="144">
        <s v="27/12/2025"/>
        <s v="28/12/2025"/>
        <s v="31/12/2025"/>
        <s v="02/01/2026"/>
        <s v="04/01/2026"/>
        <s v="05/01/2026"/>
        <s v="09/01/2026"/>
        <s v="10/01/2026"/>
        <s v="11/01/2026"/>
        <s v="12/01/2026"/>
        <s v="15/01/2026"/>
        <s v="18/01/2026"/>
        <s v="23/01/2026"/>
        <s v="24/01/2026"/>
        <s v="25/01/2026"/>
        <s v="22/02/2026"/>
        <s v="16/02/2026"/>
        <s v="13/02/2026"/>
        <s v="10/02/2026"/>
        <s v="08/02/2026"/>
        <s v="07/02/2026"/>
        <s v="02/02/2026"/>
        <s v="01/03/2026"/>
        <s v="04/03/2026"/>
        <s v="06/03/2026"/>
        <s v="14/03/2026"/>
        <s v="15/03/2026"/>
        <s v="17/03/2026"/>
        <s v="18/03/2026"/>
        <s v="19/03/2026"/>
        <s v="20/03/2026"/>
        <s v="21/03/2026"/>
        <s v="22/03/2026"/>
        <s v="23/03/2026"/>
        <s v="24/03/2026"/>
        <s v="25/03/2026"/>
        <s v="26/03/2026"/>
        <s v="27/03/2026"/>
        <s v="28/03/2026"/>
        <s v="29/03/2026"/>
        <s v="30/03/2026"/>
        <s v="31/03/2026"/>
        <s v="01/04/2026"/>
        <s v="02/04/2026"/>
        <s v="03/04/2026"/>
        <s v="04/04/2026"/>
        <s v="05/04/2026"/>
        <s v="06/04/2026"/>
        <s v="08/04/2026"/>
        <s v="09/04/2026"/>
        <s v="10/04/2026"/>
        <s v="11/04/2026"/>
        <s v="12/04/2026"/>
        <s v="14/04/2026"/>
        <s v="16/04/2026"/>
        <s v="17/04/2026"/>
        <s v="18/04/2026"/>
        <s v="19/04/2026"/>
        <s v="20/04/2026"/>
        <s v="21/04/2026"/>
        <s v="22/04/2026"/>
        <s v="23/04/2026"/>
        <s v="24/04/2026"/>
        <s v="25/04/2026"/>
        <s v="26/04/2026"/>
        <s v="27/04/2026"/>
        <s v="30/04/2026"/>
        <s v="28/04/2026"/>
        <s v="04/05/2026"/>
        <s v="01/05/2026"/>
        <s v="02/05/2026"/>
        <s v="03/05/2026"/>
        <s v="05/05/2026"/>
        <s v="07/05/2026"/>
        <s v="08/05/2026"/>
        <s v="09/05/2026"/>
        <s v="10/05/2026"/>
        <s v="13/05/2026"/>
        <s v="14/05/2026"/>
        <s v="15/05/2026"/>
        <s v="16/05/2026"/>
        <s v="17/05/2026"/>
        <s v="18/05/2026"/>
        <s v="19/05/2026"/>
        <s v="20/05/2026"/>
        <s v="21/05/2026"/>
        <s v="22/05/2026"/>
        <s v="23/05/2026"/>
        <s v="24/05/2026"/>
        <s v="25/05/2026"/>
        <s v="26/05/2026"/>
        <s v="27/05/2026"/>
        <s v="28/05/2026"/>
        <s v="29/05/2026"/>
        <s v="30/05/2026"/>
        <s v="31/05/2026"/>
        <s v="20/06/2026"/>
        <s v="01/06/2026"/>
        <s v="02/06/2026"/>
        <s v="04/06/2026"/>
        <s v="05/06/2026"/>
        <s v="06/06/2026"/>
        <s v="07/06/2026"/>
        <s v="08/06/2026"/>
        <s v="09/06/2026"/>
        <s v="10/06/2026"/>
        <s v="11/06/2026"/>
        <s v="12/06/2026"/>
        <s v="13/06/2026"/>
        <s v="14/06/2026"/>
        <s v="15/06/2026"/>
        <s v="16/06/2026"/>
        <s v="17/06/2026"/>
        <s v="18/06/2026"/>
        <s v="19/06/2026"/>
        <s v="21/06/2026"/>
        <s v="22/06/2026"/>
        <s v="23/06/2026"/>
        <s v="24/06/2026"/>
        <s v="25/06/2026"/>
        <s v="26/06/2026"/>
        <s v="27/06/2026"/>
        <s v="28/06/2026"/>
        <s v="29/06/2026"/>
        <s v="30/06/2026"/>
        <s v="01/07/2026"/>
        <s v="08/07/2026"/>
        <s v="13/07/2026"/>
        <s v="14/07/2026"/>
        <s v="15/07/2026"/>
        <s v="02/07/2026"/>
        <s v="03/07/2026"/>
        <s v="04/07/2026"/>
        <s v="05/07/2026"/>
        <s v="06/07/2026"/>
        <s v="07/07/2026"/>
        <s v="10/07/2026"/>
        <s v="11/07/2026"/>
        <s v="12/07/2026"/>
        <s v="16/07/2026"/>
        <s v="17/07/2026"/>
        <s v="18/07/2026"/>
        <s v="19/07/2026"/>
        <m/>
      </sharedItems>
    </cacheField>
    <cacheField name="Customer ID" numFmtId="0">
      <sharedItems containsBlank="1" containsMixedTypes="1" containsNumber="1" containsInteger="1" minValue="98110370260" maxValue="3.6434033199999998E+99"/>
    </cacheField>
    <cacheField name="Division" numFmtId="0">
      <sharedItems containsBlank="1"/>
    </cacheField>
    <cacheField name="Section" numFmtId="0">
      <sharedItems containsBlank="1"/>
    </cacheField>
    <cacheField name="Department" numFmtId="0">
      <sharedItems containsBlank="1"/>
    </cacheField>
    <cacheField name="Node" numFmtId="0">
      <sharedItems containsBlank="1" count="7">
        <s v="Tshirts"/>
        <s v="Sweatshirts"/>
        <s v="Shirt"/>
        <s v="Jeans"/>
        <s v="Shorts"/>
        <s v="Joggers"/>
        <m/>
      </sharedItems>
    </cacheField>
    <cacheField name="Month" numFmtId="0">
      <sharedItems containsBlank="1" count="10">
        <s v="Dec"/>
        <s v="Jan"/>
        <s v="Feb"/>
        <s v="Mar"/>
        <s v="Apr"/>
        <s v="May"/>
        <s v="Jun"/>
        <s v="Jul"/>
        <m/>
        <s v="Crazy Mosquitoes" u="1"/>
      </sharedItems>
    </cacheField>
    <cacheField name="Barcode" numFmtId="0">
      <sharedItems containsString="0" containsBlank="1" containsNumber="1" containsInteger="1" minValue="8905202263104" maxValue="8905302263434"/>
    </cacheField>
    <cacheField name="Icode" numFmtId="0">
      <sharedItems containsBlank="1"/>
    </cacheField>
    <cacheField name="Vendor Article Number" numFmtId="0">
      <sharedItems containsBlank="1" containsMixedTypes="1" containsNumber="1" containsInteger="1" minValue="8905202263180" maxValue="8905302263196"/>
    </cacheField>
    <cacheField name="Item Name" numFmtId="0">
      <sharedItems containsBlank="1" count="146">
        <s v="Crazy Mosquitoes-Men-Topwear-Tshirts-Tshirts-Red-Red-XL"/>
        <s v="Crazy Mosquitoes-Men-Topwear-Sweatshirts-Sweatshirts-Black-Black-L"/>
        <s v="Crazy Mosquitoes-Men-Topwear-Sweatshirts-Sweatshirts-Blue-Blue-S"/>
        <s v="Crazy Mosquitoes-Men-Topwear-Sweatshirts-Sweatshirts-Grey-Grey-S"/>
        <s v="Crazy Mosquitoes-Men-Topwear-Sweatshirts-Sweatshirts-Black-Black-S"/>
        <s v="Crazy Mosquitoes-Men-Topwear-Tshirts-Tshirts-White-White-M"/>
        <s v="Crazy Mosquitoes-Men-Topwear-Sweatshirts-Sweatshirts-Red-Red-L"/>
        <s v="Crazy Mosquitoes-Women-Topwear-Tshirts-Tshirts-Black-Black-S"/>
        <s v="Crazy Mosquitoes-Men-Topwear-Tshirts-Tshirts-White-White-L"/>
        <s v="Crazy Mosquitoes-Men-Topwear-Tshirts-Tshirts-Black-Black-Onesize"/>
        <s v="Crazy Mosquitoes-Men-Topwear-Tshirts-Tshirts-Black-Black-XL"/>
        <s v="Crazy Mosquitoes-Men-Topwear-Tshirts-Tshirts-White-White-XL"/>
        <s v="Crazy Mosquitoes-Men-Topwear-Tshirts-Tshirts-Blue-Blue-M"/>
        <s v="Crazy Mosquitoes-Men-Topwear-Tshirts-Tshirts-Black-Black-M"/>
        <s v="Crazy Mosquitoes-Men-Topwear-Tshirts-Tshirts-Grey-Grey-XL"/>
        <s v="Crazy Mosquitoes-Men-Topwear-Sweatshirts-Sweatshirts-Red-Red-XL"/>
        <s v="Crazy Mosquitoes-Men-Topwear-Sweatshirts-Sweatshirts-Blue-Blue-M"/>
        <s v="Crazy Mosquitoes-Men-Topwear-Tshirts-Tshirts-Red-Red-M"/>
        <s v="Crazy Mosquitoes-Men-Topwear-Tshirts-Tshirts-Blue-Blue-L"/>
        <s v="Crazy Mosquitoes-Men-Topwear-Sweatshirts-Sweatshirts-Black-Black-M"/>
        <s v="Crazy Mosquitoes-Women-Topwear-Tshirts-Tshirts-Black-Black-M"/>
        <s v="Crazy Mosquitoes-Women-Topwear-Tshirts-Tshirts-Red-Red-M"/>
        <s v="Crazy Mosquitoes-Men-Topwear-Tshirts-Tshirts-Black-Black-L"/>
        <s v="Crazy Mosquitoes-Men-Topwear-Tshirts-Tshirts-Blue-Blue-XL"/>
        <s v="Crazy Mosquitoes-Men-Topwear-Shirt-Shirt-Grey-Grey-L"/>
        <s v="Crazy Mosquitoes-Men-Topwear-Shirt-Shirt-Grey-Grey-M"/>
        <s v="Crazy Mosquitoes-Men-Topwear-Shirt-Shirt-Olive-Olive-M"/>
        <s v="Crazy Mosquitoes-Men-Bottomwear-Jeans-Denim-Blue-Ice Blue-XXL"/>
        <s v="Crazy Mosquitoes-Men-Topwear-Shirt-Shirt-Beige-Beige-M"/>
        <s v="Crazy Mosquitoes-Men-Topwear-Tshirts-Tshirts-Red-Red-L"/>
        <s v="Crazy Mosquitoes-Men-Topwear-Shirt-Tshirt-Blue-Blue-L"/>
        <s v="Crazy Mosquitoes-Men-Bottomwear-Jeans-Denim-Blue-Ice Blue-L"/>
        <s v="Crazy Mosquitoes-Men-Topwear-Shirt-Shirt-Beige-Beige-L"/>
        <s v="Crazy Mosquitoes-Men-Topwear-Shirt-Shirt-Charcoal-Charcoal-S"/>
        <s v="Crazy Mosquitoes-Men-Bottomwear-Jeans-Denim-Blue-Ice Blue-M"/>
        <s v="Crazy Mosquitoes-Men-Topwear-Shirt-Shirt-Grey-Grey-XL"/>
        <s v="Crazy Mosquitoes-Men-Topwear-Shirt-Shirt-Mustard-Mustard-L"/>
        <s v="Crazy Mosquitoes-Men-Topwear-Tshirts-Tshirts-Black-Black-S"/>
        <s v="Crazy Mosquitoes-Men-Topwear-Shirt-Shirt-Mustard-Mustard-M"/>
        <s v="Crazy Mosquitoes-Men-Bottomwear-Jeans-Denim-Blue-Light Acid Blue-L"/>
        <s v="Crazy Mosquitoes-Men-Bottomwear-Jeans-Denim-Blue-Vintage Blue-M"/>
        <s v="Crazy Mosquitoes-Men-Bottomwear-Jeans-Denim-Charcoal-Charcoal Grey-S"/>
        <s v="Crazy Mosquitoes-Men-Bottomwear-Shorts-Shorts-Navy Blue-Navy Blue-L"/>
        <s v="Crazy Mosquitoes-Men-Bottomwear-Jeans-Denim-Black-Washed Black-L"/>
        <s v="Crazy Mosquitoes-Men-Topwear-Tshirts-Tshirts-Black-Black-XXL"/>
        <s v="Crazy Mosquitoes-Men-Bottomwear-Jeans-Denim-Charcoal-Charcoal Grey-M"/>
        <s v="Crazy Mosquitoes-Men-Topwear-Shirt-Tshirt-Blue-Blue-S"/>
        <s v="Crazy Mosquitoes-Women-Topwear-Tshirts-Tshirts-Black-Black-L"/>
        <s v="Crazy Mosquitoes-Men-Topwear-Shirt-Shirt-Charcoal-Charcoal-XL"/>
        <s v="Crazy Mosquitoes-Women-Topwear-Tshirts-Tshirts-Black-Black-XS"/>
        <s v="Crazy Mosquitoes-Men-Topwear-Shirt-Shirt-Beige-Beige-XL"/>
        <s v="Crazy Mosquitoes-Men-Topwear-Shirt-Shirt-Blue-Blue-XL"/>
        <s v="Crazy Mosquitoes-Men-Topwear-Shirt-Shirt-Olive-Olive-L"/>
        <s v="Crazy Mosquitoes-Men-Topwear-Tshirts-Tshirts-White-White-S"/>
        <s v="Crazy Mosquitoes-Men-Topwear-Tshirts-Tshirts-White-White-XXL"/>
        <s v="Crazy Mosquitoes-Men-Topwear-Shirt-Denim-Blue-Blue-XL"/>
        <s v="Crazy Mosquitoes-Men-Bottomwear-Jeans-Denim-Black-Washed Black-XL"/>
        <s v="Crazy Mosquitoes-Men-Topwear-Tshirts-Tshirts-White-White-Onesize"/>
        <s v="Crazy Mosquitoes-Men-Bottomwear-Jeans-Denim-Black-Jet Black-L"/>
        <s v="Crazy Mosquitoes-Men-Bottomwear-Jeans-Denim-Blue-Vintage Blue-L"/>
        <s v="Crazy Mosquitoes-Men-Bottomwear-Jeans-Denim-Black-Washed Black-M"/>
        <s v="Crazy Mosquitoes-Men-Topwear-Shirt-Denim-Blue-Blue-XXL"/>
        <s v="Crazy Mosquitoes-Men-Bottomwear-Jeans-Denim-Charcoal-Charcoal Grey-XL"/>
        <s v="Crazy Mosquitoes-Men-Topwear-Shirt-Shirt-Black-Black-M"/>
        <s v="Crazy Mosquitoes-Men-Topwear-Shirt-Shirt-Mustard-Mustard-XL"/>
        <s v="Crazy Mosquitoes-Men-Bottomwear-Jeans-Denim-Blue-Vintage Blue-XL"/>
        <s v="Crazy Mosquitoes-Men-Bottomwear-Joggers-Joggers-Black-Black-XL"/>
        <s v="Crazy Mosquitoes-Men-Bottomwear-Jeans-Denim-Black-Jet Black-XXL"/>
        <s v="Crazy Mosquitoes-Women-Topwear-Tshirts-Tshirts-Black-Black-XL"/>
        <s v="Crazy Mosquitoes-Men-Bottomwear-Shorts-Shorts-Navy Blue-Navy Blue-M"/>
        <s v="Crazy Mosquitoes-Men-Topwear-Tshirts-Tshirts-Red-Red-S"/>
        <s v="Crazy Mosquitoes-Men-Bottomwear-Jeans-Denim-Black-Jet Black-M"/>
        <s v="Crazy Mosquitoes-Men-Topwear-Shirt-Tshirt-Blue-Blue-XXL"/>
        <s v="Crazy Mosquitoes-Men-Bottomwear-Jeans-Denim-Black-Jet Black-XL"/>
        <s v="Crazy Mosquitoes-Men-Bottomwear-Jeans-Denim-Black-Washed Black-XXL"/>
        <s v="Crazy Mosquitoes-Men-Topwear-Shirt-Shirt-Green-Green-S"/>
        <s v="Crazy Mosquitoes-Men-Bottomwear-Jeans-Denim-Blue-Blue-M"/>
        <s v="Crazy Mosquitoes-Men-Bottomwear-Jeans-Denim-Black-Black-M"/>
        <s v="Crazy Mosquitoes-Men-Topwear-Shirt-Shirt-Charcoal-Charcoal-M"/>
        <s v="Crazy Mosquitoes-Men-Topwear-Shirt-Shirt-White-White-M"/>
        <s v="Crazy Mosquitoes-Men-Topwear-Shirt-Shirt-Charcoal-Charcoal-L"/>
        <s v="Crazy Mosquitoes-Women-Topwear-Tshirts-Tshirts-Red-Red-S"/>
        <s v="Crazy Mosquitoes-Men-Topwear-Shirt-Shirt-Green-Green-M"/>
        <s v="Crazy Mosquitoes-Men-Topwear-Shirt-Shirt-Blue-Blue-S"/>
        <s v="Crazy Mosquitoes-Men-Topwear-Tshirts-Tshirts-Grey-Grey-S"/>
        <s v="Crazy Mosquitoes-Men-Topwear-Tshirts-Tshirts-Red-Red-XXL"/>
        <s v="Crazy Mosquitoes-Men-Topwear-Tshirts-Tshirts-Blue-Blue-S"/>
        <s v="Crazy Mosquitoes-Men-Bottomwear-Jeans-Denim-Black-Black-XL"/>
        <s v="Crazy Mosquitoes-Men-Topwear-Shirt-Shirt-White-White-L"/>
        <s v="Crazy Mosquitoes-Men-Topwear-Shirt-Shirt-Orange-Orange-S"/>
        <s v="Crazy Mosquitoes-Men-Topwear-Shirt-Shirt-Orange-Orange-L"/>
        <s v="Crazy Mosquitoes-Men-Topwear-Shirt-Shirt-White-White-S"/>
        <s v="Crazy Mosquitoes-Men-Bottomwear-Jeans-Denim-Blue-Blue-XL"/>
        <s v="Crazy Mosquitoes-Men-Topwear-Shirt-Shirt-Red-Red-L"/>
        <s v="Crazy Mosquitoes-Men-Topwear-Shirt-Shirt-Red-Red-M"/>
        <s v="Crazy Mosquitoes-Men-Topwear-Tshirts-Dual Snakes-Black-Black-2XL"/>
        <s v="Crazy Mosquitoes-Men-Bottomwear-Joggers-Joggers-Navy Blue-Navy Blue-XL"/>
        <s v="Crazy Mosquitoes-Men-Topwear-Tshirts-Tshirts-Pink-Pink-XL"/>
        <s v="Crazy Mosquitoes-Men-Topwear-Shirt-Shirt-Blue-Blue-L"/>
        <s v="Crazy Mosquitoes-Men-Topwear-Tshirts-Dual Snakes-Black-Black-XL"/>
        <s v="Crazy Mosquitoes-Men-Topwear-Tshirts-Dual Snakes-Black-Black-S"/>
        <s v="Crazy Mosquitoes-Men-Topwear-Shirt-Shirt-Green-Green-L"/>
        <s v="Crazy Mosquitoes-Men-Topwear-Shirt-Shirt-Blue-Blue-M"/>
        <s v="Crazy Mosquitoes-Men-Bottomwear-Jeans-Denim-Black-Black-L"/>
        <s v="Crazy Mosquitoes-Men-Topwear-Shirt-Shirt-Orange-Orange-M"/>
        <s v="Crazy Mosquitoes-Men-Topwear-Tshirts-Tshirts-Pink-Pink-M"/>
        <s v="Crazy Mosquitoes-Men-Bottomwear-Jeans-Denim-Black-Black-S"/>
        <s v="Crazy Mosquitoes-Men-Topwear-Shirt-Shirt-Navy Blue-Navy Blue-L"/>
        <s v="Crazy Mosquitoes-Men-Topwear-Tshirts-Dual Snakes-Black-Black-L"/>
        <s v="Crazy Mosquitoes-Men-Topwear-Tshirts-Tshirts-Grey-Grey-L"/>
        <s v="Crazy Mosquitoes-Women-Topwear-Sweatshirts-Sweatshirts-Grey-Grey-L"/>
        <s v="Crazy Mosquitoes-Men-Bottomwear-Shorts-Denim Shorts-Grey-Ash Black-XXL"/>
        <s v="Crazy Mosquitoes-Men-Bottomwear-Jeans-Denim-Blue-Core-M"/>
        <s v="Crazy Mosquitoes-Men-Bottomwear-Jeans-Denim-Blue-Mid Blue-L"/>
        <s v="Crazy Mosquitoes-Men-Topwear-Shirt-Shirt-Red-Red-S"/>
        <s v="Crazy Mosquitoes-Men-Bottomwear-Jeans-Denim-Black-Core-M"/>
        <s v="Crazy Mosquitoes-Men-Bottomwear-Jeans-Denim-Blue-Blue-L"/>
        <s v="Crazy Mosquitoes-Men-Bottomwear-Shorts-Denim Shorts-Blue-Mid Blue-XXL"/>
        <s v="Crazy Mosquitoes-Men-Topwear-Tshirts-Tshirts-Blue-Blue-XXL"/>
        <s v="Crazy Mosquitoes-Men-Bottomwear-Jeans-Denim-Blue-Core-S"/>
        <s v="Crazy Mosquitoes-Women-Topwear-Tshirts-Tshirts-Red-Red-L"/>
        <s v="Crazy Mosquitoes-Men-Bottomwear-Jeans-Denim-Blue-Blue-S"/>
        <s v="Crazy Mosquitoes-Men-Topwear-Shirt-Shirt-Brown-Brown-M"/>
        <s v="Crazy Mosquitoes-Men-Bottomwear-Jeans-Denim-Black-Core-L"/>
        <s v="Crazy Mosquitoes-Men-Topwear-Tshirts-Tshirts-Grey-Grey-M"/>
        <s v="Crazy Mosquitoes-Men-Topwear-Shirt-Creative -Black-Core-XL"/>
        <s v="Crazy Mosquitoes-Men-Topwear-Shirt-Shirt-Black-Black-L"/>
        <s v="Crazy Mosquitoes-Men-Topwear-Tshirts-Tshirts-Pink-Pink-L"/>
        <s v="Crazy Mosquitoes-Men-Bottomwear-Jeans-Vintage-Blue-Core-L"/>
        <s v="Crazy Mosquitoes-Men-Topwear-Shirt-Creative -White-Core-XL"/>
        <s v="Crazy Mosquitoes-Men-Topwear-Shirt-Creative -Black-Core-M"/>
        <s v="Crazy Mosquitoes-Men-Topwear-Shirt-Shirt-Olive-Olive-XL"/>
        <s v="Crazy Mosquitoes-Men-Topwear-Shirt-Creative -White-Core-L"/>
        <s v="Crazy Mosquitoes-Men-Topwear-Shirt-Creative -White-Core-M"/>
        <s v="Crazy Mosquitoes-Men-Bottomwear-Jeans-Denim-Black-Core-XL"/>
        <s v="Crazy Mosquitoes-Men-Topwear-Tshirts-Butterfly-Grey-Core-L"/>
        <s v="Crazy Mosquitoes-Men-Bottomwear-Shorts-Denim Shorts-Blue-Mid Blue-XL"/>
        <s v="Crazy Mosquitoes-Men-Topwear-Shirt-Creative -Black-Core-S"/>
        <s v="Crazy Mosquitoes-Men-Topwear-Shirt-Shirt-Navy Blue-Navy Blue-M"/>
        <s v="Crazy Mosquitoes-Men-Topwear-Tshirts-Butterfly-Grey-Core-XL"/>
        <s v="Crazy Mosquitoes-Men-Topwear-Tshirts-Butterfly-Grey-Core-M"/>
        <s v="Crazy Mosquitoes-Women-Topwear-Tshirts-Tshirts-Blue-Blue-XL"/>
        <s v="Crazy Mosquitoes-Men-Bottomwear-Jeans-Denim-Blue-Core-XL"/>
        <s v="Crazy Mosquitoes-Men-Bottomwear-Shorts-Denim Shorts-Grey-Ash Black-M"/>
        <s v="Crazy Mosquitoes-Men-Bottomwear-Shorts-Shorts-Black-Black-L"/>
        <m/>
      </sharedItems>
    </cacheField>
    <cacheField name="Size" numFmtId="0">
      <sharedItems containsBlank="1"/>
    </cacheField>
    <cacheField name="MRP" numFmtId="0">
      <sharedItems containsString="0" containsBlank="1" containsNumber="1" containsInteger="1" minValue="1995" maxValue="7999"/>
    </cacheField>
    <cacheField name="RSP" numFmtId="0">
      <sharedItems containsString="0" containsBlank="1" containsNumber="1" containsInteger="1" minValue="1995" maxValue="7999"/>
    </cacheField>
    <cacheField name="Qty" numFmtId="0">
      <sharedItems containsString="0" containsBlank="1" containsNumber="1" containsInteger="1" minValue="-1" maxValue="2"/>
    </cacheField>
    <cacheField name="Basic Amt" numFmtId="0">
      <sharedItems containsString="0" containsBlank="1" containsNumber="1" containsInteger="1" minValue="-6999" maxValue="9998"/>
    </cacheField>
    <cacheField name="Promo Amt" numFmtId="0">
      <sharedItems containsString="0" containsBlank="1" containsNumber="1" minValue="-1598" maxValue="2747.5"/>
    </cacheField>
    <cacheField name="Coupon Amt" numFmtId="0">
      <sharedItems containsString="0" containsBlank="1" containsNumber="1" minValue="0" maxValue="742.51"/>
    </cacheField>
    <cacheField name="Net Sale Amt" numFmtId="0">
      <sharedItems containsString="0" containsBlank="1" containsNumber="1" minValue="-6999" maxValue="7999"/>
    </cacheField>
    <cacheField name="Mrp Sales" numFmtId="0">
      <sharedItems containsBlank="1" containsMixedTypes="1" containsNumber="1" containsInteger="1" minValue="-4495" maxValue="7999"/>
    </cacheField>
    <cacheField name="Style name " numFmtId="0">
      <sharedItems containsMixedTypes="1" containsNumber="1" containsInteger="1" minValue="0" maxValue="0" count="84">
        <s v="Surfer print  drop shoulder crew neck oversized t-shirt."/>
        <s v="Dragon Regular  FLeece Hoodie in Black"/>
        <s v="Bear Swag Oversized  FLeece Sweatshirt in Cobalt Blue"/>
        <s v="Delusion Oversized  FLeece Sweatshirt in Grey Melange"/>
        <s v="Ramen Cat Oversized  FLeece Sweatshirt in Black"/>
        <s v=" Ballet Queen Drop Shoulder T-Shirt in White"/>
        <s v="Urban Cheetah Oversized  FLeece Sweatshirt in Red"/>
        <s v="Cosmic Intruder Crop - Black"/>
        <s v="MENS  Oversized  T-Shirt London"/>
        <s v="X Graphic Terry Free Size Tee in Black "/>
        <s v="Extinction Drop Shoulder Terry T-Shirt in Black"/>
        <s v="Delusion Front Full Print drop shoulder oversized T shirt                     "/>
        <s v=" Kitty Gang Oversized T shirt"/>
        <s v="Be Crazy not Clown Tshirt"/>
        <s v="Be Strong Regular  FLeece Sweatshirt in Navy"/>
        <s v="Stamp Tshirt in Blue "/>
        <s v=" Pixel print drop  oversized unisex T shirt                     "/>
        <s v="Core Crop Red"/>
        <s v=" Psy Bear  Terry Drop Shoulder T-Shirt in Black "/>
        <s v="Car Plaid Grey"/>
        <s v="CD Drop Shoulder Olive"/>
        <s v="Distress Drawsting"/>
        <s v="CD Drop Shoulder Beige"/>
        <s v="Mumbai  Terry Drop Shoulder T-Shirt in Black "/>
        <s v="Dual Snakes"/>
        <s v="Grunge Denim Charcoal"/>
        <s v="Oversized Mustard"/>
        <s v="Barell Fit Light Blue"/>
        <s v="Duo Pocket Vintage"/>
        <s v="Barell Fit Grey"/>
        <s v="Official Shorts Navy"/>
        <s v="Open Bottom Black"/>
        <s v="Back Graffti print Drop Shoulder Crew Neck T-Shirt                                                 "/>
        <s v="Grunge Denim Blue"/>
        <s v="Half Moon Blue"/>
        <s v="Mosquito Embroidered Terry Free Size Tee in White"/>
        <s v="Stud Black"/>
        <s v="David full print Drop Shoulder Crew Neck T-Shirt                                                 "/>
        <s v="School Micro checks  Black"/>
        <s v="Bad Attitude Jogger Black"/>
        <s v="School Micro checks  Green"/>
        <s v="Blue Paint Brush"/>
        <s v="Black Paint Splash"/>
        <s v="White Blue Stripe"/>
        <s v="Banana Shirt Blue"/>
        <s v="Grumpy Face Embroidered Terry Free Size Tee in Black"/>
        <s v="CD Drop Shoulder Grey"/>
        <s v="Black Paint Brush"/>
        <s v="Butterfly"/>
        <s v="Orange Micro Check"/>
        <s v="Blue Paint Splash"/>
        <s v="Mushroom Red"/>
        <s v="Bad Attitude Jogger Navy"/>
        <s v="Monaco"/>
        <s v="Mom's Warning"/>
        <s v="Green Flower Checks"/>
        <s v="Wild Flower"/>
        <s v="Mom's Warning Navy"/>
        <s v="Blue Heart"/>
        <s v="Unrestricted Crop Sweat"/>
        <s v="Denim Shorts Black"/>
        <s v="Reverse Classic Blue "/>
        <s v="Cross Stich Blue"/>
        <s v="Reverse Blue"/>
        <s v="Cross Stich Black"/>
        <s v="Art &amp; Artist"/>
        <s v="Black Dart Denim"/>
        <s v="Bad Habits"/>
        <s v="Victory Stripe Blue"/>
        <s v="Blue Baggy Jeans "/>
        <s v="Denim Shorts Blue"/>
        <s v="Linen Sky"/>
        <s v="Mushroom Blue"/>
        <s v="Creative Brown"/>
        <s v="Creative Black"/>
        <s v="Creative White"/>
        <s v="Blue Parasite"/>
        <s v="Hello Shirt Yellow"/>
        <s v="Brooklyn Green"/>
        <s v="Butterfly Grey"/>
        <s v="Linen Navy"/>
        <s v="Three Pocket Shorts Black"/>
        <e v="#N/A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x v="0"/>
    <s v="1A2458BF22F6"/>
    <s v="Clothing"/>
    <s v="Men"/>
    <s v="Topwear"/>
    <x v="0"/>
    <x v="0"/>
    <n v="8905202269458"/>
    <s v="BD1358749"/>
    <n v="8905202269458"/>
    <x v="0"/>
    <s v="XL"/>
    <n v="3995"/>
    <n v="3995"/>
    <n v="1"/>
    <n v="3995"/>
    <n v="1198.5"/>
    <n v="0"/>
    <n v="2796.5"/>
    <n v="3995"/>
    <x v="0"/>
  </r>
  <r>
    <x v="0"/>
    <x v="1"/>
    <s v="55672E26637B"/>
    <s v="Clothing"/>
    <s v="Men"/>
    <s v="Topwear"/>
    <x v="1"/>
    <x v="0"/>
    <n v="8905202264590"/>
    <s v="BD1358849"/>
    <n v="8905202264590"/>
    <x v="1"/>
    <s v="L"/>
    <n v="5995"/>
    <n v="5995"/>
    <n v="1"/>
    <n v="5995"/>
    <n v="1798.5"/>
    <n v="0"/>
    <n v="4196.5"/>
    <n v="5995"/>
    <x v="1"/>
  </r>
  <r>
    <x v="0"/>
    <x v="1"/>
    <s v="59B304DADCBD"/>
    <s v="Clothing"/>
    <s v="Men"/>
    <s v="Topwear"/>
    <x v="1"/>
    <x v="0"/>
    <n v="8905202263142"/>
    <s v="BD1358828"/>
    <s v="8905202263142_Blu_S"/>
    <x v="2"/>
    <s v="S"/>
    <n v="5495"/>
    <n v="5495"/>
    <n v="1"/>
    <n v="5495"/>
    <n v="1648.5"/>
    <n v="0"/>
    <n v="3846.5"/>
    <n v="5495"/>
    <x v="2"/>
  </r>
  <r>
    <x v="0"/>
    <x v="2"/>
    <s v="CD52791FF0F0"/>
    <s v="Clothing"/>
    <s v="Men"/>
    <s v="Topwear"/>
    <x v="1"/>
    <x v="0"/>
    <n v="8905202264316"/>
    <s v="BD1358830"/>
    <n v="8905202264316"/>
    <x v="3"/>
    <s v="S"/>
    <n v="5495"/>
    <n v="5495"/>
    <n v="1"/>
    <n v="5495"/>
    <n v="2198"/>
    <n v="0"/>
    <n v="3297"/>
    <n v="5495"/>
    <x v="3"/>
  </r>
  <r>
    <x v="0"/>
    <x v="3"/>
    <s v="83AFB14CD121"/>
    <s v="Clothing"/>
    <s v="Men"/>
    <s v="Topwear"/>
    <x v="1"/>
    <x v="1"/>
    <n v="8905202263180"/>
    <s v="BD1358826"/>
    <n v="8905202263180"/>
    <x v="4"/>
    <s v="S"/>
    <n v="5495"/>
    <n v="5495"/>
    <n v="1"/>
    <n v="5495"/>
    <n v="2198"/>
    <n v="0"/>
    <n v="3297"/>
    <n v="5495"/>
    <x v="4"/>
  </r>
  <r>
    <x v="0"/>
    <x v="4"/>
    <s v="6BEEDECE8462"/>
    <s v="Clothing"/>
    <s v="Men"/>
    <s v="Topwear"/>
    <x v="0"/>
    <x v="1"/>
    <n v="8905202264897"/>
    <s v="BD1358803"/>
    <n v="8905202264897"/>
    <x v="5"/>
    <s v="M"/>
    <n v="2995"/>
    <n v="2995"/>
    <n v="1"/>
    <n v="2995"/>
    <n v="599"/>
    <n v="0"/>
    <n v="2396"/>
    <n v="2995"/>
    <x v="5"/>
  </r>
  <r>
    <x v="0"/>
    <x v="4"/>
    <s v="99FA79BA7F97"/>
    <s v="Clothing"/>
    <s v="Men"/>
    <s v="Topwear"/>
    <x v="1"/>
    <x v="1"/>
    <n v="8905202263104"/>
    <s v="BD1358814"/>
    <s v="8905202263104_Red_L"/>
    <x v="6"/>
    <s v="L"/>
    <n v="5495"/>
    <n v="5495"/>
    <n v="1"/>
    <n v="5495"/>
    <n v="2198"/>
    <n v="0"/>
    <n v="3297"/>
    <n v="5495"/>
    <x v="6"/>
  </r>
  <r>
    <x v="0"/>
    <x v="5"/>
    <s v="5220E0BF002E"/>
    <s v="Clothing"/>
    <s v="Women"/>
    <s v="Topwear"/>
    <x v="0"/>
    <x v="1"/>
    <n v="8905202268871"/>
    <s v="BD1358883"/>
    <n v="8905202268871"/>
    <x v="7"/>
    <s v="S"/>
    <n v="1995"/>
    <n v="1995"/>
    <n v="1"/>
    <n v="1995"/>
    <n v="399"/>
    <n v="0"/>
    <n v="1596"/>
    <n v="1995"/>
    <x v="7"/>
  </r>
  <r>
    <x v="0"/>
    <x v="6"/>
    <s v="433C1185AB10"/>
    <s v="Clothing"/>
    <s v="Men"/>
    <s v="Topwear"/>
    <x v="0"/>
    <x v="1"/>
    <n v="8905202269076"/>
    <s v="BD1358752"/>
    <s v="8905202269076_Whi_L"/>
    <x v="8"/>
    <s v="L"/>
    <n v="3495"/>
    <n v="3495"/>
    <n v="1"/>
    <n v="3495"/>
    <n v="0"/>
    <n v="0"/>
    <n v="2446.5"/>
    <n v="3495"/>
    <x v="8"/>
  </r>
  <r>
    <x v="0"/>
    <x v="7"/>
    <s v="12EF2D177796"/>
    <s v="Clothing"/>
    <s v="Men"/>
    <s v="Topwear"/>
    <x v="0"/>
    <x v="1"/>
    <n v="8905202264729"/>
    <s v="BD1358785"/>
    <n v="8905202264729"/>
    <x v="9"/>
    <s v="Onesize"/>
    <n v="2995"/>
    <n v="2995"/>
    <n v="1"/>
    <n v="2995"/>
    <n v="599"/>
    <n v="0"/>
    <n v="2396"/>
    <n v="2995"/>
    <x v="9"/>
  </r>
  <r>
    <x v="0"/>
    <x v="8"/>
    <s v="C3D6BA930C45"/>
    <s v="Clothing"/>
    <s v="Men"/>
    <s v="Topwear"/>
    <x v="0"/>
    <x v="1"/>
    <n v="8905202269083"/>
    <s v="BD1358743"/>
    <s v="8905202269083_Whi_M"/>
    <x v="5"/>
    <s v="M"/>
    <n v="3495"/>
    <n v="3495"/>
    <n v="1"/>
    <n v="3495"/>
    <n v="699"/>
    <n v="0"/>
    <n v="2796"/>
    <n v="3495"/>
    <x v="8"/>
  </r>
  <r>
    <x v="0"/>
    <x v="8"/>
    <s v="C3D6BA930C45"/>
    <s v="Clothing"/>
    <s v="Men"/>
    <s v="Topwear"/>
    <x v="0"/>
    <x v="1"/>
    <n v="8905202269403"/>
    <s v="BD1358759"/>
    <n v="8905202269403"/>
    <x v="10"/>
    <s v="XL"/>
    <n v="4495"/>
    <n v="4495"/>
    <n v="1"/>
    <n v="4495"/>
    <n v="899"/>
    <n v="0"/>
    <n v="3596"/>
    <n v="4495"/>
    <x v="10"/>
  </r>
  <r>
    <x v="0"/>
    <x v="9"/>
    <s v="16FDCCE866C6"/>
    <s v="Clothing"/>
    <s v="Men"/>
    <s v="Topwear"/>
    <x v="0"/>
    <x v="1"/>
    <n v="8905202264729"/>
    <s v="BD1358785"/>
    <n v="8905202264729"/>
    <x v="9"/>
    <s v="Onesize"/>
    <n v="2995"/>
    <n v="2995"/>
    <n v="1"/>
    <n v="2995"/>
    <n v="599"/>
    <n v="0"/>
    <n v="2396"/>
    <n v="2995"/>
    <x v="9"/>
  </r>
  <r>
    <x v="0"/>
    <x v="10"/>
    <s v="BEEBE284CC7F"/>
    <s v="Clothing"/>
    <s v="Men"/>
    <s v="Topwear"/>
    <x v="0"/>
    <x v="1"/>
    <n v="8905202265016"/>
    <s v="BD1358805"/>
    <n v="8905202265016"/>
    <x v="11"/>
    <s v="XL"/>
    <n v="2995"/>
    <n v="2995"/>
    <n v="1"/>
    <n v="2995"/>
    <n v="599"/>
    <n v="0"/>
    <n v="2396"/>
    <n v="2995"/>
    <x v="5"/>
  </r>
  <r>
    <x v="0"/>
    <x v="10"/>
    <s v="6C3B16C33324"/>
    <s v="Clothing"/>
    <s v="Men"/>
    <s v="Topwear"/>
    <x v="0"/>
    <x v="1"/>
    <n v="8905202269335"/>
    <s v="BD1358762"/>
    <s v="8905202269335_Blu_M"/>
    <x v="12"/>
    <s v="M"/>
    <n v="3495"/>
    <n v="3495"/>
    <n v="1"/>
    <n v="3495"/>
    <n v="699"/>
    <n v="0"/>
    <n v="2796"/>
    <n v="3495"/>
    <x v="11"/>
  </r>
  <r>
    <x v="0"/>
    <x v="11"/>
    <s v="B3A8FD4D9692"/>
    <s v="Clothing"/>
    <s v="Men"/>
    <s v="Topwear"/>
    <x v="0"/>
    <x v="1"/>
    <n v="8905202269380"/>
    <s v="BD1358753"/>
    <n v="8905202269380"/>
    <x v="13"/>
    <s v="M"/>
    <n v="4495"/>
    <n v="4495"/>
    <n v="1"/>
    <n v="4495"/>
    <n v="899"/>
    <n v="0"/>
    <n v="3596"/>
    <n v="4495"/>
    <x v="10"/>
  </r>
  <r>
    <x v="0"/>
    <x v="12"/>
    <s v="EC4D133416A0"/>
    <s v="Clothing"/>
    <s v="Men"/>
    <s v="Topwear"/>
    <x v="0"/>
    <x v="1"/>
    <n v="8905202264811"/>
    <s v="BD1358798"/>
    <n v="8905202264811"/>
    <x v="14"/>
    <s v="XL"/>
    <n v="4495"/>
    <n v="4495"/>
    <n v="1"/>
    <n v="4495"/>
    <n v="899"/>
    <n v="0"/>
    <n v="3596"/>
    <n v="4495"/>
    <x v="12"/>
  </r>
  <r>
    <x v="0"/>
    <x v="12"/>
    <s v="EC4D133416A0"/>
    <s v="Clothing"/>
    <s v="Men"/>
    <s v="Topwear"/>
    <x v="0"/>
    <x v="1"/>
    <n v="8905202264972"/>
    <s v="BD1358811"/>
    <n v="8905202264972"/>
    <x v="8"/>
    <s v="L"/>
    <n v="2495"/>
    <n v="2495"/>
    <n v="1"/>
    <n v="2495"/>
    <n v="499"/>
    <n v="0"/>
    <n v="1996"/>
    <n v="2495"/>
    <x v="13"/>
  </r>
  <r>
    <x v="0"/>
    <x v="13"/>
    <s v="2581B944517C"/>
    <s v="Clothing"/>
    <s v="Men"/>
    <s v="Topwear"/>
    <x v="1"/>
    <x v="1"/>
    <n v="8905202263135"/>
    <s v="BD1358815"/>
    <s v="8905202263135_Red_XL"/>
    <x v="15"/>
    <s v="XL"/>
    <n v="5495"/>
    <n v="5495"/>
    <n v="1"/>
    <n v="5495"/>
    <n v="2198"/>
    <n v="0"/>
    <n v="3297"/>
    <n v="5495"/>
    <x v="6"/>
  </r>
  <r>
    <x v="0"/>
    <x v="13"/>
    <s v="4886B15E2D12"/>
    <s v="Clothing"/>
    <s v="Men"/>
    <s v="Topwear"/>
    <x v="1"/>
    <x v="1"/>
    <n v="8905202263142"/>
    <s v="BD1358828"/>
    <s v="8905202263142_Blu_S"/>
    <x v="2"/>
    <s v="S"/>
    <n v="5495"/>
    <n v="5495"/>
    <n v="1"/>
    <n v="5495"/>
    <n v="2198"/>
    <n v="0"/>
    <n v="3297"/>
    <n v="5495"/>
    <x v="2"/>
  </r>
  <r>
    <x v="0"/>
    <x v="13"/>
    <s v="4886B15E2D12"/>
    <s v="Clothing"/>
    <s v="Men"/>
    <s v="Topwear"/>
    <x v="1"/>
    <x v="1"/>
    <n v="8905202264477"/>
    <s v="BD1358839"/>
    <n v="8905202264477"/>
    <x v="16"/>
    <s v="M"/>
    <n v="5495"/>
    <n v="5495"/>
    <n v="1"/>
    <n v="5495"/>
    <n v="2198"/>
    <n v="0"/>
    <n v="3297"/>
    <n v="5495"/>
    <x v="14"/>
  </r>
  <r>
    <x v="0"/>
    <x v="14"/>
    <s v="E1629BAA146E"/>
    <s v="Clothing"/>
    <s v="Men"/>
    <s v="Topwear"/>
    <x v="0"/>
    <x v="1"/>
    <n v="8905202269434"/>
    <s v="BD1358756"/>
    <s v="8905202269434_Red_M"/>
    <x v="17"/>
    <s v="M"/>
    <n v="3995"/>
    <n v="3995"/>
    <n v="1"/>
    <n v="3995"/>
    <n v="799"/>
    <n v="0"/>
    <n v="3196"/>
    <n v="3995"/>
    <x v="0"/>
  </r>
  <r>
    <x v="0"/>
    <x v="10"/>
    <s v="C3D6BA930C45"/>
    <s v="Clothing"/>
    <s v="Men"/>
    <s v="Topwear"/>
    <x v="0"/>
    <x v="1"/>
    <n v="8905202269403"/>
    <s v="BD1358759"/>
    <n v="8905202269403"/>
    <x v="10"/>
    <s v="XL"/>
    <n v="4495"/>
    <n v="4495"/>
    <n v="-1"/>
    <n v="-4495"/>
    <n v="-899"/>
    <n v="0"/>
    <n v="-3596"/>
    <n v="-4495"/>
    <x v="10"/>
  </r>
  <r>
    <x v="0"/>
    <x v="15"/>
    <s v="98F00C0FAC60"/>
    <s v="Clothing"/>
    <s v="Men"/>
    <s v="Topwear"/>
    <x v="0"/>
    <x v="2"/>
    <n v="8905202265047"/>
    <s v="BD1358808"/>
    <s v="8905202265047_Blu_M"/>
    <x v="12"/>
    <s v="M"/>
    <n v="2995"/>
    <n v="2995"/>
    <n v="1"/>
    <n v="2995"/>
    <n v="0"/>
    <n v="0"/>
    <n v="2995"/>
    <n v="2995"/>
    <x v="15"/>
  </r>
  <r>
    <x v="0"/>
    <x v="16"/>
    <s v="12B5C7E6DE13"/>
    <s v="Clothing"/>
    <s v="Men"/>
    <s v="Topwear"/>
    <x v="0"/>
    <x v="2"/>
    <n v="8905202264774"/>
    <s v="BD1358788"/>
    <s v="8905202264774_Whi_L"/>
    <x v="8"/>
    <s v="L"/>
    <n v="2495"/>
    <n v="2495"/>
    <n v="1"/>
    <n v="2495"/>
    <n v="748.5"/>
    <n v="0"/>
    <n v="1746.5"/>
    <n v="2495"/>
    <x v="16"/>
  </r>
  <r>
    <x v="0"/>
    <x v="17"/>
    <s v="BF05EE6CA6D4"/>
    <s v="Clothing"/>
    <s v="Men"/>
    <s v="Topwear"/>
    <x v="0"/>
    <x v="2"/>
    <n v="8905202264743"/>
    <s v="BD1358787"/>
    <s v="8905202264743_Whi_M"/>
    <x v="5"/>
    <s v="M"/>
    <n v="2495"/>
    <n v="2495"/>
    <n v="1"/>
    <n v="2495"/>
    <n v="748.5"/>
    <n v="0"/>
    <n v="1746.5"/>
    <n v="2495"/>
    <x v="16"/>
  </r>
  <r>
    <x v="0"/>
    <x v="17"/>
    <s v="238C4B73D7A2"/>
    <s v="Clothing"/>
    <s v="Men"/>
    <s v="Topwear"/>
    <x v="0"/>
    <x v="2"/>
    <n v="8905202269434"/>
    <s v="BD1358756"/>
    <s v="8905202269434_Red_M"/>
    <x v="17"/>
    <s v="M"/>
    <n v="3995"/>
    <n v="3995"/>
    <n v="1"/>
    <n v="3995"/>
    <n v="1198.5"/>
    <n v="279.64999999999998"/>
    <n v="2516.85"/>
    <n v="3995"/>
    <x v="0"/>
  </r>
  <r>
    <x v="0"/>
    <x v="18"/>
    <s v="3A5D291D76DB"/>
    <s v="Clothing"/>
    <s v="Men"/>
    <s v="Topwear"/>
    <x v="1"/>
    <x v="2"/>
    <n v="8905202264378"/>
    <s v="BD1358824"/>
    <n v="8905202264378"/>
    <x v="1"/>
    <s v="L"/>
    <n v="5495"/>
    <n v="5495"/>
    <n v="1"/>
    <n v="5495"/>
    <n v="2747.5"/>
    <n v="0"/>
    <n v="2747.5"/>
    <n v="5495"/>
    <x v="4"/>
  </r>
  <r>
    <x v="0"/>
    <x v="19"/>
    <s v="D2D786B7D62E"/>
    <s v="Clothing"/>
    <s v="Men"/>
    <s v="Topwear"/>
    <x v="1"/>
    <x v="2"/>
    <n v="8905202263104"/>
    <s v="BD1358814"/>
    <s v="8905202263104_Red_L"/>
    <x v="6"/>
    <s v="L"/>
    <n v="5495"/>
    <n v="5495"/>
    <n v="1"/>
    <n v="5495"/>
    <n v="2747.5"/>
    <n v="0"/>
    <n v="2747.5"/>
    <n v="5495"/>
    <x v="6"/>
  </r>
  <r>
    <x v="0"/>
    <x v="20"/>
    <s v="FDBE1A79B0ED"/>
    <s v="Clothing"/>
    <s v="Men"/>
    <s v="Topwear"/>
    <x v="0"/>
    <x v="2"/>
    <n v="8905202264927"/>
    <s v="BD1358806"/>
    <s v="8905202264927_Blu_L"/>
    <x v="18"/>
    <s v="L"/>
    <n v="2995"/>
    <n v="2995"/>
    <n v="1"/>
    <n v="2995"/>
    <n v="898.5"/>
    <n v="0"/>
    <n v="2096.5"/>
    <n v="2995"/>
    <x v="15"/>
  </r>
  <r>
    <x v="0"/>
    <x v="21"/>
    <s v="25C1DDE5E97B"/>
    <s v="Clothing"/>
    <s v="Men"/>
    <s v="Topwear"/>
    <x v="1"/>
    <x v="2"/>
    <n v="8905202264293"/>
    <s v="BD1358827"/>
    <n v="8905202264293"/>
    <x v="19"/>
    <s v="M"/>
    <n v="5495"/>
    <n v="5495"/>
    <n v="1"/>
    <n v="5495"/>
    <n v="0"/>
    <n v="0"/>
    <n v="5495"/>
    <n v="5495"/>
    <x v="4"/>
  </r>
  <r>
    <x v="0"/>
    <x v="19"/>
    <s v="FDBE1A79B0ED"/>
    <s v="Clothing"/>
    <s v="Men"/>
    <s v="Topwear"/>
    <x v="0"/>
    <x v="2"/>
    <n v="8905202264927"/>
    <s v="BD1358806"/>
    <s v="8905202264927_Blu_L"/>
    <x v="18"/>
    <s v="L"/>
    <n v="2995"/>
    <n v="2995"/>
    <n v="-1"/>
    <n v="-2995"/>
    <n v="-898.5"/>
    <n v="0"/>
    <n v="-2096.5"/>
    <n v="-2995"/>
    <x v="15"/>
  </r>
  <r>
    <x v="0"/>
    <x v="22"/>
    <s v="83AFB14CD121"/>
    <s v="Clothing"/>
    <s v="Women"/>
    <s v="Topwear"/>
    <x v="0"/>
    <x v="3"/>
    <n v="8905202268901"/>
    <s v="BD1358885"/>
    <n v="8905202268901"/>
    <x v="20"/>
    <s v="M"/>
    <n v="1995"/>
    <n v="1995"/>
    <n v="1"/>
    <n v="1995"/>
    <n v="0"/>
    <n v="0"/>
    <n v="1995"/>
    <n v="1995"/>
    <x v="7"/>
  </r>
  <r>
    <x v="0"/>
    <x v="22"/>
    <s v="83AFB14CD121"/>
    <s v="Clothing"/>
    <s v="Women"/>
    <s v="Topwear"/>
    <x v="0"/>
    <x v="3"/>
    <n v="8905202269250"/>
    <s v="BD1358892"/>
    <n v="8905202269250"/>
    <x v="21"/>
    <s v="M"/>
    <n v="1995"/>
    <n v="1995"/>
    <n v="1"/>
    <n v="1995"/>
    <n v="0"/>
    <n v="0"/>
    <n v="1995"/>
    <n v="1995"/>
    <x v="17"/>
  </r>
  <r>
    <x v="0"/>
    <x v="22"/>
    <s v="C16E3647601A"/>
    <s v="Clothing"/>
    <s v="Men"/>
    <s v="Topwear"/>
    <x v="0"/>
    <x v="3"/>
    <n v="8905202269076"/>
    <s v="BD1358752"/>
    <s v="8905202269076_Whi_L"/>
    <x v="8"/>
    <s v="L"/>
    <n v="3495"/>
    <n v="3495"/>
    <n v="1"/>
    <n v="3495"/>
    <n v="0"/>
    <n v="0"/>
    <n v="3495"/>
    <n v="3495"/>
    <x v="8"/>
  </r>
  <r>
    <x v="0"/>
    <x v="22"/>
    <s v="CCAE25E6708E"/>
    <s v="Clothing"/>
    <s v="Men"/>
    <s v="Topwear"/>
    <x v="0"/>
    <x v="3"/>
    <n v="8905202264866"/>
    <s v="BD1358794"/>
    <s v="8905202264866_Bla_XL"/>
    <x v="10"/>
    <s v="XL"/>
    <n v="3995"/>
    <n v="3995"/>
    <n v="1"/>
    <n v="3995"/>
    <n v="0"/>
    <n v="0"/>
    <n v="3995"/>
    <n v="3995"/>
    <x v="18"/>
  </r>
  <r>
    <x v="0"/>
    <x v="23"/>
    <s v="5FF466E18B2B"/>
    <s v="Clothing"/>
    <s v="Men"/>
    <s v="Topwear"/>
    <x v="0"/>
    <x v="3"/>
    <n v="8905202269328"/>
    <s v="BD1358764"/>
    <s v="8905202269328_Blu_L"/>
    <x v="18"/>
    <s v="L"/>
    <n v="3495"/>
    <n v="3495"/>
    <n v="1"/>
    <n v="3495"/>
    <n v="0"/>
    <n v="0"/>
    <n v="3495"/>
    <n v="3495"/>
    <x v="11"/>
  </r>
  <r>
    <x v="0"/>
    <x v="24"/>
    <s v="3DE81A07680F"/>
    <s v="Clothing"/>
    <s v="Men"/>
    <s v="Topwear"/>
    <x v="0"/>
    <x v="3"/>
    <n v="8905202264873"/>
    <s v="BD1358793"/>
    <s v="8905202264873_Bla_L"/>
    <x v="22"/>
    <s v="L"/>
    <n v="3995"/>
    <n v="3995"/>
    <n v="1"/>
    <n v="3995"/>
    <n v="0"/>
    <n v="0"/>
    <n v="3995"/>
    <n v="3995"/>
    <x v="18"/>
  </r>
  <r>
    <x v="0"/>
    <x v="25"/>
    <s v="E0C68D03F674"/>
    <s v="Clothing"/>
    <s v="Men"/>
    <s v="Topwear"/>
    <x v="0"/>
    <x v="3"/>
    <n v="8905202269359"/>
    <s v="BD1358760"/>
    <s v="8905202269359_Blu_XL"/>
    <x v="23"/>
    <s v="XL"/>
    <n v="3495"/>
    <n v="3495"/>
    <n v="1"/>
    <n v="3495"/>
    <n v="0"/>
    <n v="0"/>
    <n v="3495"/>
    <n v="3495"/>
    <x v="11"/>
  </r>
  <r>
    <x v="0"/>
    <x v="26"/>
    <s v="6F3943FD635B"/>
    <s v="Clothing"/>
    <s v="Men"/>
    <s v="Topwear"/>
    <x v="0"/>
    <x v="3"/>
    <n v="8905202269328"/>
    <s v="BD1358764"/>
    <s v="8905202269328_Blu_L"/>
    <x v="18"/>
    <s v="L"/>
    <n v="3495"/>
    <n v="3495"/>
    <n v="1"/>
    <n v="3495"/>
    <n v="0"/>
    <n v="0"/>
    <n v="3495"/>
    <n v="3495"/>
    <x v="11"/>
  </r>
  <r>
    <x v="0"/>
    <x v="27"/>
    <s v="41ABF2E97528"/>
    <s v="Clothing"/>
    <s v="Men"/>
    <s v="Topwear"/>
    <x v="2"/>
    <x v="3"/>
    <n v="8905302263225"/>
    <s v="BD1385611"/>
    <s v="8905302263225_Gre_L"/>
    <x v="24"/>
    <s v="L"/>
    <n v="5999"/>
    <n v="5999"/>
    <n v="1"/>
    <n v="5999"/>
    <n v="0"/>
    <n v="0"/>
    <n v="5999"/>
    <n v="5999"/>
    <x v="19"/>
  </r>
  <r>
    <x v="0"/>
    <x v="28"/>
    <s v="E7EC8E6A9C7C"/>
    <s v="Clothing"/>
    <s v="Men"/>
    <s v="Topwear"/>
    <x v="2"/>
    <x v="3"/>
    <n v="8905302263224"/>
    <s v="BD1385608"/>
    <s v="8905302263224_Gre_M"/>
    <x v="25"/>
    <s v="M"/>
    <n v="5999"/>
    <n v="5999"/>
    <n v="1"/>
    <n v="5999"/>
    <n v="1799.7"/>
    <n v="0"/>
    <n v="4199.3"/>
    <n v="5999"/>
    <x v="19"/>
  </r>
  <r>
    <x v="0"/>
    <x v="28"/>
    <s v="E7EC8E6A9C7C"/>
    <s v="Clothing"/>
    <s v="Men"/>
    <s v="Topwear"/>
    <x v="2"/>
    <x v="3"/>
    <n v="8905302263227"/>
    <s v="BD1385613"/>
    <s v="8905302263227_Oli_M"/>
    <x v="26"/>
    <s v="M"/>
    <n v="5999"/>
    <n v="5999"/>
    <n v="1"/>
    <n v="5999"/>
    <n v="1799.7"/>
    <n v="0"/>
    <n v="4199.3"/>
    <n v="5999"/>
    <x v="20"/>
  </r>
  <r>
    <x v="0"/>
    <x v="29"/>
    <s v="492135A226C1"/>
    <s v="Clothing"/>
    <s v="Men"/>
    <s v="Bottomwear"/>
    <x v="3"/>
    <x v="3"/>
    <n v="8905302263213"/>
    <s v="BD1385602"/>
    <s v="8905302263213_Blu_XXL"/>
    <x v="27"/>
    <s v="XXL"/>
    <n v="5999"/>
    <n v="5999"/>
    <n v="1"/>
    <n v="5999"/>
    <n v="1799.7"/>
    <n v="0"/>
    <n v="4199.3"/>
    <n v="5999"/>
    <x v="21"/>
  </r>
  <r>
    <x v="0"/>
    <x v="29"/>
    <s v="492135A226C1"/>
    <s v="Clothing"/>
    <s v="Men"/>
    <s v="Topwear"/>
    <x v="0"/>
    <x v="3"/>
    <n v="8905202264910"/>
    <s v="BD1358807"/>
    <s v="8905202264910_Blu_XL"/>
    <x v="23"/>
    <s v="XL"/>
    <n v="2995"/>
    <n v="2995"/>
    <n v="1"/>
    <n v="2995"/>
    <n v="898.5"/>
    <n v="0"/>
    <n v="2096.5"/>
    <n v="2995"/>
    <x v="15"/>
  </r>
  <r>
    <x v="0"/>
    <x v="29"/>
    <s v="38CE27EB68C3"/>
    <s v="Clothing"/>
    <s v="Men"/>
    <s v="Topwear"/>
    <x v="2"/>
    <x v="3"/>
    <n v="8905302263230"/>
    <s v="BD1385623"/>
    <s v="8905302263230_Bei_M"/>
    <x v="28"/>
    <s v="M"/>
    <n v="5999"/>
    <n v="5999"/>
    <n v="1"/>
    <n v="5999"/>
    <n v="899.85"/>
    <n v="0"/>
    <n v="5099.1499999999996"/>
    <n v="5999"/>
    <x v="22"/>
  </r>
  <r>
    <x v="0"/>
    <x v="29"/>
    <s v="B5F8E44E2932"/>
    <s v="Clothing"/>
    <s v="Men"/>
    <s v="Topwear"/>
    <x v="0"/>
    <x v="3"/>
    <n v="8905202264606"/>
    <s v="BD1358771"/>
    <n v="8905202264606"/>
    <x v="22"/>
    <s v="L"/>
    <n v="3495"/>
    <n v="3495"/>
    <n v="1"/>
    <n v="3495"/>
    <n v="1048.5"/>
    <n v="0"/>
    <n v="2446.5"/>
    <n v="3495"/>
    <x v="23"/>
  </r>
  <r>
    <x v="0"/>
    <x v="29"/>
    <s v="B5F8E44E2932"/>
    <s v="Clothing"/>
    <s v="Men"/>
    <s v="Topwear"/>
    <x v="0"/>
    <x v="3"/>
    <n v="8905202269427"/>
    <s v="BD1358758"/>
    <s v="8905202269427_Red_L"/>
    <x v="29"/>
    <s v="L"/>
    <n v="3995"/>
    <n v="3995"/>
    <n v="1"/>
    <n v="3995"/>
    <n v="1198.5"/>
    <n v="0"/>
    <n v="2796.5"/>
    <n v="3995"/>
    <x v="0"/>
  </r>
  <r>
    <x v="0"/>
    <x v="29"/>
    <s v="8B11D4A079F0"/>
    <s v="Clothing"/>
    <s v="Men"/>
    <s v="Topwear"/>
    <x v="0"/>
    <x v="3"/>
    <n v="8905302263245"/>
    <s v="BD1386695"/>
    <s v="8905302263245_Blu_L"/>
    <x v="30"/>
    <s v="L"/>
    <n v="4495"/>
    <n v="4495"/>
    <n v="1"/>
    <n v="4495"/>
    <n v="1348.5"/>
    <n v="0"/>
    <n v="3146.5"/>
    <n v="4495"/>
    <x v="24"/>
  </r>
  <r>
    <x v="0"/>
    <x v="29"/>
    <s v="8B11D4A079F0"/>
    <s v="Clothing"/>
    <s v="Men"/>
    <s v="Topwear"/>
    <x v="0"/>
    <x v="3"/>
    <n v="8905202264729"/>
    <s v="BD1358785"/>
    <n v="8905202264729"/>
    <x v="9"/>
    <s v="Onesize"/>
    <n v="2995"/>
    <n v="2995"/>
    <n v="1"/>
    <n v="2995"/>
    <n v="898.5"/>
    <n v="0"/>
    <n v="2096.5"/>
    <n v="2995"/>
    <x v="9"/>
  </r>
  <r>
    <x v="0"/>
    <x v="29"/>
    <s v="72BDB16F6837"/>
    <s v="Clothing"/>
    <s v="Men"/>
    <s v="Bottomwear"/>
    <x v="3"/>
    <x v="3"/>
    <n v="8905302263212"/>
    <s v="BD1385599"/>
    <s v="8905302263212_Blu_L"/>
    <x v="31"/>
    <s v="L"/>
    <n v="5999"/>
    <n v="5999"/>
    <n v="1"/>
    <n v="5999"/>
    <n v="899.85"/>
    <n v="0"/>
    <n v="5099.1499999999996"/>
    <n v="5999"/>
    <x v="21"/>
  </r>
  <r>
    <x v="0"/>
    <x v="30"/>
    <s v="84F8CE9740E6"/>
    <s v="Clothing"/>
    <s v="Men"/>
    <s v="Topwear"/>
    <x v="2"/>
    <x v="3"/>
    <n v="8905302263231"/>
    <s v="BD1385618"/>
    <s v="8905302263231_Bei_L"/>
    <x v="32"/>
    <s v="L"/>
    <n v="5999"/>
    <n v="5999"/>
    <n v="1"/>
    <n v="5999"/>
    <n v="899.85"/>
    <n v="0"/>
    <n v="5099.1499999999996"/>
    <n v="5999"/>
    <x v="22"/>
  </r>
  <r>
    <x v="0"/>
    <x v="30"/>
    <s v="7E9CFD5F0908"/>
    <s v="Clothing"/>
    <s v="Men"/>
    <s v="Topwear"/>
    <x v="2"/>
    <x v="3"/>
    <n v="8905302263236"/>
    <s v="BD1385625"/>
    <s v="8905302263236_Cha_S"/>
    <x v="33"/>
    <s v="S"/>
    <n v="5999"/>
    <n v="5999"/>
    <n v="1"/>
    <n v="5999"/>
    <n v="899.85"/>
    <n v="0"/>
    <n v="5099.1499999999996"/>
    <n v="5999"/>
    <x v="25"/>
  </r>
  <r>
    <x v="1"/>
    <x v="31"/>
    <s v="984DDD01B20F"/>
    <s v="Clothing"/>
    <s v="Men"/>
    <s v="Topwear"/>
    <x v="0"/>
    <x v="3"/>
    <n v="8905202264842"/>
    <s v="BD1358792"/>
    <s v="8905202264842_Bla_M"/>
    <x v="13"/>
    <s v="M"/>
    <n v="3995"/>
    <n v="3995"/>
    <n v="1"/>
    <n v="3995"/>
    <n v="599.25"/>
    <n v="0"/>
    <n v="3395.75"/>
    <n v="3995"/>
    <x v="18"/>
  </r>
  <r>
    <x v="0"/>
    <x v="31"/>
    <s v="1005952B2609"/>
    <s v="Clothing"/>
    <s v="Men"/>
    <s v="Bottomwear"/>
    <x v="3"/>
    <x v="3"/>
    <n v="8905302263211"/>
    <s v="BD1385603"/>
    <s v="8905302263211_Blu_M"/>
    <x v="34"/>
    <s v="M"/>
    <n v="5999"/>
    <n v="5999"/>
    <n v="1"/>
    <n v="5999"/>
    <n v="1799.7"/>
    <n v="0"/>
    <n v="4199.3"/>
    <n v="5999"/>
    <x v="21"/>
  </r>
  <r>
    <x v="0"/>
    <x v="31"/>
    <s v="1005952B2609"/>
    <s v="Clothing"/>
    <s v="Men"/>
    <s v="Topwear"/>
    <x v="2"/>
    <x v="3"/>
    <n v="8905302263226"/>
    <s v="BD1385614"/>
    <s v="8905302263226_Gre_XL"/>
    <x v="35"/>
    <s v="XL"/>
    <n v="5999"/>
    <n v="5999"/>
    <n v="1"/>
    <n v="5999"/>
    <n v="1799.7"/>
    <n v="0"/>
    <n v="4199.3"/>
    <n v="5999"/>
    <x v="19"/>
  </r>
  <r>
    <x v="1"/>
    <x v="32"/>
    <s v="8D2838FDA88D"/>
    <s v="Clothing"/>
    <s v="Men"/>
    <s v="Topwear"/>
    <x v="2"/>
    <x v="3"/>
    <n v="8905302263226"/>
    <s v="BD1385614"/>
    <s v="8905302263226_Gre_XL"/>
    <x v="35"/>
    <s v="XL"/>
    <n v="5999"/>
    <n v="5999"/>
    <n v="1"/>
    <n v="5999"/>
    <n v="899.85"/>
    <n v="0"/>
    <n v="5099.1499999999996"/>
    <n v="5999"/>
    <x v="19"/>
  </r>
  <r>
    <x v="1"/>
    <x v="32"/>
    <s v="6DB5604E9DBD"/>
    <s v="Clothing"/>
    <s v="Men"/>
    <s v="Topwear"/>
    <x v="2"/>
    <x v="3"/>
    <n v="8905302263234"/>
    <s v="BD1385622"/>
    <s v="8905302263234_Mus_L"/>
    <x v="36"/>
    <s v="L"/>
    <n v="5999"/>
    <n v="5999"/>
    <n v="1"/>
    <n v="5999"/>
    <n v="899.85"/>
    <n v="0"/>
    <n v="5099.1499999999996"/>
    <n v="5999"/>
    <x v="26"/>
  </r>
  <r>
    <x v="1"/>
    <x v="32"/>
    <s v="A4EB5E62ECF1"/>
    <s v="Clothing"/>
    <s v="Men"/>
    <s v="Topwear"/>
    <x v="0"/>
    <x v="3"/>
    <n v="8905202269106"/>
    <s v="BD1358754"/>
    <s v="8905202269106_Whi_XL"/>
    <x v="11"/>
    <s v="XL"/>
    <n v="3495"/>
    <n v="3495"/>
    <n v="1"/>
    <n v="3495"/>
    <n v="524.25"/>
    <n v="0"/>
    <n v="2970.75"/>
    <n v="3495"/>
    <x v="8"/>
  </r>
  <r>
    <x v="1"/>
    <x v="32"/>
    <s v="E89D8C4F7DAD"/>
    <s v="Clothing"/>
    <s v="Men"/>
    <s v="Topwear"/>
    <x v="0"/>
    <x v="3"/>
    <n v="8905202264620"/>
    <s v="BD1358769"/>
    <n v="8905202264620"/>
    <x v="37"/>
    <s v="S"/>
    <n v="3495"/>
    <n v="3495"/>
    <n v="1"/>
    <n v="3495"/>
    <n v="524.25"/>
    <n v="0"/>
    <n v="2970.75"/>
    <n v="3495"/>
    <x v="23"/>
  </r>
  <r>
    <x v="1"/>
    <x v="33"/>
    <s v="B91913F4EFFB"/>
    <s v="Clothing"/>
    <s v="Men"/>
    <s v="Topwear"/>
    <x v="0"/>
    <x v="3"/>
    <n v="8905202264729"/>
    <s v="BD1358785"/>
    <n v="8905202264729"/>
    <x v="9"/>
    <s v="Onesize"/>
    <n v="2995"/>
    <n v="2995"/>
    <n v="1"/>
    <n v="2995"/>
    <n v="0"/>
    <n v="0"/>
    <n v="2995"/>
    <n v="2995"/>
    <x v="9"/>
  </r>
  <r>
    <x v="1"/>
    <x v="34"/>
    <s v="CB3A3B8A988D"/>
    <s v="Clothing"/>
    <s v="Men"/>
    <s v="Topwear"/>
    <x v="2"/>
    <x v="3"/>
    <n v="8905302263233"/>
    <s v="BD1385621"/>
    <s v="8905302263233_Mus_M"/>
    <x v="38"/>
    <s v="M"/>
    <n v="5999"/>
    <n v="5999"/>
    <n v="1"/>
    <n v="5999"/>
    <n v="0"/>
    <n v="0"/>
    <n v="5999"/>
    <n v="5999"/>
    <x v="26"/>
  </r>
  <r>
    <x v="0"/>
    <x v="34"/>
    <s v="14EC85598D1A"/>
    <s v="Clothing"/>
    <s v="Men"/>
    <s v="Bottomwear"/>
    <x v="3"/>
    <x v="3"/>
    <n v="8905302263211"/>
    <s v="BD1385603"/>
    <s v="8905302263211_Blu_M"/>
    <x v="34"/>
    <s v="M"/>
    <n v="5999"/>
    <n v="5999"/>
    <n v="1"/>
    <n v="5999"/>
    <n v="0"/>
    <n v="0"/>
    <n v="5999"/>
    <n v="5999"/>
    <x v="21"/>
  </r>
  <r>
    <x v="1"/>
    <x v="35"/>
    <s v="83AFB14CD121"/>
    <s v="Clothing"/>
    <s v="Men"/>
    <s v="Bottomwear"/>
    <x v="3"/>
    <x v="3"/>
    <n v="8905302263177"/>
    <s v="BD1385587"/>
    <s v="8905302263177_Blu_L"/>
    <x v="39"/>
    <s v="L"/>
    <n v="5999"/>
    <n v="5999"/>
    <n v="1"/>
    <n v="5999"/>
    <n v="0"/>
    <n v="0"/>
    <n v="5999"/>
    <n v="5999"/>
    <x v="27"/>
  </r>
  <r>
    <x v="1"/>
    <x v="35"/>
    <s v="83AFB14CD121"/>
    <s v="Clothing"/>
    <s v="Men"/>
    <s v="Bottomwear"/>
    <x v="3"/>
    <x v="3"/>
    <n v="8905302263190"/>
    <s v="BD1385593"/>
    <s v="8905302263190_Blu_M"/>
    <x v="40"/>
    <s v="M"/>
    <n v="7999"/>
    <n v="7999"/>
    <n v="1"/>
    <n v="7999"/>
    <n v="0"/>
    <n v="0"/>
    <n v="7999"/>
    <n v="7999"/>
    <x v="28"/>
  </r>
  <r>
    <x v="0"/>
    <x v="35"/>
    <s v="F74A0382845C"/>
    <s v="Clothing"/>
    <s v="Men"/>
    <s v="Topwear"/>
    <x v="0"/>
    <x v="3"/>
    <n v="8905202264842"/>
    <s v="BD1358792"/>
    <s v="8905202264842_Bla_M"/>
    <x v="13"/>
    <s v="M"/>
    <n v="3995"/>
    <n v="3995"/>
    <n v="1"/>
    <n v="3995"/>
    <n v="0"/>
    <n v="0"/>
    <n v="3995"/>
    <n v="3995"/>
    <x v="18"/>
  </r>
  <r>
    <x v="1"/>
    <x v="36"/>
    <s v="83AFB14CD121"/>
    <s v="Clothing"/>
    <s v="Men"/>
    <s v="Bottomwear"/>
    <x v="3"/>
    <x v="3"/>
    <n v="8905302263180"/>
    <s v="BD1385583"/>
    <s v="8905302263180_Cha_S"/>
    <x v="41"/>
    <s v="S"/>
    <n v="5999"/>
    <n v="5999"/>
    <n v="1"/>
    <n v="5999"/>
    <n v="0"/>
    <n v="0"/>
    <n v="5999"/>
    <n v="5999"/>
    <x v="29"/>
  </r>
  <r>
    <x v="0"/>
    <x v="36"/>
    <s v="6A0CC210B095"/>
    <s v="Clothing"/>
    <s v="Men"/>
    <s v="Bottomwear"/>
    <x v="4"/>
    <x v="3"/>
    <n v="8905202268994"/>
    <s v="BD1358887"/>
    <n v="8905202268994"/>
    <x v="42"/>
    <s v="L"/>
    <n v="2995"/>
    <n v="2995"/>
    <n v="1"/>
    <n v="2995"/>
    <n v="0"/>
    <n v="0"/>
    <n v="2995"/>
    <n v="2995"/>
    <x v="30"/>
  </r>
  <r>
    <x v="1"/>
    <x v="37"/>
    <s v="534D2A5DBA11"/>
    <s v="Clothing"/>
    <s v="Men"/>
    <s v="Topwear"/>
    <x v="0"/>
    <x v="3"/>
    <n v="8905202264729"/>
    <s v="BD1358785"/>
    <n v="8905202264729"/>
    <x v="9"/>
    <s v="Onesize"/>
    <n v="2995"/>
    <n v="2995"/>
    <n v="1"/>
    <n v="2995"/>
    <n v="0"/>
    <n v="0"/>
    <n v="2995"/>
    <n v="2995"/>
    <x v="9"/>
  </r>
  <r>
    <x v="1"/>
    <x v="38"/>
    <s v="EED81572CC79"/>
    <s v="Clothing"/>
    <s v="Men"/>
    <s v="Topwear"/>
    <x v="0"/>
    <x v="3"/>
    <n v="8905202264729"/>
    <s v="BD1358785"/>
    <n v="8905202264729"/>
    <x v="9"/>
    <s v="Onesize"/>
    <n v="2995"/>
    <n v="2995"/>
    <n v="1"/>
    <n v="2995"/>
    <n v="0"/>
    <n v="0"/>
    <n v="2995"/>
    <n v="2995"/>
    <x v="9"/>
  </r>
  <r>
    <x v="0"/>
    <x v="38"/>
    <s v="10D634915642"/>
    <s v="Clothing"/>
    <s v="Men"/>
    <s v="Bottomwear"/>
    <x v="3"/>
    <x v="3"/>
    <n v="8905302263203"/>
    <s v="BD1385588"/>
    <s v="8905302263203_Bla_L"/>
    <x v="43"/>
    <s v="L"/>
    <n v="6999"/>
    <n v="6999"/>
    <n v="1"/>
    <n v="6999"/>
    <n v="0"/>
    <n v="0"/>
    <n v="6999"/>
    <n v="6999"/>
    <x v="31"/>
  </r>
  <r>
    <x v="1"/>
    <x v="39"/>
    <s v="29F863516598"/>
    <s v="Clothing"/>
    <s v="Men"/>
    <s v="Topwear"/>
    <x v="0"/>
    <x v="3"/>
    <n v="8905202264859"/>
    <s v="BD1358801"/>
    <s v="8905202264859_Bla_XXL"/>
    <x v="44"/>
    <s v="XXL"/>
    <n v="3995"/>
    <n v="3995"/>
    <n v="1"/>
    <n v="3995"/>
    <n v="1198.5"/>
    <n v="0"/>
    <n v="2796.5"/>
    <n v="3995"/>
    <x v="18"/>
  </r>
  <r>
    <x v="1"/>
    <x v="39"/>
    <s v="29F863516598"/>
    <s v="Clothing"/>
    <s v="Men"/>
    <s v="Topwear"/>
    <x v="0"/>
    <x v="3"/>
    <n v="8905202269410"/>
    <s v="BD1358765"/>
    <n v="8905202269410"/>
    <x v="44"/>
    <s v="XXL"/>
    <n v="4495"/>
    <n v="4495"/>
    <n v="1"/>
    <n v="4495"/>
    <n v="1348.5"/>
    <n v="0"/>
    <n v="3146.5"/>
    <n v="4495"/>
    <x v="10"/>
  </r>
  <r>
    <x v="1"/>
    <x v="39"/>
    <s v="122483EC1569"/>
    <s v="Clothing"/>
    <s v="Men"/>
    <s v="Topwear"/>
    <x v="0"/>
    <x v="3"/>
    <n v="8905202264897"/>
    <s v="BD1358803"/>
    <n v="8905202264897"/>
    <x v="5"/>
    <s v="M"/>
    <n v="2995"/>
    <n v="2995"/>
    <n v="1"/>
    <n v="2995"/>
    <n v="449.25"/>
    <n v="0"/>
    <n v="2545.75"/>
    <n v="2995"/>
    <x v="5"/>
  </r>
  <r>
    <x v="1"/>
    <x v="39"/>
    <s v="174698DC2969"/>
    <s v="Clothing"/>
    <s v="Men"/>
    <s v="Bottomwear"/>
    <x v="3"/>
    <x v="3"/>
    <n v="8905302263181"/>
    <s v="BD1385584"/>
    <s v="8905302263181_Cha_M"/>
    <x v="45"/>
    <s v="M"/>
    <n v="5999"/>
    <n v="5999"/>
    <n v="1"/>
    <n v="5999"/>
    <n v="899.85"/>
    <n v="0"/>
    <n v="5099.1499999999996"/>
    <n v="5999"/>
    <x v="29"/>
  </r>
  <r>
    <x v="0"/>
    <x v="39"/>
    <s v="D73926DBFF20"/>
    <s v="Clothing"/>
    <s v="Men"/>
    <s v="Topwear"/>
    <x v="0"/>
    <x v="3"/>
    <n v="8905302263244"/>
    <s v="BD1386694"/>
    <s v="8905302263244_Blu_S"/>
    <x v="46"/>
    <s v="S"/>
    <n v="4495"/>
    <n v="4495"/>
    <n v="1"/>
    <n v="4495"/>
    <n v="674.25"/>
    <n v="0"/>
    <n v="3820.75"/>
    <n v="4495"/>
    <x v="24"/>
  </r>
  <r>
    <x v="0"/>
    <x v="39"/>
    <s v="2CD43552D4DD"/>
    <s v="Clothing"/>
    <s v="Women"/>
    <s v="Topwear"/>
    <x v="0"/>
    <x v="3"/>
    <n v="8905202269250"/>
    <s v="BD1358892"/>
    <n v="8905202269250"/>
    <x v="21"/>
    <s v="M"/>
    <n v="1995"/>
    <n v="1995"/>
    <n v="1"/>
    <n v="1995"/>
    <n v="299.25"/>
    <n v="0"/>
    <n v="1695.75"/>
    <n v="1995"/>
    <x v="17"/>
  </r>
  <r>
    <x v="0"/>
    <x v="39"/>
    <s v="F8C97FC4B46F"/>
    <s v="Clothing"/>
    <s v="Women"/>
    <s v="Topwear"/>
    <x v="0"/>
    <x v="3"/>
    <n v="8905202268918"/>
    <s v="BD1358886"/>
    <n v="8905202268918"/>
    <x v="47"/>
    <s v="L"/>
    <n v="1995"/>
    <n v="1995"/>
    <n v="1"/>
    <n v="1995"/>
    <n v="299.25"/>
    <n v="0"/>
    <n v="1695.75"/>
    <n v="1995"/>
    <x v="7"/>
  </r>
  <r>
    <x v="0"/>
    <x v="40"/>
    <s v="A479D95E8DE3"/>
    <s v="Clothing"/>
    <s v="Men"/>
    <s v="Topwear"/>
    <x v="2"/>
    <x v="3"/>
    <n v="8905302263239"/>
    <s v="BD1385631"/>
    <s v="8905302263239_Cha_XL"/>
    <x v="48"/>
    <s v="XL"/>
    <n v="5999"/>
    <n v="5999"/>
    <n v="1"/>
    <n v="5999"/>
    <n v="899.85"/>
    <n v="0"/>
    <n v="5099.1499999999996"/>
    <n v="5999"/>
    <x v="25"/>
  </r>
  <r>
    <x v="0"/>
    <x v="40"/>
    <s v="631D1C72A4D9"/>
    <s v="Clothing"/>
    <s v="Men"/>
    <s v="Topwear"/>
    <x v="0"/>
    <x v="3"/>
    <n v="8905202264620"/>
    <s v="BD1358769"/>
    <n v="8905202264620"/>
    <x v="37"/>
    <s v="S"/>
    <n v="3495"/>
    <n v="3495"/>
    <n v="1"/>
    <n v="3495"/>
    <n v="1048.5"/>
    <n v="0"/>
    <n v="2446.5"/>
    <n v="3495"/>
    <x v="23"/>
  </r>
  <r>
    <x v="0"/>
    <x v="40"/>
    <s v="631D1C72A4D9"/>
    <s v="Clothing"/>
    <s v="Men"/>
    <s v="Topwear"/>
    <x v="0"/>
    <x v="3"/>
    <n v="8905202269298"/>
    <s v="BD1358767"/>
    <n v="8905202269298"/>
    <x v="37"/>
    <s v="S"/>
    <n v="3495"/>
    <n v="3495"/>
    <n v="1"/>
    <n v="3495"/>
    <n v="1048.5"/>
    <n v="0"/>
    <n v="2446.5"/>
    <n v="3495"/>
    <x v="32"/>
  </r>
  <r>
    <x v="0"/>
    <x v="40"/>
    <s v="FC68EB5069DF"/>
    <s v="Clothing"/>
    <s v="Women"/>
    <s v="Topwear"/>
    <x v="0"/>
    <x v="3"/>
    <n v="8905202268888"/>
    <s v="BD1358882"/>
    <n v="8905202268888"/>
    <x v="49"/>
    <s v="XS"/>
    <n v="1995"/>
    <n v="1995"/>
    <n v="1"/>
    <n v="1995"/>
    <n v="299.25"/>
    <n v="0"/>
    <n v="1695.75"/>
    <n v="1995"/>
    <x v="7"/>
  </r>
  <r>
    <x v="0"/>
    <x v="41"/>
    <s v="9E4FACECA6FC"/>
    <s v="Clothing"/>
    <s v="Men"/>
    <s v="Topwear"/>
    <x v="2"/>
    <x v="3"/>
    <n v="8905302263234"/>
    <s v="BD1385622"/>
    <s v="8905302263234_Mus_L"/>
    <x v="36"/>
    <s v="L"/>
    <n v="5999"/>
    <n v="5999"/>
    <n v="1"/>
    <n v="5999"/>
    <n v="899.85"/>
    <n v="0"/>
    <n v="5099.1499999999996"/>
    <n v="5999"/>
    <x v="26"/>
  </r>
  <r>
    <x v="0"/>
    <x v="41"/>
    <s v="1335B2F42598"/>
    <s v="Clothing"/>
    <s v="Men"/>
    <s v="Topwear"/>
    <x v="2"/>
    <x v="3"/>
    <n v="8905302263232"/>
    <s v="BD1385620"/>
    <s v="8905302263232_Bei_XL"/>
    <x v="50"/>
    <s v="XL"/>
    <n v="5999"/>
    <n v="5999"/>
    <n v="1"/>
    <n v="5999"/>
    <n v="1799.7"/>
    <n v="0"/>
    <n v="4199.3"/>
    <n v="5999"/>
    <x v="22"/>
  </r>
  <r>
    <x v="0"/>
    <x v="41"/>
    <s v="1335B2F42598"/>
    <s v="Clothing"/>
    <s v="Men"/>
    <s v="Topwear"/>
    <x v="2"/>
    <x v="3"/>
    <n v="8905302263243"/>
    <s v="BD1385630"/>
    <s v="8905302263243_Blu_XL"/>
    <x v="51"/>
    <s v="XL"/>
    <n v="5999"/>
    <n v="5999"/>
    <n v="1"/>
    <n v="5999"/>
    <n v="1799.7"/>
    <n v="0"/>
    <n v="4199.3"/>
    <n v="5999"/>
    <x v="33"/>
  </r>
  <r>
    <x v="0"/>
    <x v="42"/>
    <s v="33D3D672FC27"/>
    <s v="Clothing"/>
    <s v="Men"/>
    <s v="Topwear"/>
    <x v="2"/>
    <x v="4"/>
    <n v="8905302263228"/>
    <s v="BD1385612"/>
    <s v="8905302263228_Oli_L"/>
    <x v="52"/>
    <s v="L"/>
    <n v="5999"/>
    <n v="5999"/>
    <n v="1"/>
    <n v="5999"/>
    <n v="1799.7"/>
    <n v="0"/>
    <n v="4199.3"/>
    <n v="5999"/>
    <x v="20"/>
  </r>
  <r>
    <x v="0"/>
    <x v="42"/>
    <s v="33D3D672FC27"/>
    <s v="Clothing"/>
    <s v="Men"/>
    <s v="Topwear"/>
    <x v="0"/>
    <x v="4"/>
    <n v="8905202264880"/>
    <s v="BD1358802"/>
    <n v="8905202264880"/>
    <x v="53"/>
    <s v="S"/>
    <n v="2995"/>
    <n v="2995"/>
    <n v="1"/>
    <n v="2995"/>
    <n v="898.5"/>
    <n v="0"/>
    <n v="2096.5"/>
    <n v="2995"/>
    <x v="5"/>
  </r>
  <r>
    <x v="0"/>
    <x v="42"/>
    <s v="930E44736B90"/>
    <s v="Clothing"/>
    <s v="Men"/>
    <s v="Topwear"/>
    <x v="0"/>
    <x v="4"/>
    <n v="8905202265009"/>
    <s v="BD1358800"/>
    <n v="8905202265009"/>
    <x v="54"/>
    <s v="XXL"/>
    <n v="2995"/>
    <n v="2995"/>
    <n v="1"/>
    <n v="2995"/>
    <n v="449.25"/>
    <n v="0"/>
    <n v="2545.75"/>
    <n v="2995"/>
    <x v="5"/>
  </r>
  <r>
    <x v="0"/>
    <x v="43"/>
    <s v="EC15C1D6D5E1"/>
    <s v="Clothing"/>
    <s v="Men"/>
    <s v="Topwear"/>
    <x v="2"/>
    <x v="4"/>
    <n v="8905302263248"/>
    <s v="BD1386692"/>
    <s v="8905302263248_Blu_XL"/>
    <x v="55"/>
    <s v="XL"/>
    <n v="5999"/>
    <n v="5999"/>
    <n v="1"/>
    <n v="5999"/>
    <n v="0"/>
    <n v="0"/>
    <n v="5999"/>
    <n v="5999"/>
    <x v="34"/>
  </r>
  <r>
    <x v="1"/>
    <x v="44"/>
    <s v="BA7C1FB7C456"/>
    <s v="Clothing"/>
    <s v="Men"/>
    <s v="Topwear"/>
    <x v="0"/>
    <x v="4"/>
    <n v="8905202264729"/>
    <s v="BD1358785"/>
    <n v="8905202264729"/>
    <x v="9"/>
    <s v="Onesize"/>
    <n v="2995"/>
    <n v="2995"/>
    <n v="1"/>
    <n v="2995"/>
    <n v="0"/>
    <n v="0"/>
    <n v="2995"/>
    <n v="2995"/>
    <x v="9"/>
  </r>
  <r>
    <x v="1"/>
    <x v="45"/>
    <s v="8969A2BE54F3"/>
    <s v="Clothing"/>
    <s v="Men"/>
    <s v="Topwear"/>
    <x v="0"/>
    <x v="4"/>
    <n v="8905202264873"/>
    <s v="BD1358793"/>
    <s v="8905202264873_Bla_L"/>
    <x v="22"/>
    <s v="L"/>
    <n v="3995"/>
    <n v="3995"/>
    <n v="1"/>
    <n v="3995"/>
    <n v="0"/>
    <n v="0"/>
    <n v="3995"/>
    <n v="3995"/>
    <x v="18"/>
  </r>
  <r>
    <x v="1"/>
    <x v="45"/>
    <s v="EBE83CFE6188"/>
    <s v="Clothing"/>
    <s v="Men"/>
    <s v="Topwear"/>
    <x v="0"/>
    <x v="4"/>
    <n v="8905202264910"/>
    <s v="BD1358807"/>
    <s v="8905202264910_Blu_XL"/>
    <x v="23"/>
    <s v="XL"/>
    <n v="2995"/>
    <n v="2995"/>
    <n v="1"/>
    <n v="2995"/>
    <n v="0"/>
    <n v="0"/>
    <n v="2995"/>
    <n v="2995"/>
    <x v="15"/>
  </r>
  <r>
    <x v="1"/>
    <x v="46"/>
    <s v="CCA322AED82B"/>
    <s v="Clothing"/>
    <s v="Men"/>
    <s v="Bottomwear"/>
    <x v="3"/>
    <x v="4"/>
    <n v="8905302263205"/>
    <s v="BD1385589"/>
    <s v="8905302263205_Bla_XL"/>
    <x v="56"/>
    <s v="XL"/>
    <n v="6999"/>
    <n v="6999"/>
    <n v="1"/>
    <n v="6999"/>
    <n v="0"/>
    <n v="0"/>
    <n v="6999"/>
    <n v="6999"/>
    <x v="31"/>
  </r>
  <r>
    <x v="0"/>
    <x v="47"/>
    <s v="3001A03E2C83"/>
    <s v="Clothing"/>
    <s v="Men"/>
    <s v="Topwear"/>
    <x v="0"/>
    <x v="4"/>
    <n v="8905202264705"/>
    <s v="BD1358784"/>
    <s v="8905202264705_Whi_Onesize"/>
    <x v="57"/>
    <s v="Onesize"/>
    <n v="3495"/>
    <n v="3495"/>
    <n v="1"/>
    <n v="3495"/>
    <n v="0"/>
    <n v="0"/>
    <n v="3495"/>
    <n v="3495"/>
    <x v="35"/>
  </r>
  <r>
    <x v="0"/>
    <x v="47"/>
    <s v="3001A03E2C83"/>
    <s v="Clothing"/>
    <s v="Men"/>
    <s v="Topwear"/>
    <x v="0"/>
    <x v="4"/>
    <n v="8905202264859"/>
    <s v="BD1358801"/>
    <s v="8905202264859_Bla_XXL"/>
    <x v="44"/>
    <s v="XXL"/>
    <n v="3995"/>
    <n v="3995"/>
    <n v="1"/>
    <n v="3995"/>
    <n v="0"/>
    <n v="0"/>
    <n v="3995"/>
    <n v="3995"/>
    <x v="18"/>
  </r>
  <r>
    <x v="0"/>
    <x v="47"/>
    <s v="628086B8CA60"/>
    <s v="Clothing"/>
    <s v="Men"/>
    <s v="Bottomwear"/>
    <x v="3"/>
    <x v="4"/>
    <n v="8905302263198"/>
    <s v="BD1385596"/>
    <s v="8905302263198_Bla_L"/>
    <x v="58"/>
    <s v="L"/>
    <n v="6999"/>
    <n v="6999"/>
    <n v="1"/>
    <n v="6999"/>
    <n v="0"/>
    <n v="0"/>
    <n v="6999"/>
    <n v="6999"/>
    <x v="36"/>
  </r>
  <r>
    <x v="0"/>
    <x v="47"/>
    <s v="628086B8CA60"/>
    <s v="Clothing"/>
    <s v="Men"/>
    <s v="Bottomwear"/>
    <x v="3"/>
    <x v="4"/>
    <n v="8905302263208"/>
    <s v="BD1385607"/>
    <s v="8905302263208_Blu_L"/>
    <x v="59"/>
    <s v="L"/>
    <n v="5999"/>
    <n v="5999"/>
    <n v="1"/>
    <n v="5999"/>
    <n v="0"/>
    <n v="0"/>
    <n v="5999"/>
    <n v="5999"/>
    <x v="34"/>
  </r>
  <r>
    <x v="1"/>
    <x v="48"/>
    <s v="10413CE44FC4"/>
    <s v="Clothing"/>
    <s v="Men"/>
    <s v="Topwear"/>
    <x v="0"/>
    <x v="4"/>
    <n v="8905202264842"/>
    <s v="BD1358792"/>
    <s v="8905202264842_Bla_M"/>
    <x v="13"/>
    <s v="M"/>
    <n v="3995"/>
    <n v="3995"/>
    <n v="1"/>
    <n v="3995"/>
    <n v="599.25"/>
    <n v="0"/>
    <n v="3395.75"/>
    <n v="3995"/>
    <x v="18"/>
  </r>
  <r>
    <x v="1"/>
    <x v="48"/>
    <s v="3899E18DA661"/>
    <s v="Clothing"/>
    <s v="Men"/>
    <s v="Topwear"/>
    <x v="0"/>
    <x v="4"/>
    <n v="8905202264675"/>
    <s v="BD1358778"/>
    <s v="8905202264675_Bla_S"/>
    <x v="37"/>
    <s v="S"/>
    <n v="2995"/>
    <n v="2995"/>
    <n v="1"/>
    <n v="2995"/>
    <n v="898.5"/>
    <n v="0"/>
    <n v="2096.5"/>
    <n v="2995"/>
    <x v="37"/>
  </r>
  <r>
    <x v="1"/>
    <x v="48"/>
    <s v="3899E18DA661"/>
    <s v="Clothing"/>
    <s v="Men"/>
    <s v="Topwear"/>
    <x v="0"/>
    <x v="4"/>
    <n v="8905202269090"/>
    <s v="BD1358739"/>
    <s v="8905202269090_Whi_S"/>
    <x v="53"/>
    <s v="S"/>
    <n v="3495"/>
    <n v="3495"/>
    <n v="1"/>
    <n v="3495"/>
    <n v="1048.5"/>
    <n v="0"/>
    <n v="2446.5"/>
    <n v="3495"/>
    <x v="8"/>
  </r>
  <r>
    <x v="1"/>
    <x v="48"/>
    <s v="2E66F89401B7"/>
    <s v="Clothing"/>
    <s v="Men"/>
    <s v="Bottomwear"/>
    <x v="3"/>
    <x v="4"/>
    <n v="8905302263202"/>
    <s v="BD1385591"/>
    <s v="8905302263202_Bla_M"/>
    <x v="60"/>
    <s v="M"/>
    <n v="6999"/>
    <n v="6999"/>
    <n v="1"/>
    <n v="6999"/>
    <n v="1049.8499999999999"/>
    <n v="0"/>
    <n v="5949.15"/>
    <n v="6999"/>
    <x v="31"/>
  </r>
  <r>
    <x v="0"/>
    <x v="48"/>
    <s v="ECFB3D858A3D"/>
    <s v="Clothing"/>
    <s v="Men"/>
    <s v="Topwear"/>
    <x v="0"/>
    <x v="4"/>
    <n v="8905202264705"/>
    <s v="BD1358784"/>
    <s v="8905202264705_Whi_Onesize"/>
    <x v="57"/>
    <s v="Onesize"/>
    <n v="3495"/>
    <n v="3495"/>
    <n v="1"/>
    <n v="3495"/>
    <n v="524.25"/>
    <n v="0"/>
    <n v="2970.75"/>
    <n v="3495"/>
    <x v="35"/>
  </r>
  <r>
    <x v="0"/>
    <x v="48"/>
    <s v="9ECBA46F82BE"/>
    <s v="Clothing"/>
    <s v="Men"/>
    <s v="Topwear"/>
    <x v="2"/>
    <x v="4"/>
    <n v="8905302263249"/>
    <s v="BD1386693"/>
    <s v="8905302263249_Blu_XXL"/>
    <x v="61"/>
    <s v="XXL"/>
    <n v="5999"/>
    <n v="5999"/>
    <n v="1"/>
    <n v="5999"/>
    <n v="899.85"/>
    <n v="0"/>
    <n v="5099.1499999999996"/>
    <n v="5999"/>
    <x v="21"/>
  </r>
  <r>
    <x v="1"/>
    <x v="49"/>
    <s v="645A21ED1B0B"/>
    <s v="Clothing"/>
    <s v="Men"/>
    <s v="Bottomwear"/>
    <x v="3"/>
    <x v="4"/>
    <n v="8905302263183"/>
    <s v="BD1385585"/>
    <s v="8905302263183_Cha_XL"/>
    <x v="62"/>
    <s v="XL"/>
    <n v="5999"/>
    <n v="5999"/>
    <n v="1"/>
    <n v="5999"/>
    <n v="899.85"/>
    <n v="0"/>
    <n v="5099.1499999999996"/>
    <n v="5999"/>
    <x v="29"/>
  </r>
  <r>
    <x v="0"/>
    <x v="50"/>
    <s v="2A0CD86AC7ED"/>
    <s v="Clothing"/>
    <s v="Men"/>
    <s v="Topwear"/>
    <x v="2"/>
    <x v="4"/>
    <n v="8905302263251"/>
    <s v="BD1392651"/>
    <s v="8905302263251_Bla_M"/>
    <x v="63"/>
    <s v="M"/>
    <n v="4999"/>
    <n v="4999"/>
    <n v="1"/>
    <n v="4999"/>
    <n v="749.85"/>
    <n v="0"/>
    <n v="4249.1499999999996"/>
    <n v="4999"/>
    <x v="38"/>
  </r>
  <r>
    <x v="0"/>
    <x v="50"/>
    <s v="72BDB16F6837"/>
    <s v="Clothing"/>
    <s v="Men"/>
    <s v="Topwear"/>
    <x v="2"/>
    <x v="4"/>
    <n v="8905302263235"/>
    <s v="BD1385624"/>
    <s v="8905302263235_Mus_XL"/>
    <x v="64"/>
    <s v="XL"/>
    <n v="5999"/>
    <n v="5999"/>
    <n v="1"/>
    <n v="5999"/>
    <n v="899.85"/>
    <n v="0"/>
    <n v="5099.1499999999996"/>
    <n v="5999"/>
    <x v="26"/>
  </r>
  <r>
    <x v="1"/>
    <x v="51"/>
    <s v="D3BF874D4EEE"/>
    <s v="Clothing"/>
    <s v="Men"/>
    <s v="Bottomwear"/>
    <x v="3"/>
    <x v="4"/>
    <n v="8905302263192"/>
    <s v="BD1385594"/>
    <s v="8905302263192_Blu_XL"/>
    <x v="65"/>
    <s v="XL"/>
    <n v="7999"/>
    <n v="7999"/>
    <n v="1"/>
    <n v="7999"/>
    <n v="1199.8499999999999"/>
    <n v="0"/>
    <n v="6799.15"/>
    <n v="7999"/>
    <x v="28"/>
  </r>
  <r>
    <x v="0"/>
    <x v="51"/>
    <s v="B0863BDDA195"/>
    <s v="Clothing"/>
    <s v="Men"/>
    <s v="Bottomwear"/>
    <x v="3"/>
    <x v="4"/>
    <n v="8905302263192"/>
    <s v="BD1385594"/>
    <s v="8905302263192_Blu_XL"/>
    <x v="65"/>
    <s v="XL"/>
    <n v="7999"/>
    <n v="7999"/>
    <n v="1"/>
    <n v="7999"/>
    <n v="2399.6999999999998"/>
    <n v="0"/>
    <n v="5599.3"/>
    <n v="7999"/>
    <x v="28"/>
  </r>
  <r>
    <x v="0"/>
    <x v="51"/>
    <s v="B0863BDDA195"/>
    <s v="Clothing"/>
    <s v="Men"/>
    <s v="Bottomwear"/>
    <x v="3"/>
    <x v="4"/>
    <n v="8905302263205"/>
    <s v="BD1385589"/>
    <s v="8905302263205_Bla_XL"/>
    <x v="56"/>
    <s v="XL"/>
    <n v="6999"/>
    <n v="6999"/>
    <n v="1"/>
    <n v="6999"/>
    <n v="2099.6999999999998"/>
    <n v="0"/>
    <n v="4899.3"/>
    <n v="6999"/>
    <x v="31"/>
  </r>
  <r>
    <x v="0"/>
    <x v="51"/>
    <s v="094E5C574000"/>
    <s v="Clothing"/>
    <s v="Men"/>
    <s v="Bottomwear"/>
    <x v="5"/>
    <x v="4"/>
    <n v="8905202268710"/>
    <s v="BD1358873"/>
    <n v="8905202268710"/>
    <x v="66"/>
    <s v="XL"/>
    <n v="3995"/>
    <n v="3995"/>
    <n v="1"/>
    <n v="3995"/>
    <n v="599.25"/>
    <n v="0"/>
    <n v="3395.75"/>
    <n v="3995"/>
    <x v="39"/>
  </r>
  <r>
    <x v="0"/>
    <x v="51"/>
    <s v="837AED53BA31"/>
    <s v="Clothing"/>
    <s v="Men"/>
    <s v="Topwear"/>
    <x v="0"/>
    <x v="4"/>
    <n v="8905202264873"/>
    <s v="BD1358793"/>
    <s v="8905202264873_Bla_L"/>
    <x v="22"/>
    <s v="L"/>
    <n v="3995"/>
    <n v="3995"/>
    <n v="1"/>
    <n v="3995"/>
    <n v="599.25"/>
    <n v="0"/>
    <n v="3395.75"/>
    <n v="3995"/>
    <x v="18"/>
  </r>
  <r>
    <x v="0"/>
    <x v="52"/>
    <s v="70A37A21FC9A"/>
    <s v="Clothing"/>
    <s v="Men"/>
    <s v="Topwear"/>
    <x v="0"/>
    <x v="4"/>
    <n v="8905202264682"/>
    <s v="BD1358779"/>
    <s v="8905202264682_Bla_XL"/>
    <x v="10"/>
    <s v="XL"/>
    <n v="2995"/>
    <n v="2995"/>
    <n v="1"/>
    <n v="2995"/>
    <n v="898.5"/>
    <n v="0"/>
    <n v="2096.5"/>
    <n v="2995"/>
    <x v="37"/>
  </r>
  <r>
    <x v="0"/>
    <x v="52"/>
    <s v="70A37A21FC9A"/>
    <s v="Clothing"/>
    <s v="Men"/>
    <s v="Topwear"/>
    <x v="0"/>
    <x v="4"/>
    <n v="8905202269281"/>
    <s v="BD1358768"/>
    <s v="8905202269281_Bla_M"/>
    <x v="13"/>
    <s v="M"/>
    <n v="3495"/>
    <n v="3495"/>
    <n v="1"/>
    <n v="3495"/>
    <n v="1048.5"/>
    <n v="0"/>
    <n v="2446.5"/>
    <n v="3495"/>
    <x v="32"/>
  </r>
  <r>
    <x v="0"/>
    <x v="53"/>
    <s v="3B7219925344"/>
    <s v="Clothing"/>
    <s v="Men"/>
    <s v="Bottomwear"/>
    <x v="3"/>
    <x v="4"/>
    <n v="8905302263201"/>
    <s v="BD1385590"/>
    <s v="8905302263201_Bla_XXL"/>
    <x v="67"/>
    <s v="XXL"/>
    <n v="6999"/>
    <n v="6999"/>
    <n v="1"/>
    <n v="6999"/>
    <n v="2099.6999999999998"/>
    <n v="0"/>
    <n v="4899.3"/>
    <n v="6999"/>
    <x v="36"/>
  </r>
  <r>
    <x v="0"/>
    <x v="53"/>
    <s v="3B7219925344"/>
    <s v="Clothing"/>
    <s v="Women"/>
    <s v="Topwear"/>
    <x v="0"/>
    <x v="4"/>
    <n v="8905202269243"/>
    <s v="BD1358890"/>
    <n v="8905202269243"/>
    <x v="68"/>
    <s v="XL"/>
    <n v="1995"/>
    <n v="1995"/>
    <n v="1"/>
    <n v="1995"/>
    <n v="598.5"/>
    <n v="0"/>
    <n v="1396.5"/>
    <n v="1995"/>
    <x v="7"/>
  </r>
  <r>
    <x v="0"/>
    <x v="54"/>
    <s v="8190B4B27EE5"/>
    <s v="Clothing"/>
    <s v="Men"/>
    <s v="Bottomwear"/>
    <x v="4"/>
    <x v="4"/>
    <n v="8905202269069"/>
    <s v="BD1358884"/>
    <n v="8905202269069"/>
    <x v="69"/>
    <s v="M"/>
    <n v="2995"/>
    <n v="2995"/>
    <n v="1"/>
    <n v="2995"/>
    <n v="449.25"/>
    <n v="0"/>
    <n v="2545.75"/>
    <n v="2995"/>
    <x v="30"/>
  </r>
  <r>
    <x v="0"/>
    <x v="55"/>
    <s v="064C8A360197"/>
    <s v="Clothing"/>
    <s v="Men"/>
    <s v="Bottomwear"/>
    <x v="3"/>
    <x v="4"/>
    <n v="8905302263203"/>
    <s v="BD1385588"/>
    <s v="8905302263203_Bla_L"/>
    <x v="43"/>
    <s v="L"/>
    <n v="6999"/>
    <n v="6999"/>
    <n v="1"/>
    <n v="6999"/>
    <n v="1049.8499999999999"/>
    <n v="0"/>
    <n v="5949.15"/>
    <n v="6999"/>
    <x v="31"/>
  </r>
  <r>
    <x v="1"/>
    <x v="56"/>
    <s v="F5AC20533A3E"/>
    <s v="Clothing"/>
    <s v="Men"/>
    <s v="Topwear"/>
    <x v="0"/>
    <x v="4"/>
    <n v="8905202264606"/>
    <s v="BD1358771"/>
    <n v="8905202264606"/>
    <x v="22"/>
    <s v="L"/>
    <n v="3495"/>
    <n v="3495"/>
    <n v="1"/>
    <n v="3495"/>
    <n v="524.25"/>
    <n v="0"/>
    <n v="2970.75"/>
    <n v="3495"/>
    <x v="23"/>
  </r>
  <r>
    <x v="0"/>
    <x v="57"/>
    <s v="339AA44E3EF4"/>
    <s v="Clothing"/>
    <s v="Men"/>
    <s v="Topwear"/>
    <x v="0"/>
    <x v="4"/>
    <n v="8905202264835"/>
    <s v="BD1358791"/>
    <s v="8905202264835_Bla_S"/>
    <x v="37"/>
    <s v="S"/>
    <n v="3995"/>
    <n v="3995"/>
    <n v="1"/>
    <n v="3995"/>
    <n v="1198.5"/>
    <n v="0"/>
    <n v="2796.5"/>
    <n v="3995"/>
    <x v="18"/>
  </r>
  <r>
    <x v="0"/>
    <x v="57"/>
    <s v="339AA44E3EF4"/>
    <s v="Clothing"/>
    <s v="Men"/>
    <s v="Topwear"/>
    <x v="0"/>
    <x v="4"/>
    <n v="8905202269441"/>
    <s v="BD1358755"/>
    <s v="8905202269441_Red_S"/>
    <x v="70"/>
    <s v="S"/>
    <n v="3995"/>
    <n v="3995"/>
    <n v="1"/>
    <n v="3995"/>
    <n v="1198.5"/>
    <n v="0"/>
    <n v="2796.5"/>
    <n v="3995"/>
    <x v="0"/>
  </r>
  <r>
    <x v="1"/>
    <x v="58"/>
    <s v="BC663B7C366F"/>
    <s v="Clothing"/>
    <s v="Men"/>
    <s v="Bottomwear"/>
    <x v="3"/>
    <x v="4"/>
    <n v="8905302263197"/>
    <s v="BD1385595"/>
    <s v="8905302263197_Bla_M"/>
    <x v="71"/>
    <s v="M"/>
    <n v="6999"/>
    <n v="6999"/>
    <n v="1"/>
    <n v="6999"/>
    <n v="1049.8499999999999"/>
    <n v="0"/>
    <n v="5949.15"/>
    <n v="6999"/>
    <x v="36"/>
  </r>
  <r>
    <x v="0"/>
    <x v="59"/>
    <s v="D7FA3ECC03ED"/>
    <s v="Clothing"/>
    <s v="Men"/>
    <s v="Topwear"/>
    <x v="0"/>
    <x v="4"/>
    <n v="8905202264859"/>
    <s v="BD1358801"/>
    <s v="8905202264859_Bla_XXL"/>
    <x v="44"/>
    <s v="XXL"/>
    <n v="3995"/>
    <n v="3995"/>
    <n v="1"/>
    <n v="3995"/>
    <n v="599.25"/>
    <n v="0"/>
    <n v="3395.75"/>
    <n v="3995"/>
    <x v="18"/>
  </r>
  <r>
    <x v="0"/>
    <x v="60"/>
    <s v="6F3C871B60B3"/>
    <s v="Clothing"/>
    <s v="Men"/>
    <s v="Topwear"/>
    <x v="0"/>
    <x v="4"/>
    <n v="8905202264637"/>
    <s v="BD1358772"/>
    <n v="8905202264637"/>
    <x v="10"/>
    <s v="XL"/>
    <n v="3495"/>
    <n v="3495"/>
    <n v="1"/>
    <n v="3495"/>
    <n v="524.25"/>
    <n v="0"/>
    <n v="2970.75"/>
    <n v="3495"/>
    <x v="23"/>
  </r>
  <r>
    <x v="0"/>
    <x v="61"/>
    <s v="13B37559ECB9"/>
    <s v="Clothing"/>
    <s v="Men"/>
    <s v="Topwear"/>
    <x v="0"/>
    <x v="4"/>
    <n v="8905202269434"/>
    <s v="BD1358756"/>
    <s v="8905202269434_Red_M"/>
    <x v="17"/>
    <s v="M"/>
    <n v="3995"/>
    <n v="3995"/>
    <n v="1"/>
    <n v="3995"/>
    <n v="599.25"/>
    <n v="0"/>
    <n v="3395.75"/>
    <n v="3995"/>
    <x v="0"/>
  </r>
  <r>
    <x v="2"/>
    <x v="61"/>
    <s v="8FA8BB27CC01"/>
    <s v="Clothing"/>
    <s v="Men"/>
    <s v="Topwear"/>
    <x v="0"/>
    <x v="4"/>
    <n v="8905202264873"/>
    <s v="BD1358793"/>
    <s v="8905202264873_Bla_L"/>
    <x v="22"/>
    <s v="L"/>
    <n v="3995"/>
    <n v="3995"/>
    <n v="1"/>
    <n v="3995"/>
    <n v="0"/>
    <n v="0"/>
    <n v="3995"/>
    <n v="3995"/>
    <x v="18"/>
  </r>
  <r>
    <x v="0"/>
    <x v="62"/>
    <s v="2220A205DB16"/>
    <s v="Clothing"/>
    <s v="Men"/>
    <s v="Topwear"/>
    <x v="0"/>
    <x v="4"/>
    <n v="8905302263247"/>
    <s v="BD1386697"/>
    <s v="8905302263247_Blu_XXL"/>
    <x v="72"/>
    <s v="XXL"/>
    <n v="4495"/>
    <n v="4495"/>
    <n v="1"/>
    <n v="4495"/>
    <n v="674.25"/>
    <n v="0"/>
    <n v="3820.75"/>
    <n v="4495"/>
    <x v="24"/>
  </r>
  <r>
    <x v="0"/>
    <x v="62"/>
    <s v="587D9E402C90"/>
    <s v="Clothing"/>
    <s v="Men"/>
    <s v="Bottomwear"/>
    <x v="3"/>
    <x v="4"/>
    <n v="8905302263200"/>
    <s v="BD1385597"/>
    <s v="8905302263200_Bla_XL"/>
    <x v="73"/>
    <s v="XL"/>
    <n v="6999"/>
    <n v="6999"/>
    <n v="1"/>
    <n v="6999"/>
    <n v="2099.6999999999998"/>
    <n v="0"/>
    <n v="4899.3"/>
    <n v="6999"/>
    <x v="36"/>
  </r>
  <r>
    <x v="0"/>
    <x v="62"/>
    <s v="587D9E402C90"/>
    <s v="Clothing"/>
    <s v="Men"/>
    <s v="Bottomwear"/>
    <x v="3"/>
    <x v="4"/>
    <n v="8905302263206"/>
    <s v="BD1385605"/>
    <s v="8905302263206_Bla_XXL"/>
    <x v="74"/>
    <s v="XXL"/>
    <n v="6999"/>
    <n v="6999"/>
    <n v="1"/>
    <n v="6999"/>
    <n v="2099.6999999999998"/>
    <n v="0"/>
    <n v="4899.3"/>
    <n v="6999"/>
    <x v="31"/>
  </r>
  <r>
    <x v="0"/>
    <x v="62"/>
    <s v="B57E1D7CB32E"/>
    <s v="Clothing"/>
    <s v="Men"/>
    <s v="Topwear"/>
    <x v="2"/>
    <x v="4"/>
    <n v="8905302263253"/>
    <s v="BD1392646"/>
    <s v="8905302263253_Gre_S"/>
    <x v="75"/>
    <s v="S"/>
    <n v="4999"/>
    <n v="4999"/>
    <n v="1"/>
    <n v="4999"/>
    <n v="749.85"/>
    <n v="0"/>
    <n v="4249.1499999999996"/>
    <n v="4999"/>
    <x v="40"/>
  </r>
  <r>
    <x v="0"/>
    <x v="63"/>
    <s v="3B0811708787"/>
    <s v="Clothing"/>
    <s v="Men"/>
    <s v="Topwear"/>
    <x v="0"/>
    <x v="4"/>
    <n v="8905202264842"/>
    <s v="BD1358792"/>
    <s v="8905202264842_Bla_M"/>
    <x v="13"/>
    <s v="M"/>
    <n v="3995"/>
    <n v="3995"/>
    <n v="1"/>
    <n v="3995"/>
    <n v="599.25"/>
    <n v="0"/>
    <n v="3395.75"/>
    <n v="3995"/>
    <x v="18"/>
  </r>
  <r>
    <x v="0"/>
    <x v="63"/>
    <s v="B2D846DB7F1D"/>
    <s v="Clothing"/>
    <s v="Men"/>
    <s v="Topwear"/>
    <x v="0"/>
    <x v="4"/>
    <n v="8905202264880"/>
    <s v="BD1358802"/>
    <n v="8905202264880"/>
    <x v="53"/>
    <s v="S"/>
    <n v="2995"/>
    <n v="2995"/>
    <n v="1"/>
    <n v="2995"/>
    <n v="449.25"/>
    <n v="0"/>
    <n v="2545.75"/>
    <n v="2995"/>
    <x v="5"/>
  </r>
  <r>
    <x v="1"/>
    <x v="64"/>
    <s v="A4F710C70A54"/>
    <s v="Clothing"/>
    <s v="Men"/>
    <s v="Bottomwear"/>
    <x v="3"/>
    <x v="4"/>
    <n v="8905302263314"/>
    <s v="BD1394039"/>
    <s v="8905302263314_Blu_M"/>
    <x v="76"/>
    <s v="M"/>
    <n v="6999"/>
    <n v="6999"/>
    <n v="1"/>
    <n v="6999"/>
    <n v="2099.6999999999998"/>
    <n v="0"/>
    <n v="4899.3"/>
    <n v="6999"/>
    <x v="41"/>
  </r>
  <r>
    <x v="1"/>
    <x v="64"/>
    <s v="A4F710C70A54"/>
    <s v="Clothing"/>
    <s v="Men"/>
    <s v="Bottomwear"/>
    <x v="3"/>
    <x v="4"/>
    <n v="8905302263362"/>
    <s v="BD1395078"/>
    <s v="8905302263362_Bla_M"/>
    <x v="77"/>
    <s v="M"/>
    <n v="7999"/>
    <n v="7999"/>
    <n v="1"/>
    <n v="7999"/>
    <n v="2399.6999999999998"/>
    <n v="0"/>
    <n v="5599.3"/>
    <n v="7999"/>
    <x v="42"/>
  </r>
  <r>
    <x v="1"/>
    <x v="64"/>
    <s v="22F2329AA57B"/>
    <s v="Clothing"/>
    <s v="Men"/>
    <s v="Topwear"/>
    <x v="2"/>
    <x v="4"/>
    <n v="8905302263237"/>
    <s v="BD1385626"/>
    <s v="8905302263237_Cha_M"/>
    <x v="78"/>
    <s v="M"/>
    <n v="5999"/>
    <n v="5999"/>
    <n v="1"/>
    <n v="5999"/>
    <n v="899.85"/>
    <n v="0"/>
    <n v="5099.1499999999996"/>
    <n v="5999"/>
    <x v="25"/>
  </r>
  <r>
    <x v="1"/>
    <x v="64"/>
    <s v="3E928A136E02"/>
    <s v="Clothing"/>
    <s v="Men"/>
    <s v="Topwear"/>
    <x v="2"/>
    <x v="4"/>
    <n v="8905302263345"/>
    <s v="BD1395039"/>
    <s v="8905302263345_Whi_M"/>
    <x v="79"/>
    <s v="M"/>
    <n v="5999"/>
    <n v="5999"/>
    <n v="1"/>
    <n v="5999"/>
    <n v="1799.7"/>
    <n v="0"/>
    <n v="4199.3"/>
    <n v="5999"/>
    <x v="43"/>
  </r>
  <r>
    <x v="1"/>
    <x v="64"/>
    <s v="3E928A136E02"/>
    <s v="Clothing"/>
    <s v="Men"/>
    <s v="Topwear"/>
    <x v="0"/>
    <x v="4"/>
    <n v="8905202264743"/>
    <s v="BD1358787"/>
    <s v="8905202264743_Whi_M"/>
    <x v="5"/>
    <s v="M"/>
    <n v="2495"/>
    <n v="2495"/>
    <n v="1"/>
    <n v="2495"/>
    <n v="748.5"/>
    <n v="0"/>
    <n v="1746.5"/>
    <n v="2495"/>
    <x v="16"/>
  </r>
  <r>
    <x v="1"/>
    <x v="65"/>
    <s v="19781C918D09"/>
    <s v="Clothing"/>
    <s v="Men"/>
    <s v="Topwear"/>
    <x v="2"/>
    <x v="4"/>
    <n v="8905302263224"/>
    <s v="BD1385608"/>
    <s v="8905302263224_Gre_M"/>
    <x v="25"/>
    <s v="M"/>
    <n v="5999"/>
    <n v="5999"/>
    <n v="1"/>
    <n v="5999"/>
    <n v="899.85"/>
    <n v="0"/>
    <n v="5099.1499999999996"/>
    <n v="5999"/>
    <x v="19"/>
  </r>
  <r>
    <x v="1"/>
    <x v="65"/>
    <s v="1B780BD32749"/>
    <s v="Clothing"/>
    <s v="Men"/>
    <s v="Topwear"/>
    <x v="2"/>
    <x v="4"/>
    <n v="8905302263238"/>
    <s v="BD1385627"/>
    <s v="8905302263238_Cha_L"/>
    <x v="80"/>
    <s v="L"/>
    <n v="5999"/>
    <n v="5999"/>
    <n v="1"/>
    <n v="5999"/>
    <n v="1799.7"/>
    <n v="0"/>
    <n v="4199.3"/>
    <n v="5999"/>
    <x v="25"/>
  </r>
  <r>
    <x v="1"/>
    <x v="65"/>
    <s v="1B780BD32749"/>
    <s v="Clothing"/>
    <s v="Men"/>
    <s v="Topwear"/>
    <x v="0"/>
    <x v="4"/>
    <n v="8905202269274"/>
    <s v="BD1358773"/>
    <s v="8905202269274_Bla_L"/>
    <x v="22"/>
    <s v="L"/>
    <n v="3495"/>
    <n v="3495"/>
    <n v="1"/>
    <n v="3495"/>
    <n v="1048.5"/>
    <n v="0"/>
    <n v="2446.5"/>
    <n v="3495"/>
    <x v="32"/>
  </r>
  <r>
    <x v="0"/>
    <x v="65"/>
    <s v="2DB60CB65F6A"/>
    <s v="Clothing"/>
    <s v="Men"/>
    <s v="Topwear"/>
    <x v="0"/>
    <x v="4"/>
    <n v="8905202264897"/>
    <s v="BD1358803"/>
    <n v="8905202264897"/>
    <x v="5"/>
    <s v="M"/>
    <n v="2995"/>
    <n v="2995"/>
    <n v="1"/>
    <n v="2995"/>
    <n v="449.25"/>
    <n v="0"/>
    <n v="2545.75"/>
    <n v="2995"/>
    <x v="5"/>
  </r>
  <r>
    <x v="1"/>
    <x v="66"/>
    <s v="A624508A7063"/>
    <s v="Clothing"/>
    <s v="Women"/>
    <s v="Topwear"/>
    <x v="0"/>
    <x v="4"/>
    <n v="8905202269229"/>
    <s v="BD1358891"/>
    <n v="8905202269229"/>
    <x v="81"/>
    <s v="S"/>
    <n v="1995"/>
    <n v="1995"/>
    <n v="1"/>
    <n v="1995"/>
    <n v="299.25"/>
    <n v="0"/>
    <n v="1695.75"/>
    <n v="1995"/>
    <x v="17"/>
  </r>
  <r>
    <x v="0"/>
    <x v="67"/>
    <s v="13B37559ECB9"/>
    <s v="Clothing"/>
    <s v="Men"/>
    <s v="Topwear"/>
    <x v="0"/>
    <x v="4"/>
    <n v="8905202269434"/>
    <s v="BD1358756"/>
    <s v="8905202269434_Red_M"/>
    <x v="17"/>
    <s v="M"/>
    <n v="3995"/>
    <n v="3995"/>
    <n v="-1"/>
    <n v="-3995"/>
    <n v="-599.25"/>
    <n v="0"/>
    <n v="-3395.75"/>
    <n v="-3995"/>
    <x v="0"/>
  </r>
  <r>
    <x v="0"/>
    <x v="52"/>
    <s v="094E5C574000"/>
    <s v="Clothing"/>
    <s v="Men"/>
    <s v="Bottomwear"/>
    <x v="5"/>
    <x v="4"/>
    <n v="8905202268710"/>
    <s v="BD1358873"/>
    <n v="8905202268710"/>
    <x v="66"/>
    <s v="XL"/>
    <n v="3995"/>
    <n v="3995"/>
    <n v="-1"/>
    <n v="-3995"/>
    <n v="-599.25"/>
    <n v="0"/>
    <n v="-3395.75"/>
    <n v="-3995"/>
    <x v="39"/>
  </r>
  <r>
    <x v="0"/>
    <x v="68"/>
    <s v="3B0811708787"/>
    <s v="Clothing"/>
    <s v="Men"/>
    <s v="Topwear"/>
    <x v="0"/>
    <x v="5"/>
    <n v="8905202264842"/>
    <s v="BD1358792"/>
    <s v="8905202264842_Bla_M"/>
    <x v="13"/>
    <s v="M"/>
    <n v="3995"/>
    <n v="3995"/>
    <n v="-1"/>
    <n v="-3995"/>
    <n v="-599.25"/>
    <n v="0"/>
    <n v="-3395.75"/>
    <n v="-3995"/>
    <x v="18"/>
  </r>
  <r>
    <x v="1"/>
    <x v="69"/>
    <s v="4E9E8371BBCF"/>
    <s v="Clothing"/>
    <s v="Men"/>
    <s v="Topwear"/>
    <x v="0"/>
    <x v="5"/>
    <n v="8905202264866"/>
    <s v="BD1358794"/>
    <s v="8905202264866_Bla_XL"/>
    <x v="10"/>
    <s v="XL"/>
    <n v="3995"/>
    <n v="3995"/>
    <n v="1"/>
    <n v="3995"/>
    <n v="0"/>
    <n v="0"/>
    <n v="3995"/>
    <n v="3995"/>
    <x v="18"/>
  </r>
  <r>
    <x v="1"/>
    <x v="69"/>
    <s v="8E5708CB080C"/>
    <s v="Clothing"/>
    <s v="Men"/>
    <s v="Topwear"/>
    <x v="0"/>
    <x v="5"/>
    <n v="8905202264965"/>
    <s v="BD1358812"/>
    <n v="8905202264965"/>
    <x v="11"/>
    <s v="XL"/>
    <n v="2495"/>
    <n v="2495"/>
    <n v="1"/>
    <n v="2495"/>
    <n v="0"/>
    <n v="0"/>
    <n v="2495"/>
    <n v="2495"/>
    <x v="13"/>
  </r>
  <r>
    <x v="1"/>
    <x v="69"/>
    <s v="C7CA910D83EB"/>
    <s v="Clothing"/>
    <s v="Men"/>
    <s v="Topwear"/>
    <x v="0"/>
    <x v="5"/>
    <n v="8905202269434"/>
    <s v="BD1358756"/>
    <s v="8905202269434_Red_M"/>
    <x v="17"/>
    <s v="M"/>
    <n v="3995"/>
    <n v="3995"/>
    <n v="2"/>
    <n v="7990"/>
    <n v="0"/>
    <n v="0"/>
    <n v="7990"/>
    <n v="7990"/>
    <x v="0"/>
  </r>
  <r>
    <x v="1"/>
    <x v="69"/>
    <s v="77F739378A48"/>
    <s v="Clothing"/>
    <s v="Women"/>
    <s v="Topwear"/>
    <x v="0"/>
    <x v="5"/>
    <n v="8905202268901"/>
    <s v="BD1358885"/>
    <n v="8905202268901"/>
    <x v="20"/>
    <s v="M"/>
    <n v="1995"/>
    <n v="1995"/>
    <n v="1"/>
    <n v="1995"/>
    <n v="0"/>
    <n v="0"/>
    <n v="1995"/>
    <n v="1995"/>
    <x v="7"/>
  </r>
  <r>
    <x v="1"/>
    <x v="69"/>
    <s v="6B7982E945B6"/>
    <s v="Clothing"/>
    <s v="Men"/>
    <s v="Topwear"/>
    <x v="0"/>
    <x v="5"/>
    <n v="8905202264705"/>
    <s v="BD1358784"/>
    <s v="8905202264705_Whi_Onesize"/>
    <x v="57"/>
    <s v="Onesize"/>
    <n v="3495"/>
    <n v="3495"/>
    <n v="1"/>
    <n v="3495"/>
    <n v="0"/>
    <n v="0"/>
    <n v="3495"/>
    <n v="3495"/>
    <x v="35"/>
  </r>
  <r>
    <x v="0"/>
    <x v="69"/>
    <s v="224E55A31C8F"/>
    <s v="Clothing"/>
    <s v="Men"/>
    <s v="Topwear"/>
    <x v="2"/>
    <x v="5"/>
    <n v="8905302263254"/>
    <s v="BD1392644"/>
    <s v="8905302263254_Gre_M"/>
    <x v="82"/>
    <s v="M"/>
    <n v="4999"/>
    <n v="4999"/>
    <n v="1"/>
    <n v="4999"/>
    <n v="0"/>
    <n v="0"/>
    <n v="4999"/>
    <n v="4999"/>
    <x v="40"/>
  </r>
  <r>
    <x v="0"/>
    <x v="69"/>
    <s v="25F7B65E9A61"/>
    <s v="Clothing"/>
    <s v="Men"/>
    <s v="Bottomwear"/>
    <x v="3"/>
    <x v="5"/>
    <n v="8905302263192"/>
    <s v="BD1385594"/>
    <s v="8905302263192_Blu_XL"/>
    <x v="65"/>
    <s v="XL"/>
    <n v="7999"/>
    <n v="7999"/>
    <n v="1"/>
    <n v="7999"/>
    <n v="0"/>
    <n v="0"/>
    <n v="7999"/>
    <n v="7999"/>
    <x v="28"/>
  </r>
  <r>
    <x v="0"/>
    <x v="70"/>
    <s v="48ACDDD8967B"/>
    <s v="Clothing"/>
    <s v="Men"/>
    <s v="Topwear"/>
    <x v="2"/>
    <x v="5"/>
    <n v="8905302263259"/>
    <s v="BD1393984"/>
    <s v="8905302263259_Blu_S"/>
    <x v="83"/>
    <s v="S"/>
    <n v="5999"/>
    <n v="5999"/>
    <n v="1"/>
    <n v="5999"/>
    <n v="899.85"/>
    <n v="0"/>
    <n v="5099.1499999999996"/>
    <n v="5999"/>
    <x v="44"/>
  </r>
  <r>
    <x v="2"/>
    <x v="70"/>
    <s v="A28EF3C39D54"/>
    <s v="Clothing"/>
    <s v="Men"/>
    <s v="Topwear"/>
    <x v="0"/>
    <x v="5"/>
    <n v="8905202264712"/>
    <s v="BD1358783"/>
    <s v="8905202264712_Bla_Onesize"/>
    <x v="9"/>
    <s v="Onesize"/>
    <n v="3495"/>
    <n v="3495"/>
    <n v="1"/>
    <n v="3495"/>
    <n v="524.25"/>
    <n v="0"/>
    <n v="2970.75"/>
    <n v="3495"/>
    <x v="45"/>
  </r>
  <r>
    <x v="2"/>
    <x v="70"/>
    <s v="3853CBF7C925"/>
    <s v="Clothing"/>
    <s v="Men"/>
    <s v="Topwear"/>
    <x v="0"/>
    <x v="5"/>
    <n v="8905202264781"/>
    <s v="BD1358796"/>
    <n v="8905202264781"/>
    <x v="84"/>
    <s v="S"/>
    <n v="4495"/>
    <n v="4495"/>
    <n v="1"/>
    <n v="4495"/>
    <n v="674.25"/>
    <n v="0"/>
    <n v="3820.75"/>
    <n v="4495"/>
    <x v="12"/>
  </r>
  <r>
    <x v="1"/>
    <x v="71"/>
    <s v="9159B380711C"/>
    <s v="Clothing"/>
    <s v="Men"/>
    <s v="Topwear"/>
    <x v="2"/>
    <x v="5"/>
    <n v="8905302263345"/>
    <s v="BD1395039"/>
    <s v="8905302263345_Whi_M"/>
    <x v="79"/>
    <s v="M"/>
    <n v="5999"/>
    <n v="5999"/>
    <n v="1"/>
    <n v="5999"/>
    <n v="899.85"/>
    <n v="0"/>
    <n v="5099.1499999999996"/>
    <n v="5999"/>
    <x v="43"/>
  </r>
  <r>
    <x v="0"/>
    <x v="71"/>
    <s v="DBE3D0994DA9"/>
    <s v="Clothing"/>
    <s v="Men"/>
    <s v="Topwear"/>
    <x v="2"/>
    <x v="5"/>
    <n v="8905302263258"/>
    <s v="BD1392655"/>
    <s v="8905302263258_Gre_XL"/>
    <x v="35"/>
    <s v="XL"/>
    <n v="5999"/>
    <n v="5999"/>
    <n v="1"/>
    <n v="5999"/>
    <n v="899.85"/>
    <n v="0"/>
    <n v="5099.1499999999996"/>
    <n v="5999"/>
    <x v="46"/>
  </r>
  <r>
    <x v="0"/>
    <x v="71"/>
    <s v="84C7DE197BFB"/>
    <s v="Clothing"/>
    <s v="Men"/>
    <s v="Topwear"/>
    <x v="0"/>
    <x v="5"/>
    <n v="8905202264835"/>
    <s v="BD1358791"/>
    <s v="8905202264835_Bla_S"/>
    <x v="37"/>
    <s v="S"/>
    <n v="3995"/>
    <n v="3995"/>
    <n v="1"/>
    <n v="3995"/>
    <n v="599.25"/>
    <n v="0"/>
    <n v="3395.75"/>
    <n v="3995"/>
    <x v="18"/>
  </r>
  <r>
    <x v="0"/>
    <x v="72"/>
    <s v="7CD8135D29ED"/>
    <s v="Clothing"/>
    <s v="Men"/>
    <s v="Topwear"/>
    <x v="0"/>
    <x v="5"/>
    <n v="8905202269465"/>
    <s v="BD1358750"/>
    <s v="8905202269465_Red_XXL"/>
    <x v="85"/>
    <s v="XXL"/>
    <n v="3995"/>
    <n v="3995"/>
    <n v="1"/>
    <n v="3995"/>
    <n v="599.25"/>
    <n v="0"/>
    <n v="3395.75"/>
    <n v="3995"/>
    <x v="0"/>
  </r>
  <r>
    <x v="1"/>
    <x v="73"/>
    <s v="7CBEE9EF72EC"/>
    <s v="Clothing"/>
    <s v="Men"/>
    <s v="Topwear"/>
    <x v="0"/>
    <x v="5"/>
    <n v="8905202265030"/>
    <s v="BD1358799"/>
    <s v="8905202265030_Blu_S"/>
    <x v="86"/>
    <s v="S"/>
    <n v="2995"/>
    <n v="2995"/>
    <n v="1"/>
    <n v="2995"/>
    <n v="898.5"/>
    <n v="0"/>
    <n v="2096.5"/>
    <n v="2995"/>
    <x v="15"/>
  </r>
  <r>
    <x v="1"/>
    <x v="73"/>
    <s v="7CBEE9EF72EC"/>
    <s v="Clothing"/>
    <s v="Men"/>
    <s v="Topwear"/>
    <x v="0"/>
    <x v="5"/>
    <n v="8905202269083"/>
    <s v="BD1358743"/>
    <s v="8905202269083_Whi_M"/>
    <x v="5"/>
    <s v="M"/>
    <n v="3495"/>
    <n v="3495"/>
    <n v="1"/>
    <n v="3495"/>
    <n v="1048.5"/>
    <n v="0"/>
    <n v="2446.5"/>
    <n v="3495"/>
    <x v="8"/>
  </r>
  <r>
    <x v="1"/>
    <x v="73"/>
    <s v="7CBEE9EF72EC"/>
    <s v="Clothing"/>
    <s v="Men"/>
    <s v="Topwear"/>
    <x v="0"/>
    <x v="5"/>
    <n v="8905202269441"/>
    <s v="BD1358755"/>
    <s v="8905202269441_Red_S"/>
    <x v="70"/>
    <s v="S"/>
    <n v="3995"/>
    <n v="3995"/>
    <n v="1"/>
    <n v="3995"/>
    <n v="1198.5"/>
    <n v="0"/>
    <n v="2796.5"/>
    <n v="3995"/>
    <x v="0"/>
  </r>
  <r>
    <x v="0"/>
    <x v="73"/>
    <s v="13B1C4DE1C64"/>
    <s v="Clothing"/>
    <s v="Men"/>
    <s v="Bottomwear"/>
    <x v="3"/>
    <x v="5"/>
    <n v="8905302263320"/>
    <s v="BD1394041"/>
    <s v="8905302263320_Bla_XL"/>
    <x v="87"/>
    <s v="XL"/>
    <n v="6999"/>
    <n v="6999"/>
    <n v="1"/>
    <n v="6999"/>
    <n v="1049.8499999999999"/>
    <n v="0"/>
    <n v="5949.15"/>
    <n v="6999"/>
    <x v="47"/>
  </r>
  <r>
    <x v="0"/>
    <x v="73"/>
    <s v="71BD99468FE0"/>
    <s v="Clothing"/>
    <s v="Men"/>
    <s v="Bottomwear"/>
    <x v="3"/>
    <x v="5"/>
    <n v="8905302263203"/>
    <s v="BD1385588"/>
    <s v="8905302263203_Bla_L"/>
    <x v="43"/>
    <s v="L"/>
    <n v="6999"/>
    <n v="6999"/>
    <n v="1"/>
    <n v="6999"/>
    <n v="1049.8499999999999"/>
    <n v="0"/>
    <n v="5949.15"/>
    <n v="6999"/>
    <x v="31"/>
  </r>
  <r>
    <x v="2"/>
    <x v="73"/>
    <s v="888DA9C17761"/>
    <s v="Clothing"/>
    <s v="Men"/>
    <s v="Topwear"/>
    <x v="0"/>
    <x v="5"/>
    <n v="8905202264835"/>
    <s v="BD1358791"/>
    <s v="8905202264835_Bla_S"/>
    <x v="37"/>
    <s v="S"/>
    <n v="3995"/>
    <n v="3995"/>
    <n v="1"/>
    <n v="3995"/>
    <n v="599.25"/>
    <n v="0"/>
    <n v="3395.75"/>
    <n v="3995"/>
    <x v="18"/>
  </r>
  <r>
    <x v="1"/>
    <x v="74"/>
    <s v="4F2063DD701C"/>
    <s v="Clothing"/>
    <s v="Men"/>
    <s v="Topwear"/>
    <x v="2"/>
    <x v="5"/>
    <n v="8905302263346"/>
    <s v="BD1395041"/>
    <s v="8905302263346_Whi_L"/>
    <x v="88"/>
    <s v="L"/>
    <n v="5999"/>
    <n v="5999"/>
    <n v="1"/>
    <n v="5999"/>
    <n v="899.85"/>
    <n v="0"/>
    <n v="5099.1499999999996"/>
    <n v="5999"/>
    <x v="43"/>
  </r>
  <r>
    <x v="0"/>
    <x v="74"/>
    <s v="FE42E42459AF"/>
    <s v="Clothing"/>
    <s v="Men"/>
    <s v="Topwear"/>
    <x v="0"/>
    <x v="5"/>
    <n v="8905202264866"/>
    <s v="BD1358794"/>
    <s v="8905202264866_Bla_XL"/>
    <x v="10"/>
    <s v="XL"/>
    <n v="3995"/>
    <n v="3995"/>
    <n v="1"/>
    <n v="3995"/>
    <n v="599.25"/>
    <n v="0"/>
    <n v="3395.75"/>
    <n v="3995"/>
    <x v="18"/>
  </r>
  <r>
    <x v="1"/>
    <x v="75"/>
    <s v="10413CE44FC4"/>
    <s v="Clothing"/>
    <s v="Men"/>
    <s v="Topwear"/>
    <x v="0"/>
    <x v="5"/>
    <n v="8905202264705"/>
    <s v="BD1358784"/>
    <s v="8905202264705_Whi_Onesize"/>
    <x v="57"/>
    <s v="Onesize"/>
    <n v="3495"/>
    <n v="3495"/>
    <n v="1"/>
    <n v="3495"/>
    <n v="524.25"/>
    <n v="0"/>
    <n v="2970.75"/>
    <n v="3495"/>
    <x v="35"/>
  </r>
  <r>
    <x v="0"/>
    <x v="75"/>
    <s v="F5818C22D99A"/>
    <s v="Clothing"/>
    <s v="Men"/>
    <s v="Topwear"/>
    <x v="0"/>
    <x v="5"/>
    <n v="8905302263380"/>
    <s v="BD1395104"/>
    <s v="8905302263380_Bla_L"/>
    <x v="22"/>
    <s v="L"/>
    <n v="3999"/>
    <n v="3999"/>
    <n v="1"/>
    <n v="3999"/>
    <n v="599.85"/>
    <n v="0"/>
    <n v="3399.15"/>
    <n v="3999"/>
    <x v="48"/>
  </r>
  <r>
    <x v="2"/>
    <x v="75"/>
    <s v="83AFB14CD121"/>
    <s v="Clothing"/>
    <s v="Men"/>
    <s v="Topwear"/>
    <x v="2"/>
    <x v="5"/>
    <n v="8905302263236"/>
    <s v="BD1385625"/>
    <s v="8905302263236_Cha_S"/>
    <x v="33"/>
    <s v="S"/>
    <n v="5999"/>
    <n v="5999"/>
    <n v="1"/>
    <n v="5999"/>
    <n v="899.85"/>
    <n v="0"/>
    <n v="5099.1499999999996"/>
    <n v="5999"/>
    <x v="25"/>
  </r>
  <r>
    <x v="0"/>
    <x v="76"/>
    <s v="00FBE0DA0F3A"/>
    <s v="Clothing"/>
    <s v="Men"/>
    <s v="Bottomwear"/>
    <x v="3"/>
    <x v="5"/>
    <n v="8905302263213"/>
    <s v="BD1385602"/>
    <s v="8905302263213_Blu_XXL"/>
    <x v="27"/>
    <s v="XXL"/>
    <n v="5999"/>
    <n v="5999"/>
    <n v="1"/>
    <n v="5999"/>
    <n v="1799.7"/>
    <n v="0"/>
    <n v="4199.3"/>
    <n v="5999"/>
    <x v="21"/>
  </r>
  <r>
    <x v="0"/>
    <x v="76"/>
    <s v="00FBE0DA0F3A"/>
    <s v="Clothing"/>
    <s v="Men"/>
    <s v="Topwear"/>
    <x v="0"/>
    <x v="5"/>
    <n v="8905202264729"/>
    <s v="BD1358785"/>
    <n v="8905202264729"/>
    <x v="9"/>
    <s v="Onesize"/>
    <n v="2995"/>
    <n v="2995"/>
    <n v="1"/>
    <n v="2995"/>
    <n v="898.5"/>
    <n v="0"/>
    <n v="2096.5"/>
    <n v="2995"/>
    <x v="9"/>
  </r>
  <r>
    <x v="0"/>
    <x v="76"/>
    <s v="73CF1EE70059"/>
    <s v="Clothing"/>
    <s v="Men"/>
    <s v="Topwear"/>
    <x v="2"/>
    <x v="5"/>
    <n v="8905302263328"/>
    <s v="BD1395003"/>
    <s v="8905302263328_Ora_S"/>
    <x v="89"/>
    <s v="S"/>
    <n v="4999"/>
    <n v="4999"/>
    <n v="1"/>
    <n v="4999"/>
    <n v="749.85"/>
    <n v="0"/>
    <n v="4249.1499999999996"/>
    <n v="4999"/>
    <x v="49"/>
  </r>
  <r>
    <x v="0"/>
    <x v="76"/>
    <s v="627963132FF0"/>
    <s v="Clothing"/>
    <s v="Men"/>
    <s v="Topwear"/>
    <x v="0"/>
    <x v="5"/>
    <n v="8905202264958"/>
    <s v="BD1358813"/>
    <n v="8905202264958"/>
    <x v="54"/>
    <s v="XXL"/>
    <n v="2495"/>
    <n v="2495"/>
    <n v="1"/>
    <n v="2495"/>
    <n v="374.25"/>
    <n v="0"/>
    <n v="2120.75"/>
    <n v="2495"/>
    <x v="13"/>
  </r>
  <r>
    <x v="0"/>
    <x v="76"/>
    <s v="319C16805314"/>
    <s v="Clothing"/>
    <s v="Men"/>
    <s v="Bottomwear"/>
    <x v="3"/>
    <x v="5"/>
    <n v="8905302263320"/>
    <s v="BD1394041"/>
    <s v="8905302263320_Bla_XL"/>
    <x v="87"/>
    <s v="XL"/>
    <n v="6999"/>
    <n v="6999"/>
    <n v="1"/>
    <n v="6999"/>
    <n v="1049.8499999999999"/>
    <n v="0"/>
    <n v="5949.15"/>
    <n v="6999"/>
    <x v="47"/>
  </r>
  <r>
    <x v="0"/>
    <x v="76"/>
    <s v="792889BD8875"/>
    <s v="Clothing"/>
    <s v="Men"/>
    <s v="Topwear"/>
    <x v="2"/>
    <x v="5"/>
    <n v="8905302263330"/>
    <s v="BD1395008"/>
    <s v="8905302263330_Ora_L"/>
    <x v="90"/>
    <s v="L"/>
    <n v="4999"/>
    <n v="4999"/>
    <n v="1"/>
    <n v="4999"/>
    <n v="749.85"/>
    <n v="0"/>
    <n v="4249.1499999999996"/>
    <n v="4999"/>
    <x v="49"/>
  </r>
  <r>
    <x v="1"/>
    <x v="77"/>
    <s v="83AFB14CD121"/>
    <s v="Clothing"/>
    <s v="Men"/>
    <s v="Topwear"/>
    <x v="2"/>
    <x v="5"/>
    <n v="8905302263344"/>
    <s v="BD1395037"/>
    <s v="8905302263344_Whi_S"/>
    <x v="91"/>
    <s v="S"/>
    <n v="5999"/>
    <n v="5999"/>
    <n v="1"/>
    <n v="5999"/>
    <n v="1799.7"/>
    <n v="0"/>
    <n v="4199.3"/>
    <n v="5999"/>
    <x v="43"/>
  </r>
  <r>
    <x v="1"/>
    <x v="77"/>
    <s v="83AFB14CD121"/>
    <s v="Clothing"/>
    <s v="Men"/>
    <s v="Topwear"/>
    <x v="0"/>
    <x v="5"/>
    <n v="8905302263379"/>
    <s v="BD1395101"/>
    <s v="8905302263379_Bla_M"/>
    <x v="13"/>
    <s v="M"/>
    <n v="3999"/>
    <n v="3999"/>
    <n v="1"/>
    <n v="3999"/>
    <n v="1199.7"/>
    <n v="0"/>
    <n v="2799.3"/>
    <n v="3999"/>
    <x v="48"/>
  </r>
  <r>
    <x v="1"/>
    <x v="78"/>
    <s v="F4155B1B52AA"/>
    <s v="Clothing"/>
    <s v="Men"/>
    <s v="Bottomwear"/>
    <x v="3"/>
    <x v="5"/>
    <n v="8905302263316"/>
    <s v="BD1394032"/>
    <s v="8905302263316_Blu_XL"/>
    <x v="92"/>
    <s v="XL"/>
    <n v="6999"/>
    <n v="6999"/>
    <n v="1"/>
    <n v="6999"/>
    <n v="2099.6999999999998"/>
    <n v="0"/>
    <n v="4899.3"/>
    <n v="6999"/>
    <x v="41"/>
  </r>
  <r>
    <x v="1"/>
    <x v="78"/>
    <s v="F4155B1B52AA"/>
    <s v="Clothing"/>
    <s v="Men"/>
    <s v="Bottomwear"/>
    <x v="3"/>
    <x v="5"/>
    <n v="8905302263360"/>
    <s v="BD1395082"/>
    <s v="8905302263360_Blu_XL"/>
    <x v="92"/>
    <s v="XL"/>
    <n v="7999"/>
    <n v="7999"/>
    <n v="1"/>
    <n v="7999"/>
    <n v="2399.6999999999998"/>
    <n v="0"/>
    <n v="5599.3"/>
    <n v="7999"/>
    <x v="50"/>
  </r>
  <r>
    <x v="1"/>
    <x v="78"/>
    <s v="F4155B1B52AA"/>
    <s v="Clothing"/>
    <s v="Men"/>
    <s v="Topwear"/>
    <x v="2"/>
    <x v="5"/>
    <n v="8905302263286"/>
    <s v="BD1394009"/>
    <s v="8905302263286_Red_L"/>
    <x v="93"/>
    <s v="L"/>
    <n v="5999"/>
    <n v="5999"/>
    <n v="1"/>
    <n v="5999"/>
    <n v="1799.7"/>
    <n v="0"/>
    <n v="4199.3"/>
    <n v="5999"/>
    <x v="51"/>
  </r>
  <r>
    <x v="0"/>
    <x v="78"/>
    <s v="5A540F5A9034"/>
    <s v="Clothing"/>
    <s v="Men"/>
    <s v="Topwear"/>
    <x v="2"/>
    <x v="5"/>
    <n v="8905302263256"/>
    <s v="BD1392653"/>
    <s v="8905302263256_Gre_M"/>
    <x v="25"/>
    <s v="M"/>
    <n v="5999"/>
    <n v="5999"/>
    <n v="1"/>
    <n v="5999"/>
    <n v="899.85"/>
    <n v="0"/>
    <n v="5099.1499999999996"/>
    <n v="5999"/>
    <x v="46"/>
  </r>
  <r>
    <x v="1"/>
    <x v="79"/>
    <s v="9F76A8E9534E"/>
    <s v="Clothing"/>
    <s v="Men"/>
    <s v="Topwear"/>
    <x v="2"/>
    <x v="5"/>
    <n v="8905302263285"/>
    <s v="BD1394008"/>
    <s v="8905302263285_Red_M"/>
    <x v="94"/>
    <s v="M"/>
    <n v="5999"/>
    <n v="5999"/>
    <n v="1"/>
    <n v="5999"/>
    <n v="899.85"/>
    <n v="0"/>
    <n v="5099.1499999999996"/>
    <n v="5999"/>
    <x v="51"/>
  </r>
  <r>
    <x v="0"/>
    <x v="79"/>
    <s v="CC516B4FFB35"/>
    <s v="Clothing"/>
    <s v="Men"/>
    <s v="Topwear"/>
    <x v="2"/>
    <x v="5"/>
    <n v="8905302263257"/>
    <s v="BD1392654"/>
    <s v="8905302263257_Gre_L"/>
    <x v="24"/>
    <s v="L"/>
    <n v="5999"/>
    <n v="5999"/>
    <n v="1"/>
    <n v="5999"/>
    <n v="899.85"/>
    <n v="0"/>
    <n v="5099.1499999999996"/>
    <n v="5999"/>
    <x v="46"/>
  </r>
  <r>
    <x v="0"/>
    <x v="79"/>
    <s v="2220A205DB16"/>
    <s v="Clothing"/>
    <s v="Men"/>
    <s v="Topwear"/>
    <x v="0"/>
    <x v="5"/>
    <n v="8905302263398"/>
    <s v="BD1402124"/>
    <s v="8905302263398_Bla_XXL"/>
    <x v="95"/>
    <s v="2XL"/>
    <n v="4495"/>
    <n v="4495"/>
    <n v="1"/>
    <n v="4495"/>
    <n v="674.25"/>
    <n v="0"/>
    <n v="3820.75"/>
    <n v="4495"/>
    <x v="24"/>
  </r>
  <r>
    <x v="0"/>
    <x v="79"/>
    <s v="1F1EBF73FAC5"/>
    <s v="Clothing"/>
    <s v="Men"/>
    <s v="Topwear"/>
    <x v="0"/>
    <x v="5"/>
    <n v="8905202264873"/>
    <s v="BD1358793"/>
    <s v="8905202264873_Bla_L"/>
    <x v="22"/>
    <s v="L"/>
    <n v="3995"/>
    <n v="3995"/>
    <n v="1"/>
    <n v="3995"/>
    <n v="599.25"/>
    <n v="0"/>
    <n v="3395.75"/>
    <n v="3995"/>
    <x v="18"/>
  </r>
  <r>
    <x v="0"/>
    <x v="79"/>
    <s v="C48C73658B03"/>
    <s v="Clothing"/>
    <s v="Men"/>
    <s v="Bottomwear"/>
    <x v="3"/>
    <x v="5"/>
    <n v="8905302263183"/>
    <s v="BD1385585"/>
    <s v="8905302263183_Cha_XL"/>
    <x v="62"/>
    <s v="XL"/>
    <n v="5999"/>
    <n v="5999"/>
    <n v="1"/>
    <n v="5999"/>
    <n v="899.85"/>
    <n v="0"/>
    <n v="5099.1499999999996"/>
    <n v="5999"/>
    <x v="29"/>
  </r>
  <r>
    <x v="2"/>
    <x v="79"/>
    <s v="577689D2A6B9"/>
    <s v="Clothing"/>
    <s v="Men"/>
    <s v="Topwear"/>
    <x v="0"/>
    <x v="5"/>
    <n v="8905202264705"/>
    <s v="BD1358784"/>
    <s v="8905202264705_Whi_Onesize"/>
    <x v="57"/>
    <s v="Onesize"/>
    <n v="3495"/>
    <n v="3495"/>
    <n v="1"/>
    <n v="3495"/>
    <n v="1048.5"/>
    <n v="0"/>
    <n v="2446.5"/>
    <n v="3495"/>
    <x v="35"/>
  </r>
  <r>
    <x v="2"/>
    <x v="79"/>
    <s v="577689D2A6B9"/>
    <s v="Clothing"/>
    <s v="Men"/>
    <s v="Topwear"/>
    <x v="0"/>
    <x v="5"/>
    <n v="8905202264729"/>
    <s v="BD1358785"/>
    <n v="8905202264729"/>
    <x v="9"/>
    <s v="Onesize"/>
    <n v="2995"/>
    <n v="2995"/>
    <n v="1"/>
    <n v="2995"/>
    <n v="898.5"/>
    <n v="0"/>
    <n v="2096.5"/>
    <n v="2995"/>
    <x v="9"/>
  </r>
  <r>
    <x v="1"/>
    <x v="80"/>
    <s v="16753C5D2DDE"/>
    <s v="Clothing"/>
    <s v="Men"/>
    <s v="Bottomwear"/>
    <x v="5"/>
    <x v="5"/>
    <n v="8905202268697"/>
    <s v="BD1358870"/>
    <s v="8905202268697_Nav_XL"/>
    <x v="96"/>
    <s v="XL"/>
    <n v="3995"/>
    <n v="3995"/>
    <n v="1"/>
    <n v="3995"/>
    <n v="0"/>
    <n v="0"/>
    <n v="3995"/>
    <n v="3995"/>
    <x v="52"/>
  </r>
  <r>
    <x v="1"/>
    <x v="80"/>
    <s v="16753C5D2DDE"/>
    <s v="Clothing"/>
    <s v="Men"/>
    <s v="Bottomwear"/>
    <x v="5"/>
    <x v="5"/>
    <n v="8905202268710"/>
    <s v="BD1358873"/>
    <n v="8905202268710"/>
    <x v="66"/>
    <s v="XL"/>
    <n v="3995"/>
    <n v="3995"/>
    <n v="1"/>
    <n v="3995"/>
    <n v="0"/>
    <n v="0"/>
    <n v="3995"/>
    <n v="3995"/>
    <x v="39"/>
  </r>
  <r>
    <x v="0"/>
    <x v="80"/>
    <s v="EA53969DAE9A"/>
    <s v="Clothing"/>
    <s v="Men"/>
    <s v="Topwear"/>
    <x v="0"/>
    <x v="5"/>
    <n v="8905302263380"/>
    <s v="BD1395104"/>
    <s v="8905302263380_Bla_L"/>
    <x v="22"/>
    <s v="L"/>
    <n v="3999"/>
    <n v="3999"/>
    <n v="1"/>
    <n v="3999"/>
    <n v="0"/>
    <n v="0"/>
    <n v="3999"/>
    <n v="3999"/>
    <x v="48"/>
  </r>
  <r>
    <x v="0"/>
    <x v="80"/>
    <s v="10B1023C86B7"/>
    <s v="Clothing"/>
    <s v="Men"/>
    <s v="Topwear"/>
    <x v="0"/>
    <x v="5"/>
    <n v="8905302263378"/>
    <s v="BD1395103"/>
    <s v="8905302263378_Pin_XL"/>
    <x v="97"/>
    <s v="XL"/>
    <n v="3999"/>
    <n v="3999"/>
    <n v="1"/>
    <n v="3999"/>
    <n v="0"/>
    <n v="0"/>
    <n v="3999"/>
    <n v="3999"/>
    <x v="53"/>
  </r>
  <r>
    <x v="1"/>
    <x v="81"/>
    <s v="2E8D347CBB76"/>
    <s v="Clothing"/>
    <s v="Men"/>
    <s v="Bottomwear"/>
    <x v="3"/>
    <x v="5"/>
    <n v="8905302263362"/>
    <s v="BD1395078"/>
    <s v="8905302263362_Bla_M"/>
    <x v="77"/>
    <s v="M"/>
    <n v="7999"/>
    <n v="7999"/>
    <n v="1"/>
    <n v="7999"/>
    <n v="0"/>
    <n v="0"/>
    <n v="7999"/>
    <n v="7999"/>
    <x v="42"/>
  </r>
  <r>
    <x v="0"/>
    <x v="81"/>
    <s v="26E283D02504"/>
    <s v="Clothing"/>
    <s v="Men"/>
    <s v="Topwear"/>
    <x v="0"/>
    <x v="5"/>
    <n v="8905202264651"/>
    <s v="BD1358780"/>
    <s v="8905202264651_Bla_L"/>
    <x v="22"/>
    <s v="L"/>
    <n v="2995"/>
    <n v="2995"/>
    <n v="1"/>
    <n v="2995"/>
    <n v="1048.25"/>
    <n v="0"/>
    <n v="1946.75"/>
    <n v="2995"/>
    <x v="37"/>
  </r>
  <r>
    <x v="0"/>
    <x v="81"/>
    <s v="60ED962E6CE6"/>
    <s v="Clothing"/>
    <s v="Men"/>
    <s v="Topwear"/>
    <x v="0"/>
    <x v="5"/>
    <n v="8905202264729"/>
    <s v="BD1358785"/>
    <n v="8905202264729"/>
    <x v="9"/>
    <s v="Onesize"/>
    <n v="2995"/>
    <n v="2995"/>
    <n v="1"/>
    <n v="2995"/>
    <n v="1048.25"/>
    <n v="0"/>
    <n v="1946.75"/>
    <n v="2995"/>
    <x v="9"/>
  </r>
  <r>
    <x v="0"/>
    <x v="81"/>
    <s v="627B0DB7E56A"/>
    <s v="Clothing"/>
    <s v="Men"/>
    <s v="Topwear"/>
    <x v="0"/>
    <x v="5"/>
    <n v="8905202264668"/>
    <s v="BD1358776"/>
    <s v="8905202264668_Bla_M"/>
    <x v="13"/>
    <s v="M"/>
    <n v="2995"/>
    <n v="2995"/>
    <n v="1"/>
    <n v="2995"/>
    <n v="1048.25"/>
    <n v="0"/>
    <n v="1946.75"/>
    <n v="2995"/>
    <x v="37"/>
  </r>
  <r>
    <x v="0"/>
    <x v="81"/>
    <s v="627B0DB7E56A"/>
    <s v="Clothing"/>
    <s v="Men"/>
    <s v="Topwear"/>
    <x v="0"/>
    <x v="5"/>
    <n v="8905202269335"/>
    <s v="BD1358762"/>
    <s v="8905202269335_Blu_M"/>
    <x v="12"/>
    <s v="M"/>
    <n v="3495"/>
    <n v="3495"/>
    <n v="1"/>
    <n v="3495"/>
    <n v="1223.25"/>
    <n v="0"/>
    <n v="2271.75"/>
    <n v="3495"/>
    <x v="11"/>
  </r>
  <r>
    <x v="2"/>
    <x v="81"/>
    <s v="6C48A2C9CFD4"/>
    <s v="Clothing"/>
    <s v="Men"/>
    <s v="Topwear"/>
    <x v="0"/>
    <x v="5"/>
    <n v="8905202264927"/>
    <s v="BD1358806"/>
    <s v="8905202264927_Blu_L"/>
    <x v="18"/>
    <s v="L"/>
    <n v="2995"/>
    <n v="2995"/>
    <n v="1"/>
    <n v="2995"/>
    <n v="1048.25"/>
    <n v="0"/>
    <n v="1946.75"/>
    <n v="2995"/>
    <x v="15"/>
  </r>
  <r>
    <x v="2"/>
    <x v="81"/>
    <s v="0AA20E2004A9"/>
    <s v="Clothing"/>
    <s v="Men"/>
    <s v="Topwear"/>
    <x v="0"/>
    <x v="5"/>
    <n v="8905202264880"/>
    <s v="BD1358802"/>
    <n v="8905202264880"/>
    <x v="53"/>
    <s v="S"/>
    <n v="2995"/>
    <n v="2995"/>
    <n v="1"/>
    <n v="2995"/>
    <n v="1048.25"/>
    <n v="0"/>
    <n v="1946.75"/>
    <n v="2995"/>
    <x v="5"/>
  </r>
  <r>
    <x v="2"/>
    <x v="81"/>
    <s v="9F3FFEA51ACE"/>
    <s v="Clothing"/>
    <s v="Men"/>
    <s v="Topwear"/>
    <x v="0"/>
    <x v="5"/>
    <n v="8905202264910"/>
    <s v="BD1358807"/>
    <s v="8905202264910_Blu_XL"/>
    <x v="23"/>
    <s v="XL"/>
    <n v="2995"/>
    <n v="2995"/>
    <n v="1"/>
    <n v="2995"/>
    <n v="1048.25"/>
    <n v="0"/>
    <n v="1946.75"/>
    <n v="2995"/>
    <x v="15"/>
  </r>
  <r>
    <x v="0"/>
    <x v="82"/>
    <s v="B9C829E9A84A"/>
    <s v="Clothing"/>
    <s v="Men"/>
    <s v="Topwear"/>
    <x v="2"/>
    <x v="5"/>
    <n v="8905302263237"/>
    <s v="BD1385626"/>
    <s v="8905302263237_Cha_M"/>
    <x v="78"/>
    <s v="M"/>
    <n v="5999"/>
    <n v="5999"/>
    <n v="1"/>
    <n v="5999"/>
    <n v="0"/>
    <n v="0"/>
    <n v="5999"/>
    <n v="5999"/>
    <x v="25"/>
  </r>
  <r>
    <x v="0"/>
    <x v="82"/>
    <s v="7CA491996230"/>
    <s v="Clothing"/>
    <s v="Men"/>
    <s v="Topwear"/>
    <x v="0"/>
    <x v="5"/>
    <n v="8905202269335"/>
    <s v="BD1358762"/>
    <s v="8905202269335_Blu_M"/>
    <x v="12"/>
    <s v="M"/>
    <n v="3495"/>
    <n v="3495"/>
    <n v="1"/>
    <n v="3495"/>
    <n v="1223.25"/>
    <n v="0"/>
    <n v="2271.75"/>
    <n v="3495"/>
    <x v="11"/>
  </r>
  <r>
    <x v="0"/>
    <x v="82"/>
    <s v="49829F9A405B"/>
    <s v="Clothing"/>
    <s v="Men"/>
    <s v="Topwear"/>
    <x v="0"/>
    <x v="5"/>
    <n v="8905202264613"/>
    <s v="BD1358770"/>
    <n v="8905202264613"/>
    <x v="13"/>
    <s v="M"/>
    <n v="3495"/>
    <n v="3495"/>
    <n v="1"/>
    <n v="3495"/>
    <n v="1223.25"/>
    <n v="0"/>
    <n v="2271.75"/>
    <n v="3495"/>
    <x v="23"/>
  </r>
  <r>
    <x v="0"/>
    <x v="82"/>
    <s v="49829F9A405B"/>
    <s v="Clothing"/>
    <s v="Men"/>
    <s v="Topwear"/>
    <x v="0"/>
    <x v="5"/>
    <n v="8905202265047"/>
    <s v="BD1358808"/>
    <s v="8905202265047_Blu_M"/>
    <x v="12"/>
    <s v="M"/>
    <n v="2995"/>
    <n v="2995"/>
    <n v="1"/>
    <n v="2995"/>
    <n v="1048.25"/>
    <n v="0"/>
    <n v="1946.75"/>
    <n v="2995"/>
    <x v="15"/>
  </r>
  <r>
    <x v="0"/>
    <x v="83"/>
    <n v="3.6434033199999998E+99"/>
    <s v="Clothing"/>
    <s v="Men"/>
    <s v="Topwear"/>
    <x v="0"/>
    <x v="5"/>
    <n v="8905202264729"/>
    <s v="BD1358785"/>
    <n v="8905202264729"/>
    <x v="9"/>
    <s v="Onesize"/>
    <n v="2995"/>
    <n v="2995"/>
    <n v="1"/>
    <n v="2995"/>
    <n v="1048.25"/>
    <n v="0"/>
    <n v="1946.75"/>
    <n v="2995"/>
    <x v="9"/>
  </r>
  <r>
    <x v="0"/>
    <x v="83"/>
    <s v="FB797CC049E8"/>
    <s v="Clothing"/>
    <s v="Men"/>
    <s v="Topwear"/>
    <x v="0"/>
    <x v="5"/>
    <n v="8905202264682"/>
    <s v="BD1358779"/>
    <s v="8905202264682_Bla_XL"/>
    <x v="10"/>
    <s v="XL"/>
    <n v="2995"/>
    <n v="2995"/>
    <n v="1"/>
    <n v="2995"/>
    <n v="1048.25"/>
    <n v="0"/>
    <n v="1946.75"/>
    <n v="2995"/>
    <x v="37"/>
  </r>
  <r>
    <x v="0"/>
    <x v="83"/>
    <s v="FB797CC049E8"/>
    <s v="Clothing"/>
    <s v="Men"/>
    <s v="Topwear"/>
    <x v="0"/>
    <x v="5"/>
    <n v="8905202264897"/>
    <s v="BD1358803"/>
    <n v="8905202264897"/>
    <x v="5"/>
    <s v="M"/>
    <n v="2995"/>
    <n v="2995"/>
    <n v="1"/>
    <n v="2995"/>
    <n v="1048.25"/>
    <n v="0"/>
    <n v="1946.75"/>
    <n v="2995"/>
    <x v="5"/>
  </r>
  <r>
    <x v="1"/>
    <x v="84"/>
    <s v="4336112E87F1"/>
    <s v="Clothing"/>
    <s v="Men"/>
    <s v="Topwear"/>
    <x v="0"/>
    <x v="5"/>
    <n v="8905202264729"/>
    <s v="BD1358785"/>
    <n v="8905202264729"/>
    <x v="9"/>
    <s v="Onesize"/>
    <n v="2995"/>
    <n v="2995"/>
    <n v="1"/>
    <n v="2995"/>
    <n v="1048.25"/>
    <n v="0"/>
    <n v="1946.75"/>
    <n v="2995"/>
    <x v="9"/>
  </r>
  <r>
    <x v="0"/>
    <x v="84"/>
    <s v="A1205085C9BE"/>
    <s v="Clothing"/>
    <s v="Men"/>
    <s v="Bottomwear"/>
    <x v="3"/>
    <x v="5"/>
    <n v="8905302263360"/>
    <s v="BD1395082"/>
    <s v="8905302263360_Blu_XL"/>
    <x v="92"/>
    <s v="XL"/>
    <n v="7999"/>
    <n v="7999"/>
    <n v="1"/>
    <n v="7999"/>
    <n v="0"/>
    <n v="0"/>
    <n v="7999"/>
    <n v="7999"/>
    <x v="50"/>
  </r>
  <r>
    <x v="0"/>
    <x v="84"/>
    <s v="627C2795F77D"/>
    <s v="Clothing"/>
    <s v="Men"/>
    <s v="Topwear"/>
    <x v="0"/>
    <x v="5"/>
    <n v="8905202264699"/>
    <s v="BD1358781"/>
    <s v="8905202264699_Bla_XXL"/>
    <x v="44"/>
    <s v="XXL"/>
    <n v="2995"/>
    <n v="2995"/>
    <n v="1"/>
    <n v="2995"/>
    <n v="1048.25"/>
    <n v="0"/>
    <n v="1946.75"/>
    <n v="2995"/>
    <x v="37"/>
  </r>
  <r>
    <x v="0"/>
    <x v="84"/>
    <s v="C7427B6619FA"/>
    <s v="Clothing"/>
    <s v="Men"/>
    <s v="Topwear"/>
    <x v="2"/>
    <x v="5"/>
    <n v="8905302263310"/>
    <s v="BD1394038"/>
    <s v="8905302263310_Blu_L"/>
    <x v="98"/>
    <s v="L"/>
    <n v="4999"/>
    <n v="4999"/>
    <n v="1"/>
    <n v="4999"/>
    <n v="0"/>
    <n v="0"/>
    <n v="4999"/>
    <n v="4999"/>
    <x v="54"/>
  </r>
  <r>
    <x v="0"/>
    <x v="85"/>
    <s v="D717CE1D8963"/>
    <s v="Clothing"/>
    <s v="Men"/>
    <s v="Topwear"/>
    <x v="0"/>
    <x v="5"/>
    <n v="8905302263397"/>
    <s v="BD1402127"/>
    <s v="8905302263397_Bla_XL"/>
    <x v="99"/>
    <s v="XL"/>
    <n v="4495"/>
    <n v="4495"/>
    <n v="1"/>
    <n v="4495"/>
    <n v="0"/>
    <n v="0"/>
    <n v="4495"/>
    <n v="4495"/>
    <x v="24"/>
  </r>
  <r>
    <x v="0"/>
    <x v="85"/>
    <s v="3CB8A8163B4F"/>
    <s v="Clothing"/>
    <s v="Men"/>
    <s v="Topwear"/>
    <x v="0"/>
    <x v="5"/>
    <n v="8905202269359"/>
    <s v="BD1358760"/>
    <s v="8905202269359_Blu_XL"/>
    <x v="23"/>
    <s v="XL"/>
    <n v="3495"/>
    <n v="3495"/>
    <n v="1"/>
    <n v="3495"/>
    <n v="1223.25"/>
    <n v="0"/>
    <n v="2271.75"/>
    <n v="3495"/>
    <x v="11"/>
  </r>
  <r>
    <x v="0"/>
    <x v="85"/>
    <s v="B3943FA2E298"/>
    <s v="Clothing"/>
    <s v="Men"/>
    <s v="Topwear"/>
    <x v="0"/>
    <x v="5"/>
    <n v="8905202264675"/>
    <s v="BD1358778"/>
    <s v="8905202264675_Bla_S"/>
    <x v="37"/>
    <s v="S"/>
    <n v="2995"/>
    <n v="2995"/>
    <n v="1"/>
    <n v="2995"/>
    <n v="1048.25"/>
    <n v="0"/>
    <n v="1946.75"/>
    <n v="2995"/>
    <x v="37"/>
  </r>
  <r>
    <x v="0"/>
    <x v="85"/>
    <s v="B3943FA2E298"/>
    <s v="Clothing"/>
    <s v="Men"/>
    <s v="Topwear"/>
    <x v="0"/>
    <x v="5"/>
    <n v="8905302263395"/>
    <s v="BD1402125"/>
    <s v="8905302263395_Bla_S"/>
    <x v="100"/>
    <s v="S"/>
    <n v="4495"/>
    <n v="4495"/>
    <n v="1"/>
    <n v="4495"/>
    <n v="0"/>
    <n v="0"/>
    <n v="4495"/>
    <n v="4495"/>
    <x v="24"/>
  </r>
  <r>
    <x v="2"/>
    <x v="85"/>
    <s v="17A3C51B6134"/>
    <s v="Clothing"/>
    <s v="Men"/>
    <s v="Topwear"/>
    <x v="2"/>
    <x v="5"/>
    <n v="8905302263323"/>
    <s v="BD1394997"/>
    <s v="8905302263323_Gre_L"/>
    <x v="101"/>
    <s v="L"/>
    <n v="6999"/>
    <n v="6999"/>
    <n v="1"/>
    <n v="6999"/>
    <n v="0"/>
    <n v="0"/>
    <n v="6999"/>
    <n v="6999"/>
    <x v="55"/>
  </r>
  <r>
    <x v="0"/>
    <x v="86"/>
    <s v="3A73977A5B8B"/>
    <s v="Clothing"/>
    <s v="Men"/>
    <s v="Topwear"/>
    <x v="2"/>
    <x v="5"/>
    <n v="8905302263260"/>
    <s v="BD1393986"/>
    <s v="8905302263260_Blu_M"/>
    <x v="102"/>
    <s v="M"/>
    <n v="5999"/>
    <n v="5999"/>
    <n v="1"/>
    <n v="5999"/>
    <n v="0"/>
    <n v="0"/>
    <n v="5999"/>
    <n v="5999"/>
    <x v="44"/>
  </r>
  <r>
    <x v="0"/>
    <x v="86"/>
    <s v="264DCA40C373"/>
    <s v="Clothing"/>
    <s v="Men"/>
    <s v="Topwear"/>
    <x v="0"/>
    <x v="5"/>
    <n v="8905202269434"/>
    <s v="BD1358756"/>
    <s v="8905202269434_Red_M"/>
    <x v="17"/>
    <s v="M"/>
    <n v="3995"/>
    <n v="3995"/>
    <n v="1"/>
    <n v="3995"/>
    <n v="1398.25"/>
    <n v="0"/>
    <n v="2596.75"/>
    <n v="3995"/>
    <x v="0"/>
  </r>
  <r>
    <x v="2"/>
    <x v="86"/>
    <s v="AE525C168F7B"/>
    <s v="Clothing"/>
    <s v="Men"/>
    <s v="Topwear"/>
    <x v="0"/>
    <x v="5"/>
    <n v="8905202264712"/>
    <s v="BD1358783"/>
    <s v="8905202264712_Bla_Onesize"/>
    <x v="9"/>
    <s v="Onesize"/>
    <n v="3495"/>
    <n v="3495"/>
    <n v="1"/>
    <n v="3495"/>
    <n v="1223.25"/>
    <n v="0"/>
    <n v="2271.75"/>
    <n v="3495"/>
    <x v="45"/>
  </r>
  <r>
    <x v="1"/>
    <x v="87"/>
    <s v="4E5CF68E9B98"/>
    <s v="Clothing"/>
    <s v="Men"/>
    <s v="Bottomwear"/>
    <x v="3"/>
    <x v="5"/>
    <n v="8905302263363"/>
    <s v="BD1395085"/>
    <s v="8905302263363_Bla_L"/>
    <x v="103"/>
    <s v="L"/>
    <n v="7999"/>
    <n v="7999"/>
    <n v="1"/>
    <n v="7999"/>
    <n v="2399.6999999999998"/>
    <n v="0"/>
    <n v="5599.3"/>
    <n v="7999"/>
    <x v="42"/>
  </r>
  <r>
    <x v="0"/>
    <x v="87"/>
    <s v="72F3AA7D6CA5"/>
    <s v="Clothing"/>
    <s v="Men"/>
    <s v="Topwear"/>
    <x v="0"/>
    <x v="5"/>
    <n v="8905302263382"/>
    <s v="BD1395113"/>
    <s v="8905302263382_Blu_M"/>
    <x v="12"/>
    <s v="M"/>
    <n v="3999"/>
    <n v="3999"/>
    <n v="1"/>
    <n v="3999"/>
    <n v="1199.7"/>
    <n v="0"/>
    <n v="2799.3"/>
    <n v="3999"/>
    <x v="56"/>
  </r>
  <r>
    <x v="0"/>
    <x v="87"/>
    <s v="9C7132033A77"/>
    <s v="Clothing"/>
    <s v="Men"/>
    <s v="Topwear"/>
    <x v="0"/>
    <x v="5"/>
    <n v="8905202269410"/>
    <s v="BD1358765"/>
    <n v="8905202269410"/>
    <x v="44"/>
    <s v="XXL"/>
    <n v="4495"/>
    <n v="4495"/>
    <n v="1"/>
    <n v="4495"/>
    <n v="1348.5"/>
    <n v="0"/>
    <n v="3146.5"/>
    <n v="4495"/>
    <x v="10"/>
  </r>
  <r>
    <x v="0"/>
    <x v="87"/>
    <s v="2F75F986C34D"/>
    <s v="Clothing"/>
    <s v="Men"/>
    <s v="Topwear"/>
    <x v="2"/>
    <x v="5"/>
    <n v="8905302263330"/>
    <s v="BD1395008"/>
    <s v="8905302263330_Ora_L"/>
    <x v="90"/>
    <s v="L"/>
    <n v="4999"/>
    <n v="4999"/>
    <n v="1"/>
    <n v="4999"/>
    <n v="1499.7"/>
    <n v="0"/>
    <n v="3499.3"/>
    <n v="4999"/>
    <x v="49"/>
  </r>
  <r>
    <x v="1"/>
    <x v="88"/>
    <s v="814B936489B4"/>
    <s v="Clothing"/>
    <s v="Men"/>
    <s v="Topwear"/>
    <x v="0"/>
    <x v="5"/>
    <n v="8905202264729"/>
    <s v="BD1358785"/>
    <n v="8905202264729"/>
    <x v="9"/>
    <s v="Onesize"/>
    <n v="2995"/>
    <n v="2995"/>
    <n v="1"/>
    <n v="2995"/>
    <n v="898.5"/>
    <n v="0"/>
    <n v="2096.5"/>
    <n v="2995"/>
    <x v="9"/>
  </r>
  <r>
    <x v="0"/>
    <x v="88"/>
    <s v="2A6E63544687"/>
    <s v="Clothing"/>
    <s v="Men"/>
    <s v="Topwear"/>
    <x v="0"/>
    <x v="5"/>
    <n v="8905202264873"/>
    <s v="BD1358793"/>
    <s v="8905202264873_Bla_L"/>
    <x v="22"/>
    <s v="L"/>
    <n v="3995"/>
    <n v="3995"/>
    <n v="1"/>
    <n v="3995"/>
    <n v="1198.5"/>
    <n v="0"/>
    <n v="2796.5"/>
    <n v="3995"/>
    <x v="18"/>
  </r>
  <r>
    <x v="0"/>
    <x v="88"/>
    <s v="5EB79797578C"/>
    <s v="Clothing"/>
    <s v="Men"/>
    <s v="Topwear"/>
    <x v="2"/>
    <x v="5"/>
    <n v="8905302263329"/>
    <s v="BD1395010"/>
    <s v="8905302263329_Ora_M"/>
    <x v="104"/>
    <s v="M"/>
    <n v="4999"/>
    <n v="4999"/>
    <n v="1"/>
    <n v="4999"/>
    <n v="1499.7"/>
    <n v="0"/>
    <n v="3499.3"/>
    <n v="4999"/>
    <x v="49"/>
  </r>
  <r>
    <x v="0"/>
    <x v="88"/>
    <s v="71AD153CDB81"/>
    <s v="Clothing"/>
    <s v="Men"/>
    <s v="Topwear"/>
    <x v="2"/>
    <x v="5"/>
    <n v="8905302263329"/>
    <s v="BD1395010"/>
    <s v="8905302263329_Ora_M"/>
    <x v="104"/>
    <s v="M"/>
    <n v="4999"/>
    <n v="4999"/>
    <n v="1"/>
    <n v="4999"/>
    <n v="1499.7"/>
    <n v="0"/>
    <n v="3499.3"/>
    <n v="4999"/>
    <x v="49"/>
  </r>
  <r>
    <x v="0"/>
    <x v="88"/>
    <s v="154102622A65"/>
    <s v="Clothing"/>
    <s v="Men"/>
    <s v="Topwear"/>
    <x v="2"/>
    <x v="5"/>
    <n v="8905302263256"/>
    <s v="BD1392653"/>
    <s v="8905302263256_Gre_M"/>
    <x v="25"/>
    <s v="M"/>
    <n v="5999"/>
    <n v="5999"/>
    <n v="1"/>
    <n v="5999"/>
    <n v="1799.7"/>
    <n v="0"/>
    <n v="4199.3"/>
    <n v="5999"/>
    <x v="46"/>
  </r>
  <r>
    <x v="0"/>
    <x v="88"/>
    <s v="154102622A65"/>
    <s v="Clothing"/>
    <s v="Men"/>
    <s v="Topwear"/>
    <x v="0"/>
    <x v="5"/>
    <n v="8905302263376"/>
    <s v="BD1395100"/>
    <s v="8905302263376_Pin_M"/>
    <x v="105"/>
    <s v="M"/>
    <n v="3999"/>
    <n v="3999"/>
    <n v="1"/>
    <n v="3999"/>
    <n v="1199.7"/>
    <n v="0"/>
    <n v="2799.3"/>
    <n v="3999"/>
    <x v="53"/>
  </r>
  <r>
    <x v="0"/>
    <x v="88"/>
    <s v="4941F0661101"/>
    <s v="Clothing"/>
    <s v="Men"/>
    <s v="Bottomwear"/>
    <x v="3"/>
    <x v="5"/>
    <n v="8905302263358"/>
    <s v="BD1395070"/>
    <s v="8905302263358_Blu_M"/>
    <x v="76"/>
    <s v="M"/>
    <n v="7999"/>
    <n v="7999"/>
    <n v="1"/>
    <n v="7999"/>
    <n v="2399.6999999999998"/>
    <n v="0"/>
    <n v="5599.3"/>
    <n v="7999"/>
    <x v="50"/>
  </r>
  <r>
    <x v="2"/>
    <x v="88"/>
    <s v="91C11C22D365"/>
    <s v="Clothing"/>
    <s v="Men"/>
    <s v="Topwear"/>
    <x v="0"/>
    <x v="5"/>
    <n v="8905202264712"/>
    <s v="BD1358783"/>
    <s v="8905202264712_Bla_Onesize"/>
    <x v="9"/>
    <s v="Onesize"/>
    <n v="3495"/>
    <n v="3495"/>
    <n v="1"/>
    <n v="3495"/>
    <n v="1048.5"/>
    <n v="0"/>
    <n v="2446.5"/>
    <n v="3495"/>
    <x v="45"/>
  </r>
  <r>
    <x v="2"/>
    <x v="88"/>
    <s v="91C11C22D365"/>
    <s v="Clothing"/>
    <s v="Men"/>
    <s v="Topwear"/>
    <x v="0"/>
    <x v="5"/>
    <n v="8905202264729"/>
    <s v="BD1358785"/>
    <n v="8905202264729"/>
    <x v="9"/>
    <s v="Onesize"/>
    <n v="2995"/>
    <n v="2995"/>
    <n v="1"/>
    <n v="2995"/>
    <n v="898.5"/>
    <n v="0"/>
    <n v="2096.5"/>
    <n v="2995"/>
    <x v="9"/>
  </r>
  <r>
    <x v="2"/>
    <x v="88"/>
    <s v="83AFB14CD121"/>
    <s v="Clothing"/>
    <s v="Men"/>
    <s v="Topwear"/>
    <x v="0"/>
    <x v="5"/>
    <n v="8905202264927"/>
    <s v="BD1358806"/>
    <s v="8905202264927_Blu_L"/>
    <x v="18"/>
    <s v="L"/>
    <n v="2995"/>
    <n v="2995"/>
    <n v="1"/>
    <n v="2995"/>
    <n v="898.5"/>
    <n v="0"/>
    <n v="2096.5"/>
    <n v="2995"/>
    <x v="15"/>
  </r>
  <r>
    <x v="2"/>
    <x v="88"/>
    <s v="83AFB14CD121"/>
    <s v="Clothing"/>
    <s v="Men"/>
    <s v="Topwear"/>
    <x v="0"/>
    <x v="5"/>
    <n v="8905202269434"/>
    <s v="BD1358756"/>
    <s v="8905202269434_Red_M"/>
    <x v="17"/>
    <s v="M"/>
    <n v="3995"/>
    <n v="3995"/>
    <n v="1"/>
    <n v="3995"/>
    <n v="1198.5"/>
    <n v="0"/>
    <n v="2796.5"/>
    <n v="3995"/>
    <x v="0"/>
  </r>
  <r>
    <x v="1"/>
    <x v="89"/>
    <s v="5F17520A7A2C"/>
    <s v="Clothing"/>
    <s v="Men"/>
    <s v="Bottomwear"/>
    <x v="3"/>
    <x v="5"/>
    <n v="8905302263361"/>
    <s v="BD1395076"/>
    <s v="8905302263361_Bla_S"/>
    <x v="106"/>
    <s v="S"/>
    <n v="7999"/>
    <n v="7999"/>
    <n v="1"/>
    <n v="7999"/>
    <n v="2399.6999999999998"/>
    <n v="0"/>
    <n v="5599.3"/>
    <n v="7999"/>
    <x v="42"/>
  </r>
  <r>
    <x v="1"/>
    <x v="89"/>
    <s v="9B95C1B9CC4E"/>
    <s v="Clothing"/>
    <s v="Men"/>
    <s v="Topwear"/>
    <x v="2"/>
    <x v="5"/>
    <n v="8905302263332"/>
    <s v="BD1395023"/>
    <s v="8905302263332_Nav_L"/>
    <x v="107"/>
    <s v="L"/>
    <n v="4999"/>
    <n v="4999"/>
    <n v="1"/>
    <n v="4999"/>
    <n v="1499.7"/>
    <n v="0"/>
    <n v="3499.3"/>
    <n v="4999"/>
    <x v="57"/>
  </r>
  <r>
    <x v="0"/>
    <x v="89"/>
    <s v="3A15300F4EFE"/>
    <s v="Clothing"/>
    <s v="Men"/>
    <s v="Topwear"/>
    <x v="0"/>
    <x v="5"/>
    <n v="8905302263381"/>
    <s v="BD1395108"/>
    <s v="8905302263381_Bla_XL"/>
    <x v="10"/>
    <s v="XL"/>
    <n v="3999"/>
    <n v="3999"/>
    <n v="1"/>
    <n v="3999"/>
    <n v="1199.7"/>
    <n v="0"/>
    <n v="2799.3"/>
    <n v="3999"/>
    <x v="48"/>
  </r>
  <r>
    <x v="0"/>
    <x v="90"/>
    <s v="E5C90BAB5629"/>
    <s v="Clothing"/>
    <s v="Men"/>
    <s v="Topwear"/>
    <x v="2"/>
    <x v="5"/>
    <n v="8905302263253"/>
    <s v="BD1392646"/>
    <s v="8905302263253_Gre_S"/>
    <x v="75"/>
    <s v="S"/>
    <n v="4999"/>
    <n v="4999"/>
    <n v="1"/>
    <n v="4999"/>
    <n v="1499.7"/>
    <n v="0"/>
    <n v="3499.3"/>
    <n v="4999"/>
    <x v="40"/>
  </r>
  <r>
    <x v="0"/>
    <x v="90"/>
    <s v="7E0B74688DE4"/>
    <s v="Clothing"/>
    <s v="Men"/>
    <s v="Topwear"/>
    <x v="0"/>
    <x v="5"/>
    <n v="8905202264972"/>
    <s v="BD1358811"/>
    <n v="8905202264972"/>
    <x v="8"/>
    <s v="L"/>
    <n v="2495"/>
    <n v="2495"/>
    <n v="1"/>
    <n v="2495"/>
    <n v="748.5"/>
    <n v="0"/>
    <n v="1746.5"/>
    <n v="2495"/>
    <x v="13"/>
  </r>
  <r>
    <x v="0"/>
    <x v="90"/>
    <s v="7E0B74688DE4"/>
    <s v="Clothing"/>
    <s v="Men"/>
    <s v="Topwear"/>
    <x v="0"/>
    <x v="5"/>
    <n v="8905302263396"/>
    <s v="BD1402126"/>
    <s v="8905302263396_Bla_L"/>
    <x v="108"/>
    <s v="L"/>
    <n v="4495"/>
    <n v="4495"/>
    <n v="1"/>
    <n v="4495"/>
    <n v="1348.5"/>
    <n v="0"/>
    <n v="3146.5"/>
    <n v="4495"/>
    <x v="24"/>
  </r>
  <r>
    <x v="2"/>
    <x v="90"/>
    <s v="83AFB14CD121"/>
    <s v="Clothing"/>
    <s v="Men"/>
    <s v="Topwear"/>
    <x v="0"/>
    <x v="5"/>
    <n v="8905202264828"/>
    <s v="BD1358790"/>
    <n v="8905202264828"/>
    <x v="109"/>
    <s v="L"/>
    <n v="4495"/>
    <n v="4495"/>
    <n v="1"/>
    <n v="4495"/>
    <n v="1348.5"/>
    <n v="0"/>
    <n v="3146.5"/>
    <n v="4495"/>
    <x v="12"/>
  </r>
  <r>
    <x v="2"/>
    <x v="90"/>
    <s v="83AFB14CD121"/>
    <s v="Clothing"/>
    <s v="Men"/>
    <s v="Topwear"/>
    <x v="0"/>
    <x v="5"/>
    <n v="8905202264866"/>
    <s v="BD1358794"/>
    <s v="8905202264866_Bla_XL"/>
    <x v="10"/>
    <s v="XL"/>
    <n v="3995"/>
    <n v="3995"/>
    <n v="1"/>
    <n v="3995"/>
    <n v="1198.5"/>
    <n v="0"/>
    <n v="2796.5"/>
    <n v="3995"/>
    <x v="18"/>
  </r>
  <r>
    <x v="1"/>
    <x v="91"/>
    <s v="9F943DEFE0B9"/>
    <s v="Clothing"/>
    <s v="Men"/>
    <s v="Topwear"/>
    <x v="0"/>
    <x v="5"/>
    <n v="8905202265047"/>
    <s v="BD1358808"/>
    <s v="8905202265047_Blu_M"/>
    <x v="12"/>
    <s v="M"/>
    <n v="2995"/>
    <n v="2995"/>
    <n v="1"/>
    <n v="2995"/>
    <n v="898.5"/>
    <n v="0"/>
    <n v="2096.5"/>
    <n v="2995"/>
    <x v="15"/>
  </r>
  <r>
    <x v="1"/>
    <x v="91"/>
    <s v="22297B39EF79"/>
    <s v="Clothing"/>
    <s v="Men"/>
    <s v="Topwear"/>
    <x v="2"/>
    <x v="5"/>
    <n v="8905302263305"/>
    <s v="BD1394022"/>
    <s v="8905302263305_Blu_L"/>
    <x v="98"/>
    <s v="L"/>
    <n v="4999"/>
    <n v="4999"/>
    <n v="1"/>
    <n v="4999"/>
    <n v="1499.7"/>
    <n v="0"/>
    <n v="3499.3"/>
    <n v="4999"/>
    <x v="58"/>
  </r>
  <r>
    <x v="2"/>
    <x v="91"/>
    <s v="FABE002AE1CB"/>
    <s v="Clothing"/>
    <s v="Men"/>
    <s v="Topwear"/>
    <x v="0"/>
    <x v="5"/>
    <n v="8905202264897"/>
    <s v="BD1358803"/>
    <n v="8905202264897"/>
    <x v="5"/>
    <s v="M"/>
    <n v="2995"/>
    <n v="2995"/>
    <n v="1"/>
    <n v="2995"/>
    <n v="898.5"/>
    <n v="0"/>
    <n v="2096.5"/>
    <n v="2995"/>
    <x v="5"/>
  </r>
  <r>
    <x v="1"/>
    <x v="92"/>
    <s v="83AFB14CD121"/>
    <s v="Clothing"/>
    <s v="Men"/>
    <s v="Bottomwear"/>
    <x v="3"/>
    <x v="5"/>
    <n v="8905302263364"/>
    <s v="BD1395093"/>
    <s v="8905302263364_Bla_XL"/>
    <x v="87"/>
    <s v="XL"/>
    <n v="7999"/>
    <n v="7999"/>
    <n v="1"/>
    <n v="7999"/>
    <n v="2399.6999999999998"/>
    <n v="0"/>
    <n v="5599.3"/>
    <n v="7999"/>
    <x v="42"/>
  </r>
  <r>
    <x v="1"/>
    <x v="92"/>
    <s v="83AFB14CD121"/>
    <s v="Clothing"/>
    <s v="Women"/>
    <s v="Topwear"/>
    <x v="1"/>
    <x v="5"/>
    <n v="8905302263178"/>
    <s v="BD1358918"/>
    <s v="8905302263178_Gre_L"/>
    <x v="110"/>
    <s v="L"/>
    <n v="2995"/>
    <n v="2995"/>
    <n v="1"/>
    <n v="2995"/>
    <n v="898.5"/>
    <n v="0"/>
    <n v="2096.5"/>
    <n v="2995"/>
    <x v="59"/>
  </r>
  <r>
    <x v="2"/>
    <x v="92"/>
    <s v="E650F852CDF0"/>
    <s v="Clothing"/>
    <s v="Men"/>
    <s v="Topwear"/>
    <x v="0"/>
    <x v="5"/>
    <n v="8905202264880"/>
    <s v="BD1358802"/>
    <n v="8905202264880"/>
    <x v="53"/>
    <s v="S"/>
    <n v="2995"/>
    <n v="2995"/>
    <n v="1"/>
    <n v="2995"/>
    <n v="898.5"/>
    <n v="0"/>
    <n v="2096.5"/>
    <n v="2995"/>
    <x v="5"/>
  </r>
  <r>
    <x v="2"/>
    <x v="92"/>
    <s v="220E8FA55BB9"/>
    <s v="Clothing"/>
    <s v="Men"/>
    <s v="Topwear"/>
    <x v="0"/>
    <x v="5"/>
    <n v="8905202265030"/>
    <s v="BD1358799"/>
    <s v="8905202265030_Blu_S"/>
    <x v="86"/>
    <s v="S"/>
    <n v="2995"/>
    <n v="2995"/>
    <n v="1"/>
    <n v="2995"/>
    <n v="898.5"/>
    <n v="0"/>
    <n v="2096.5"/>
    <n v="2995"/>
    <x v="15"/>
  </r>
  <r>
    <x v="2"/>
    <x v="92"/>
    <s v="220E8FA55BB9"/>
    <s v="Clothing"/>
    <s v="Men"/>
    <s v="Topwear"/>
    <x v="0"/>
    <x v="5"/>
    <n v="8905202269083"/>
    <s v="BD1358743"/>
    <s v="8905202269083_Whi_M"/>
    <x v="5"/>
    <s v="M"/>
    <n v="3495"/>
    <n v="3495"/>
    <n v="1"/>
    <n v="3495"/>
    <n v="1048.5"/>
    <n v="0"/>
    <n v="2446.5"/>
    <n v="3495"/>
    <x v="8"/>
  </r>
  <r>
    <x v="0"/>
    <x v="93"/>
    <s v="9F73C8DB9040"/>
    <s v="Clothing"/>
    <s v="Men"/>
    <s v="Topwear"/>
    <x v="2"/>
    <x v="5"/>
    <n v="8905302263257"/>
    <s v="BD1392654"/>
    <s v="8905302263257_Gre_L"/>
    <x v="24"/>
    <s v="L"/>
    <n v="5999"/>
    <n v="5999"/>
    <n v="1"/>
    <n v="5999"/>
    <n v="1799.7"/>
    <n v="0"/>
    <n v="4199.3"/>
    <n v="5999"/>
    <x v="46"/>
  </r>
  <r>
    <x v="2"/>
    <x v="94"/>
    <s v="83AFB14CD121"/>
    <s v="Clothing"/>
    <s v="Men"/>
    <s v="Topwear"/>
    <x v="0"/>
    <x v="5"/>
    <n v="8905202265047"/>
    <s v="BD1358808"/>
    <s v="8905202265047_Blu_M"/>
    <x v="12"/>
    <s v="M"/>
    <n v="2995"/>
    <n v="2995"/>
    <n v="1"/>
    <n v="2995"/>
    <n v="898.5"/>
    <n v="0"/>
    <n v="2096.5"/>
    <n v="2995"/>
    <x v="15"/>
  </r>
  <r>
    <x v="1"/>
    <x v="95"/>
    <s v="A6B26632CD21"/>
    <s v="Clothing"/>
    <s v="Men"/>
    <s v="Bottomwear"/>
    <x v="4"/>
    <x v="5"/>
    <n v="8905302263218"/>
    <s v="BD1385615"/>
    <s v="8905302263218_Gre_XXL"/>
    <x v="111"/>
    <s v="XXL"/>
    <n v="4999"/>
    <n v="4999"/>
    <n v="1"/>
    <n v="4999"/>
    <n v="1499.7"/>
    <n v="0"/>
    <n v="3499.3"/>
    <n v="4999"/>
    <x v="60"/>
  </r>
  <r>
    <x v="0"/>
    <x v="95"/>
    <s v="587D9E402C90"/>
    <s v="Clothing"/>
    <s v="Men"/>
    <s v="Bottomwear"/>
    <x v="3"/>
    <x v="5"/>
    <n v="8905302263400"/>
    <s v="BD1411063"/>
    <s v="8905302263400_Blu_M"/>
    <x v="112"/>
    <s v="M"/>
    <n v="7999"/>
    <n v="7999"/>
    <n v="1"/>
    <n v="7999"/>
    <n v="2399.6999999999998"/>
    <n v="0"/>
    <n v="5599.3"/>
    <n v="7999"/>
    <x v="61"/>
  </r>
  <r>
    <x v="0"/>
    <x v="95"/>
    <s v="3BF86E16D7E6"/>
    <s v="Clothing"/>
    <s v="Men"/>
    <s v="Topwear"/>
    <x v="0"/>
    <x v="5"/>
    <n v="8905202264828"/>
    <s v="BD1358790"/>
    <n v="8905202264828"/>
    <x v="109"/>
    <s v="L"/>
    <n v="4495"/>
    <n v="4495"/>
    <n v="1"/>
    <n v="4495"/>
    <n v="1348.5"/>
    <n v="0"/>
    <n v="3146.5"/>
    <n v="4495"/>
    <x v="12"/>
  </r>
  <r>
    <x v="0"/>
    <x v="95"/>
    <s v="3BF86E16D7E6"/>
    <s v="Clothing"/>
    <s v="Men"/>
    <s v="Topwear"/>
    <x v="0"/>
    <x v="5"/>
    <n v="8905302263381"/>
    <s v="BD1395108"/>
    <s v="8905302263381_Bla_XL"/>
    <x v="10"/>
    <s v="XL"/>
    <n v="3999"/>
    <n v="3999"/>
    <n v="1"/>
    <n v="3999"/>
    <n v="1199.7"/>
    <n v="0"/>
    <n v="2799.3"/>
    <n v="3999"/>
    <x v="48"/>
  </r>
  <r>
    <x v="0"/>
    <x v="95"/>
    <s v="4E08E7D05A85"/>
    <s v="Clothing"/>
    <s v="Men"/>
    <s v="Bottomwear"/>
    <x v="3"/>
    <x v="5"/>
    <n v="8905302263207"/>
    <s v="BD1385606"/>
    <s v="8905302263207_Blu_M"/>
    <x v="40"/>
    <s v="M"/>
    <n v="5999"/>
    <n v="5999"/>
    <n v="1"/>
    <n v="5999"/>
    <n v="1799.7"/>
    <n v="0"/>
    <n v="4199.3"/>
    <n v="5999"/>
    <x v="34"/>
  </r>
  <r>
    <x v="2"/>
    <x v="95"/>
    <s v="AB4A5EB4905C"/>
    <s v="Clothing"/>
    <s v="Men"/>
    <s v="Bottomwear"/>
    <x v="3"/>
    <x v="5"/>
    <n v="8905302263202"/>
    <s v="BD1385591"/>
    <s v="8905302263202_Bla_M"/>
    <x v="60"/>
    <s v="M"/>
    <n v="6999"/>
    <n v="6999"/>
    <n v="1"/>
    <n v="6999"/>
    <n v="2099.6999999999998"/>
    <n v="0"/>
    <n v="4899.3"/>
    <n v="6999"/>
    <x v="31"/>
  </r>
  <r>
    <x v="2"/>
    <x v="96"/>
    <s v="12438F66160E"/>
    <s v="Clothing"/>
    <s v="Men"/>
    <s v="Topwear"/>
    <x v="2"/>
    <x v="6"/>
    <n v="8905302263330"/>
    <s v="BD1395008"/>
    <s v="8905302263330_Ora_L"/>
    <x v="90"/>
    <s v="L"/>
    <n v="4999"/>
    <n v="4999"/>
    <n v="-1"/>
    <n v="-4999"/>
    <n v="-999.8"/>
    <n v="0"/>
    <n v="-3999.2"/>
    <s v="Credit Note Issued [-]"/>
    <x v="49"/>
  </r>
  <r>
    <x v="1"/>
    <x v="97"/>
    <s v="548E736EC77B"/>
    <s v="Clothing"/>
    <s v="Men"/>
    <s v="Topwear"/>
    <x v="2"/>
    <x v="6"/>
    <n v="8905302263346"/>
    <s v="BD1395041"/>
    <s v="8905302263346_Whi_L"/>
    <x v="88"/>
    <s v="L"/>
    <n v="5999"/>
    <n v="5999"/>
    <n v="1"/>
    <n v="5999"/>
    <n v="0"/>
    <n v="0"/>
    <n v="5999"/>
    <s v="Pinelab Card"/>
    <x v="43"/>
  </r>
  <r>
    <x v="1"/>
    <x v="98"/>
    <s v="3C414065EBC5"/>
    <s v="Clothing"/>
    <s v="Men"/>
    <s v="Topwear"/>
    <x v="2"/>
    <x v="6"/>
    <n v="8905302263304"/>
    <s v="BD1394020"/>
    <s v="8905302263304_Blu_M"/>
    <x v="102"/>
    <s v="M"/>
    <n v="4999"/>
    <n v="4999"/>
    <n v="1"/>
    <n v="4999"/>
    <n v="0"/>
    <n v="0"/>
    <n v="4999"/>
    <s v="Pinelab Card"/>
    <x v="58"/>
  </r>
  <r>
    <x v="0"/>
    <x v="98"/>
    <s v="52A4656B5EEE"/>
    <s v="Clothing"/>
    <s v="Men"/>
    <s v="Topwear"/>
    <x v="2"/>
    <x v="6"/>
    <n v="8905302263304"/>
    <s v="BD1394020"/>
    <s v="8905302263304_Blu_M"/>
    <x v="102"/>
    <s v="M"/>
    <n v="4999"/>
    <n v="4999"/>
    <n v="1"/>
    <n v="4999"/>
    <n v="0"/>
    <n v="0"/>
    <n v="4999"/>
    <s v="Pinelab Card"/>
    <x v="58"/>
  </r>
  <r>
    <x v="0"/>
    <x v="98"/>
    <s v="F7B86651B934"/>
    <s v="Clothing"/>
    <s v="Men"/>
    <s v="Topwear"/>
    <x v="0"/>
    <x v="6"/>
    <n v="8905202264729"/>
    <s v="BD1358785"/>
    <n v="8905202264729"/>
    <x v="9"/>
    <s v="Onesize"/>
    <n v="2995"/>
    <n v="2995"/>
    <n v="1"/>
    <n v="2995"/>
    <n v="0"/>
    <n v="0"/>
    <n v="2995"/>
    <s v="Cash"/>
    <x v="9"/>
  </r>
  <r>
    <x v="0"/>
    <x v="98"/>
    <s v="97DBB447C2DF"/>
    <s v="Clothing"/>
    <s v="Men"/>
    <s v="Bottomwear"/>
    <x v="3"/>
    <x v="6"/>
    <n v="8905302263364"/>
    <s v="BD1395093"/>
    <s v="8905302263364_Bla_XL"/>
    <x v="87"/>
    <s v="XL"/>
    <n v="7999"/>
    <n v="7999"/>
    <n v="1"/>
    <n v="7999"/>
    <n v="0"/>
    <n v="0"/>
    <n v="7999"/>
    <s v="Pinelab Card"/>
    <x v="42"/>
  </r>
  <r>
    <x v="0"/>
    <x v="99"/>
    <s v="BB7D2F22292B"/>
    <s v="Clothing"/>
    <s v="Men"/>
    <s v="Topwear"/>
    <x v="2"/>
    <x v="6"/>
    <n v="8905302263272"/>
    <s v="BD1393998"/>
    <s v="8905302263272_Blu_S"/>
    <x v="83"/>
    <s v="S"/>
    <n v="4999"/>
    <n v="4999"/>
    <n v="1"/>
    <n v="4999"/>
    <n v="0"/>
    <n v="0"/>
    <n v="4999"/>
    <s v="Pinelab UPI"/>
    <x v="62"/>
  </r>
  <r>
    <x v="2"/>
    <x v="99"/>
    <s v="338EF8A80388"/>
    <s v="Clothing"/>
    <s v="Men"/>
    <s v="Topwear"/>
    <x v="2"/>
    <x v="6"/>
    <n v="8905302263322"/>
    <s v="BD1394996"/>
    <s v="8905302263322_Gre_M"/>
    <x v="82"/>
    <s v="M"/>
    <n v="6999"/>
    <n v="6999"/>
    <n v="1"/>
    <n v="6999"/>
    <n v="0"/>
    <n v="0"/>
    <n v="6999"/>
    <s v="UPI"/>
    <x v="55"/>
  </r>
  <r>
    <x v="2"/>
    <x v="99"/>
    <s v="4C166815BB2B"/>
    <s v="Clothing"/>
    <s v="Men"/>
    <s v="Topwear"/>
    <x v="0"/>
    <x v="6"/>
    <n v="8905202265016"/>
    <s v="BD1358805"/>
    <n v="8905202265016"/>
    <x v="11"/>
    <s v="XL"/>
    <n v="2995"/>
    <n v="2995"/>
    <n v="1"/>
    <n v="2995"/>
    <n v="0"/>
    <n v="0"/>
    <n v="2995"/>
    <s v="Cash"/>
    <x v="5"/>
  </r>
  <r>
    <x v="2"/>
    <x v="100"/>
    <s v="83AFB14CD121"/>
    <s v="Clothing"/>
    <s v="Men"/>
    <s v="Bottomwear"/>
    <x v="3"/>
    <x v="6"/>
    <n v="8905302263203"/>
    <s v="BD1385588"/>
    <s v="8905302263203_Bla_L"/>
    <x v="43"/>
    <s v="L"/>
    <n v="6999"/>
    <n v="6999"/>
    <n v="1"/>
    <n v="6999"/>
    <n v="0"/>
    <n v="0"/>
    <n v="6999"/>
    <s v="Card, UPI"/>
    <x v="31"/>
  </r>
  <r>
    <x v="2"/>
    <x v="100"/>
    <s v="9F3FFEA51ACE"/>
    <s v="Clothing"/>
    <s v="Men"/>
    <s v="Topwear"/>
    <x v="0"/>
    <x v="6"/>
    <n v="8905202264811"/>
    <s v="BD1358798"/>
    <n v="8905202264811"/>
    <x v="14"/>
    <s v="XL"/>
    <n v="4495"/>
    <n v="4495"/>
    <n v="1"/>
    <n v="4495"/>
    <n v="0"/>
    <n v="0"/>
    <n v="4495"/>
    <s v="Cash"/>
    <x v="12"/>
  </r>
  <r>
    <x v="2"/>
    <x v="101"/>
    <s v="9B97CF8323FD"/>
    <s v="Clothing"/>
    <s v="Men"/>
    <s v="Bottomwear"/>
    <x v="3"/>
    <x v="6"/>
    <n v="8905302263195"/>
    <s v="BD1395119"/>
    <s v="8905302263195_Blu_L"/>
    <x v="113"/>
    <s v="L"/>
    <n v="7999"/>
    <n v="7999"/>
    <n v="1"/>
    <n v="7999"/>
    <n v="0"/>
    <n v="0"/>
    <n v="7999"/>
    <s v="Cash"/>
    <x v="63"/>
  </r>
  <r>
    <x v="2"/>
    <x v="101"/>
    <s v="9B97CF8323FD"/>
    <s v="Clothing"/>
    <s v="Men"/>
    <s v="Bottomwear"/>
    <x v="3"/>
    <x v="6"/>
    <n v="8905302263203"/>
    <s v="BD1385588"/>
    <s v="8905302263203_Bla_L"/>
    <x v="43"/>
    <s v="L"/>
    <n v="6999"/>
    <n v="6999"/>
    <n v="1"/>
    <n v="6999"/>
    <n v="0"/>
    <n v="0"/>
    <n v="6999"/>
    <s v="Cash"/>
    <x v="31"/>
  </r>
  <r>
    <x v="3"/>
    <x v="102"/>
    <s v="83497F2BE9BF"/>
    <s v="Clothing"/>
    <s v="Men"/>
    <s v="Topwear"/>
    <x v="0"/>
    <x v="6"/>
    <n v="8905202269274"/>
    <s v="BD1358773"/>
    <s v="8905202269274_Bla_L"/>
    <x v="22"/>
    <s v="L"/>
    <n v="3495"/>
    <n v="3495"/>
    <n v="1"/>
    <n v="3495"/>
    <n v="0"/>
    <n v="0"/>
    <n v="3495"/>
    <s v="Cash, Pinelab UPI"/>
    <x v="32"/>
  </r>
  <r>
    <x v="0"/>
    <x v="102"/>
    <s v="9F9C6ACB788B"/>
    <s v="Clothing"/>
    <s v="Men"/>
    <s v="Topwear"/>
    <x v="2"/>
    <x v="6"/>
    <n v="8905302263242"/>
    <s v="BD1385628"/>
    <s v="8905302263242_Blu_L"/>
    <x v="98"/>
    <s v="L"/>
    <n v="5999"/>
    <n v="5999"/>
    <n v="1"/>
    <n v="5999"/>
    <n v="0"/>
    <n v="0"/>
    <n v="5999"/>
    <s v="Cash, Pinelab Card"/>
    <x v="33"/>
  </r>
  <r>
    <x v="0"/>
    <x v="103"/>
    <s v="2DB60CB65F6A"/>
    <s v="Clothing"/>
    <s v="Men"/>
    <s v="Topwear"/>
    <x v="2"/>
    <x v="6"/>
    <n v="8905302263305"/>
    <s v="BD1394022"/>
    <s v="8905302263305_Blu_L"/>
    <x v="98"/>
    <s v="L"/>
    <n v="4999"/>
    <n v="4999"/>
    <n v="1"/>
    <n v="4999"/>
    <n v="0"/>
    <n v="0"/>
    <n v="4999"/>
    <s v="Pinelab Card"/>
    <x v="58"/>
  </r>
  <r>
    <x v="0"/>
    <x v="103"/>
    <s v="2DB60CB65F6A"/>
    <s v="Clothing"/>
    <s v="Men"/>
    <s v="Topwear"/>
    <x v="0"/>
    <x v="6"/>
    <n v="8905202265016"/>
    <s v="BD1358805"/>
    <n v="8905202265016"/>
    <x v="11"/>
    <s v="XL"/>
    <n v="2995"/>
    <n v="2995"/>
    <n v="1"/>
    <n v="2995"/>
    <n v="0"/>
    <n v="0"/>
    <n v="2995"/>
    <s v="Pinelab Card"/>
    <x v="5"/>
  </r>
  <r>
    <x v="2"/>
    <x v="104"/>
    <s v="7DDC74541D43"/>
    <s v="Clothing"/>
    <s v="Men"/>
    <s v="Topwear"/>
    <x v="2"/>
    <x v="6"/>
    <n v="8905302263239"/>
    <s v="BD1385631"/>
    <s v="8905302263239_Cha_XL"/>
    <x v="48"/>
    <s v="XL"/>
    <n v="5999"/>
    <n v="5999"/>
    <n v="1"/>
    <n v="5999"/>
    <n v="0"/>
    <n v="0"/>
    <n v="5999"/>
    <s v="Pinelab Card"/>
    <x v="25"/>
  </r>
  <r>
    <x v="2"/>
    <x v="105"/>
    <s v="7CE89E38A98D"/>
    <s v="Clothing"/>
    <s v="Men"/>
    <s v="Topwear"/>
    <x v="2"/>
    <x v="6"/>
    <n v="8905302263328"/>
    <s v="BD1395003"/>
    <s v="8905302263328_Ora_S"/>
    <x v="89"/>
    <s v="S"/>
    <n v="4999"/>
    <n v="4999"/>
    <n v="1"/>
    <n v="4999"/>
    <n v="0"/>
    <n v="0"/>
    <n v="4999"/>
    <s v="UPI"/>
    <x v="49"/>
  </r>
  <r>
    <x v="0"/>
    <x v="106"/>
    <s v="5102CBD7E900"/>
    <s v="Clothing"/>
    <s v="Men"/>
    <s v="Topwear"/>
    <x v="2"/>
    <x v="6"/>
    <n v="8905302263303"/>
    <s v="BD1394029"/>
    <s v="8905302263303_Blu_S"/>
    <x v="83"/>
    <s v="S"/>
    <n v="4999"/>
    <n v="4999"/>
    <n v="1"/>
    <n v="4999"/>
    <n v="0"/>
    <n v="0"/>
    <n v="4999"/>
    <s v="Pinelab Card"/>
    <x v="58"/>
  </r>
  <r>
    <x v="1"/>
    <x v="107"/>
    <s v="DEA586C60753"/>
    <s v="Clothing"/>
    <s v="Men"/>
    <s v="Topwear"/>
    <x v="0"/>
    <x v="6"/>
    <n v="8905202264897"/>
    <s v="BD1358803"/>
    <n v="8905202264897"/>
    <x v="5"/>
    <s v="M"/>
    <n v="2995"/>
    <n v="2995"/>
    <n v="1"/>
    <n v="2995"/>
    <n v="1198"/>
    <n v="0"/>
    <n v="1797"/>
    <s v="Pinelab Card"/>
    <x v="5"/>
  </r>
  <r>
    <x v="1"/>
    <x v="107"/>
    <s v="DEA586C60753"/>
    <s v="Clothing"/>
    <s v="Men"/>
    <s v="Topwear"/>
    <x v="0"/>
    <x v="6"/>
    <n v="8905202264941"/>
    <s v="BD1358817"/>
    <n v="8905202264941"/>
    <x v="5"/>
    <s v="M"/>
    <n v="2495"/>
    <n v="2495"/>
    <n v="1"/>
    <n v="2495"/>
    <n v="998"/>
    <n v="0"/>
    <n v="1497"/>
    <s v="Pinelab Card"/>
    <x v="13"/>
  </r>
  <r>
    <x v="1"/>
    <x v="107"/>
    <s v="DEA586C60753"/>
    <s v="Clothing"/>
    <s v="Men"/>
    <s v="Topwear"/>
    <x v="0"/>
    <x v="6"/>
    <n v="8905202269335"/>
    <s v="BD1358762"/>
    <s v="8905202269335_Blu_M"/>
    <x v="12"/>
    <s v="M"/>
    <n v="3495"/>
    <n v="3495"/>
    <n v="1"/>
    <n v="3495"/>
    <n v="1398"/>
    <n v="0"/>
    <n v="2097"/>
    <s v="Pinelab Card"/>
    <x v="11"/>
  </r>
  <r>
    <x v="1"/>
    <x v="107"/>
    <s v="DEA586C60753"/>
    <s v="Clothing"/>
    <s v="Men"/>
    <s v="Topwear"/>
    <x v="0"/>
    <x v="6"/>
    <n v="8905302263380"/>
    <s v="BD1395104"/>
    <s v="8905302263380_Bla_L"/>
    <x v="22"/>
    <s v="L"/>
    <n v="3999"/>
    <n v="3999"/>
    <n v="1"/>
    <n v="3999"/>
    <n v="1599.6"/>
    <n v="0"/>
    <n v="2399.4"/>
    <s v="Pinelab Card"/>
    <x v="48"/>
  </r>
  <r>
    <x v="0"/>
    <x v="107"/>
    <s v="809579E4EED9"/>
    <s v="Clothing"/>
    <s v="Men"/>
    <s v="Topwear"/>
    <x v="0"/>
    <x v="6"/>
    <n v="8905202264835"/>
    <s v="BD1358791"/>
    <s v="8905202264835_Bla_S"/>
    <x v="37"/>
    <s v="S"/>
    <n v="3995"/>
    <n v="3995"/>
    <n v="1"/>
    <n v="3995"/>
    <n v="1598"/>
    <n v="0"/>
    <n v="2397"/>
    <s v="Pinelab Card"/>
    <x v="18"/>
  </r>
  <r>
    <x v="0"/>
    <x v="107"/>
    <s v="214CA9F029A9"/>
    <s v="Clothing"/>
    <s v="Men"/>
    <s v="Topwear"/>
    <x v="0"/>
    <x v="6"/>
    <n v="8905302263383"/>
    <s v="BD1395114"/>
    <s v="8905302263383_Blu_L"/>
    <x v="18"/>
    <s v="L"/>
    <n v="3999"/>
    <n v="3999"/>
    <n v="1"/>
    <n v="3999"/>
    <n v="1599.6"/>
    <n v="0"/>
    <n v="2399.4"/>
    <s v="Pinelab Card"/>
    <x v="56"/>
  </r>
  <r>
    <x v="1"/>
    <x v="108"/>
    <s v="E459BDCFB300"/>
    <s v="Clothing"/>
    <s v="Men"/>
    <s v="Topwear"/>
    <x v="2"/>
    <x v="6"/>
    <n v="8905302263276"/>
    <s v="BD1393992"/>
    <s v="8905302263276_Bla_M"/>
    <x v="63"/>
    <s v="M"/>
    <n v="4999"/>
    <n v="4999"/>
    <n v="1"/>
    <n v="4999"/>
    <n v="999.8"/>
    <n v="0"/>
    <n v="3999.2"/>
    <s v="Pinelab Card"/>
    <x v="64"/>
  </r>
  <r>
    <x v="1"/>
    <x v="108"/>
    <s v="E09ABFC51DAA"/>
    <s v="Clothing"/>
    <s v="Men"/>
    <s v="Topwear"/>
    <x v="0"/>
    <x v="6"/>
    <n v="8905202264729"/>
    <s v="BD1358785"/>
    <n v="8905202264729"/>
    <x v="9"/>
    <s v="Onesize"/>
    <n v="2995"/>
    <n v="2995"/>
    <n v="1"/>
    <n v="2995"/>
    <n v="1198"/>
    <n v="0"/>
    <n v="1797"/>
    <s v="Cash"/>
    <x v="9"/>
  </r>
  <r>
    <x v="1"/>
    <x v="108"/>
    <s v="4FCF47B5FB32"/>
    <s v="Clothing"/>
    <s v="Men"/>
    <s v="Topwear"/>
    <x v="0"/>
    <x v="6"/>
    <n v="8905202264941"/>
    <s v="BD1358817"/>
    <n v="8905202264941"/>
    <x v="5"/>
    <s v="M"/>
    <n v="2495"/>
    <n v="2495"/>
    <n v="1"/>
    <n v="2495"/>
    <n v="998"/>
    <n v="0"/>
    <n v="1497"/>
    <s v="Pinelab Card"/>
    <x v="13"/>
  </r>
  <r>
    <x v="0"/>
    <x v="108"/>
    <s v="B6EF6B3DC386"/>
    <s v="Clothing"/>
    <s v="Men"/>
    <s v="Topwear"/>
    <x v="0"/>
    <x v="6"/>
    <n v="8905202264651"/>
    <s v="BD1358780"/>
    <s v="8905202264651_Bla_L"/>
    <x v="22"/>
    <s v="L"/>
    <n v="2995"/>
    <n v="2995"/>
    <n v="1"/>
    <n v="2995"/>
    <n v="1198"/>
    <n v="0"/>
    <n v="1797"/>
    <s v="Pinelab Card"/>
    <x v="37"/>
  </r>
  <r>
    <x v="0"/>
    <x v="108"/>
    <s v="20C3C1400EC8"/>
    <s v="Clothing"/>
    <s v="Women"/>
    <s v="Topwear"/>
    <x v="0"/>
    <x v="6"/>
    <n v="8905202269250"/>
    <s v="BD1358892"/>
    <n v="8905202269250"/>
    <x v="21"/>
    <s v="M"/>
    <n v="1995"/>
    <n v="1995"/>
    <n v="1"/>
    <n v="1995"/>
    <n v="798"/>
    <n v="0"/>
    <n v="1197"/>
    <s v="Cash, Pinelab UPI"/>
    <x v="17"/>
  </r>
  <r>
    <x v="2"/>
    <x v="108"/>
    <s v="3C80BACB4452"/>
    <s v="Clothing"/>
    <s v="Men"/>
    <s v="Topwear"/>
    <x v="0"/>
    <x v="6"/>
    <n v="8905202264705"/>
    <s v="BD1358784"/>
    <s v="8905202264705_Whi_Onesize"/>
    <x v="57"/>
    <s v="Onesize"/>
    <n v="3495"/>
    <n v="3495"/>
    <n v="1"/>
    <n v="3495"/>
    <n v="1398"/>
    <n v="0"/>
    <n v="2097"/>
    <s v="Pinelab Card"/>
    <x v="35"/>
  </r>
  <r>
    <x v="2"/>
    <x v="108"/>
    <s v="3C80BACB4452"/>
    <s v="Clothing"/>
    <s v="Men"/>
    <s v="Topwear"/>
    <x v="0"/>
    <x v="6"/>
    <n v="8905202264712"/>
    <s v="BD1358783"/>
    <s v="8905202264712_Bla_Onesize"/>
    <x v="9"/>
    <s v="Onesize"/>
    <n v="3495"/>
    <n v="3495"/>
    <n v="1"/>
    <n v="3495"/>
    <n v="1398"/>
    <n v="0"/>
    <n v="2097"/>
    <s v="Pinelab Card"/>
    <x v="45"/>
  </r>
  <r>
    <x v="2"/>
    <x v="108"/>
    <s v="83AFB14CD121"/>
    <s v="Clothing"/>
    <s v="Men"/>
    <s v="Topwear"/>
    <x v="0"/>
    <x v="6"/>
    <n v="8905202264866"/>
    <s v="BD1358794"/>
    <s v="8905202264866_Bla_XL"/>
    <x v="10"/>
    <s v="XL"/>
    <n v="3995"/>
    <n v="3995"/>
    <n v="1"/>
    <n v="3995"/>
    <n v="1598"/>
    <n v="0"/>
    <n v="2397"/>
    <s v="Pinelab Card"/>
    <x v="18"/>
  </r>
  <r>
    <x v="2"/>
    <x v="108"/>
    <s v="83AFB14CD121"/>
    <s v="Clothing"/>
    <s v="Men"/>
    <s v="Topwear"/>
    <x v="0"/>
    <x v="6"/>
    <n v="8905202264910"/>
    <s v="BD1358807"/>
    <s v="8905202264910_Blu_XL"/>
    <x v="23"/>
    <s v="XL"/>
    <n v="2995"/>
    <n v="2995"/>
    <n v="1"/>
    <n v="2995"/>
    <n v="1198"/>
    <n v="0"/>
    <n v="1797"/>
    <s v="Pinelab Card"/>
    <x v="15"/>
  </r>
  <r>
    <x v="2"/>
    <x v="108"/>
    <s v="83AFB14CD121"/>
    <s v="Clothing"/>
    <s v="Men"/>
    <s v="Topwear"/>
    <x v="0"/>
    <x v="6"/>
    <n v="8905202265023"/>
    <s v="BD1358804"/>
    <n v="8905202265023"/>
    <x v="8"/>
    <s v="L"/>
    <n v="2995"/>
    <n v="2995"/>
    <n v="1"/>
    <n v="2995"/>
    <n v="1198"/>
    <n v="0"/>
    <n v="1797"/>
    <s v="Pinelab Card"/>
    <x v="5"/>
  </r>
  <r>
    <x v="1"/>
    <x v="109"/>
    <s v="2197283E1DC0"/>
    <s v="Clothing"/>
    <s v="Men"/>
    <s v="Topwear"/>
    <x v="0"/>
    <x v="6"/>
    <n v="8905302263373"/>
    <s v="BD1395097"/>
    <s v="8905302263373_Bla_M"/>
    <x v="13"/>
    <s v="M"/>
    <n v="3999"/>
    <n v="3999"/>
    <n v="1"/>
    <n v="3999"/>
    <n v="1599.6"/>
    <n v="0"/>
    <n v="2399.4"/>
    <s v="Pinelab UPI"/>
    <x v="65"/>
  </r>
  <r>
    <x v="1"/>
    <x v="109"/>
    <s v="B161FE44562E"/>
    <s v="Clothing"/>
    <s v="Men"/>
    <s v="Topwear"/>
    <x v="0"/>
    <x v="6"/>
    <n v="8905302263374"/>
    <s v="BD1395098"/>
    <s v="8905302263374_Bla_L"/>
    <x v="22"/>
    <s v="L"/>
    <n v="3999"/>
    <n v="3999"/>
    <n v="1"/>
    <n v="3999"/>
    <n v="1599.6"/>
    <n v="0"/>
    <n v="2399.4"/>
    <s v="Cash"/>
    <x v="65"/>
  </r>
  <r>
    <x v="1"/>
    <x v="109"/>
    <s v="8CB356E618F2"/>
    <s v="Clothing"/>
    <s v="Men"/>
    <s v="Topwear"/>
    <x v="2"/>
    <x v="6"/>
    <n v="8905302263284"/>
    <s v="BD1394007"/>
    <s v="8905302263284_Red_S"/>
    <x v="114"/>
    <s v="S"/>
    <n v="5999"/>
    <n v="5999"/>
    <n v="1"/>
    <n v="5999"/>
    <n v="1199.8"/>
    <n v="174.54"/>
    <n v="4624.66"/>
    <s v="UPI"/>
    <x v="51"/>
  </r>
  <r>
    <x v="1"/>
    <x v="109"/>
    <s v="B44A46BC1E8E"/>
    <s v="Clothing"/>
    <s v="Men"/>
    <s v="Topwear"/>
    <x v="0"/>
    <x v="6"/>
    <n v="8905302263380"/>
    <s v="BD1395104"/>
    <s v="8905302263380_Bla_L"/>
    <x v="22"/>
    <s v="L"/>
    <n v="3999"/>
    <n v="3999"/>
    <n v="1"/>
    <n v="3999"/>
    <n v="1599.6"/>
    <n v="0"/>
    <n v="2399.4"/>
    <s v="Pinelab Card"/>
    <x v="48"/>
  </r>
  <r>
    <x v="0"/>
    <x v="109"/>
    <s v="DEEA92271629"/>
    <s v="Clothing"/>
    <s v="Men"/>
    <s v="Topwear"/>
    <x v="0"/>
    <x v="6"/>
    <n v="8905202264729"/>
    <s v="BD1358785"/>
    <n v="8905202264729"/>
    <x v="9"/>
    <s v="Onesize"/>
    <n v="2995"/>
    <n v="2995"/>
    <n v="1"/>
    <n v="2995"/>
    <n v="1198"/>
    <n v="0"/>
    <n v="1797"/>
    <s v="Pinelab Card"/>
    <x v="9"/>
  </r>
  <r>
    <x v="0"/>
    <x v="109"/>
    <s v="00D92D4BA4E4"/>
    <s v="Clothing"/>
    <s v="Men"/>
    <s v="Topwear"/>
    <x v="0"/>
    <x v="6"/>
    <n v="8905202264729"/>
    <s v="BD1358785"/>
    <n v="8905202264729"/>
    <x v="9"/>
    <s v="Onesize"/>
    <n v="2995"/>
    <n v="2995"/>
    <n v="1"/>
    <n v="2995"/>
    <n v="1198"/>
    <n v="0"/>
    <n v="1797"/>
    <s v="Pinelab Card"/>
    <x v="9"/>
  </r>
  <r>
    <x v="0"/>
    <x v="109"/>
    <s v="B885C8EFD55E"/>
    <s v="Clothing"/>
    <s v="Men"/>
    <s v="Bottomwear"/>
    <x v="3"/>
    <x v="6"/>
    <n v="8905302263405"/>
    <s v="BD1411067"/>
    <s v="8905302263405_Bla_M"/>
    <x v="115"/>
    <s v="M"/>
    <n v="6999"/>
    <n v="6999"/>
    <n v="1"/>
    <n v="6999"/>
    <n v="2099.6999999999998"/>
    <n v="0"/>
    <n v="4899.3"/>
    <s v="Pinelab Card, Pinelab Card "/>
    <x v="66"/>
  </r>
  <r>
    <x v="0"/>
    <x v="109"/>
    <s v="8C9B2CC588CC"/>
    <s v="Clothing"/>
    <s v="Men"/>
    <s v="Topwear"/>
    <x v="0"/>
    <x v="6"/>
    <n v="8905302263379"/>
    <s v="BD1395101"/>
    <s v="8905302263379_Bla_M"/>
    <x v="13"/>
    <s v="M"/>
    <n v="3999"/>
    <n v="3999"/>
    <n v="1"/>
    <n v="3999"/>
    <n v="1599.6"/>
    <n v="0"/>
    <n v="2399.4"/>
    <s v="Pinelab Card"/>
    <x v="48"/>
  </r>
  <r>
    <x v="2"/>
    <x v="109"/>
    <s v="F7BDF50D8410"/>
    <s v="Clothing"/>
    <s v="Men"/>
    <s v="Topwear"/>
    <x v="2"/>
    <x v="6"/>
    <n v="8905302263350"/>
    <s v="BD1395050"/>
    <s v="8905302263350_Whi_S"/>
    <x v="91"/>
    <s v="S"/>
    <n v="5999"/>
    <n v="5999"/>
    <n v="1"/>
    <n v="5999"/>
    <n v="0"/>
    <n v="0"/>
    <n v="5999"/>
    <s v="Cash"/>
    <x v="67"/>
  </r>
  <r>
    <x v="2"/>
    <x v="109"/>
    <s v="F7BDF50D8410"/>
    <s v="Clothing"/>
    <s v="Men"/>
    <s v="Topwear"/>
    <x v="2"/>
    <x v="6"/>
    <n v="8905302263389"/>
    <s v="BD1395106"/>
    <s v="8905302263389_Blu_S"/>
    <x v="83"/>
    <s v="S"/>
    <n v="4999"/>
    <n v="4999"/>
    <n v="1"/>
    <n v="4999"/>
    <n v="999.8"/>
    <n v="0"/>
    <n v="3999.2"/>
    <s v="Cash"/>
    <x v="68"/>
  </r>
  <r>
    <x v="2"/>
    <x v="109"/>
    <s v="12438F66160E"/>
    <s v="Clothing"/>
    <s v="Men"/>
    <s v="Topwear"/>
    <x v="2"/>
    <x v="6"/>
    <n v="8905302263330"/>
    <s v="BD1395008"/>
    <s v="8905302263330_Ora_L"/>
    <x v="90"/>
    <s v="L"/>
    <n v="4999"/>
    <n v="4999"/>
    <n v="1"/>
    <n v="4999"/>
    <n v="999.8"/>
    <n v="0"/>
    <n v="3999.2"/>
    <s v="Cash"/>
    <x v="49"/>
  </r>
  <r>
    <x v="2"/>
    <x v="109"/>
    <s v="83AFB14CD121"/>
    <s v="Clothing"/>
    <s v="Men"/>
    <s v="Bottomwear"/>
    <x v="3"/>
    <x v="6"/>
    <n v="8905302263364"/>
    <s v="BD1395093"/>
    <s v="8905302263364_Bla_XL"/>
    <x v="87"/>
    <s v="XL"/>
    <n v="7999"/>
    <n v="7999"/>
    <n v="1"/>
    <n v="7999"/>
    <n v="2399.6999999999998"/>
    <n v="0"/>
    <n v="5599.3"/>
    <s v="Cash, UPI"/>
    <x v="42"/>
  </r>
  <r>
    <x v="1"/>
    <x v="110"/>
    <s v="DEA586C60753"/>
    <s v="Clothing"/>
    <s v="Men"/>
    <s v="Bottomwear"/>
    <x v="3"/>
    <x v="6"/>
    <n v="8905302263393"/>
    <s v="BD1395123"/>
    <s v="8905302263393_Blu_L"/>
    <x v="116"/>
    <s v="L"/>
    <n v="6999"/>
    <n v="6999"/>
    <n v="1"/>
    <n v="6999"/>
    <n v="2099.6999999999998"/>
    <n v="0"/>
    <n v="4899.3"/>
    <s v="Credit Note Issued [-], Credit Note Received"/>
    <x v="69"/>
  </r>
  <r>
    <x v="0"/>
    <x v="110"/>
    <s v="318ECC2B18BB"/>
    <s v="Clothing"/>
    <s v="Men"/>
    <s v="Bottomwear"/>
    <x v="4"/>
    <x v="6"/>
    <n v="8905302263218"/>
    <s v="BD1385615"/>
    <s v="8905302263218_Gre_XXL"/>
    <x v="111"/>
    <s v="XXL"/>
    <n v="4999"/>
    <n v="4999"/>
    <n v="1"/>
    <n v="4999"/>
    <n v="1999.6"/>
    <n v="0"/>
    <n v="2999.4"/>
    <s v="Pinelab UPI"/>
    <x v="60"/>
  </r>
  <r>
    <x v="0"/>
    <x v="110"/>
    <s v="318ECC2B18BB"/>
    <s v="Clothing"/>
    <s v="Men"/>
    <s v="Bottomwear"/>
    <x v="4"/>
    <x v="6"/>
    <n v="8905302263223"/>
    <s v="BD1385617"/>
    <s v="8905302263223_Blu_XXL"/>
    <x v="117"/>
    <s v="XXL"/>
    <n v="4999"/>
    <n v="4999"/>
    <n v="1"/>
    <n v="4999"/>
    <n v="1999.6"/>
    <n v="0"/>
    <n v="2999.4"/>
    <s v="Pinelab UPI"/>
    <x v="70"/>
  </r>
  <r>
    <x v="0"/>
    <x v="110"/>
    <s v="2F46872890E3"/>
    <s v="Clothing"/>
    <s v="Men"/>
    <s v="Topwear"/>
    <x v="0"/>
    <x v="6"/>
    <n v="8905202264903"/>
    <s v="BD1358809"/>
    <s v="8905202264903_Blu_XXL"/>
    <x v="118"/>
    <s v="XXL"/>
    <n v="2995"/>
    <n v="2995"/>
    <n v="1"/>
    <n v="2995"/>
    <n v="1198"/>
    <n v="0"/>
    <n v="1797"/>
    <s v="Pinelab UPI"/>
    <x v="15"/>
  </r>
  <r>
    <x v="0"/>
    <x v="110"/>
    <s v="8316B0D79FBC"/>
    <s v="Clothing"/>
    <s v="Men"/>
    <s v="Topwear"/>
    <x v="2"/>
    <x v="6"/>
    <n v="8905302263295"/>
    <s v="BD1394019"/>
    <s v="8905302263295_Blu_M"/>
    <x v="102"/>
    <s v="M"/>
    <n v="6999"/>
    <n v="6999"/>
    <n v="1"/>
    <n v="6999"/>
    <n v="1399.8"/>
    <n v="0"/>
    <n v="5599.2"/>
    <s v="Cash"/>
    <x v="71"/>
  </r>
  <r>
    <x v="2"/>
    <x v="110"/>
    <s v="0D124DDB1FE7"/>
    <s v="Clothing"/>
    <s v="Men"/>
    <s v="Topwear"/>
    <x v="0"/>
    <x v="6"/>
    <n v="8905202264705"/>
    <s v="BD1358784"/>
    <s v="8905202264705_Whi_Onesize"/>
    <x v="57"/>
    <s v="Onesize"/>
    <n v="3495"/>
    <n v="3495"/>
    <n v="1"/>
    <n v="3495"/>
    <n v="1398"/>
    <n v="0"/>
    <n v="2097"/>
    <s v="UPI"/>
    <x v="35"/>
  </r>
  <r>
    <x v="0"/>
    <x v="111"/>
    <s v="31A9FB400BA2"/>
    <s v="Clothing"/>
    <s v="Men"/>
    <s v="Topwear"/>
    <x v="0"/>
    <x v="6"/>
    <n v="8905202269106"/>
    <s v="BD1358754"/>
    <s v="8905202269106_Whi_XL"/>
    <x v="11"/>
    <s v="XL"/>
    <n v="3495"/>
    <n v="3495"/>
    <n v="1"/>
    <n v="3495"/>
    <n v="1398"/>
    <n v="0"/>
    <n v="2097"/>
    <s v="Pinelab Card"/>
    <x v="8"/>
  </r>
  <r>
    <x v="0"/>
    <x v="112"/>
    <s v="28DFA5E6F891"/>
    <s v="Clothing"/>
    <s v="Men"/>
    <s v="Topwear"/>
    <x v="0"/>
    <x v="6"/>
    <n v="8905202269298"/>
    <s v="BD1358767"/>
    <n v="8905202269298"/>
    <x v="37"/>
    <s v="S"/>
    <n v="3495"/>
    <n v="3495"/>
    <n v="1"/>
    <n v="3495"/>
    <n v="1398"/>
    <n v="0"/>
    <n v="2097"/>
    <s v="Credit Note Received, Pinelab Card"/>
    <x v="32"/>
  </r>
  <r>
    <x v="2"/>
    <x v="112"/>
    <s v="87FB494BD825"/>
    <s v="Clothing"/>
    <s v="Men"/>
    <s v="Topwear"/>
    <x v="0"/>
    <x v="6"/>
    <n v="8905202264729"/>
    <s v="BD1358785"/>
    <n v="8905202264729"/>
    <x v="9"/>
    <s v="Onesize"/>
    <n v="2995"/>
    <n v="2995"/>
    <n v="1"/>
    <n v="2995"/>
    <n v="1198"/>
    <n v="0"/>
    <n v="1797"/>
    <s v="Cash"/>
    <x v="9"/>
  </r>
  <r>
    <x v="3"/>
    <x v="113"/>
    <s v="C8B3C1D6381C"/>
    <s v="Clothing"/>
    <s v="Men"/>
    <s v="Topwear"/>
    <x v="0"/>
    <x v="6"/>
    <n v="8905202264842"/>
    <s v="BD1358792"/>
    <s v="8905202264842_Bla_M"/>
    <x v="13"/>
    <s v="M"/>
    <n v="3995"/>
    <n v="3995"/>
    <n v="1"/>
    <n v="3995"/>
    <n v="1598"/>
    <n v="0"/>
    <n v="2397"/>
    <s v="Card"/>
    <x v="18"/>
  </r>
  <r>
    <x v="1"/>
    <x v="113"/>
    <s v="5578BA03A2E4"/>
    <s v="Clothing"/>
    <s v="Men"/>
    <s v="Topwear"/>
    <x v="0"/>
    <x v="6"/>
    <n v="8905202269397"/>
    <s v="BD1358751"/>
    <n v="8905202269397"/>
    <x v="37"/>
    <s v="S"/>
    <n v="4495"/>
    <n v="4495"/>
    <n v="1"/>
    <n v="4495"/>
    <n v="1798"/>
    <n v="0"/>
    <n v="2697"/>
    <s v="Card"/>
    <x v="10"/>
  </r>
  <r>
    <x v="0"/>
    <x v="113"/>
    <s v="3E5EA96D2D39"/>
    <s v="Clothing"/>
    <s v="Men"/>
    <s v="Bottomwear"/>
    <x v="3"/>
    <x v="6"/>
    <n v="8905302263399"/>
    <s v="BD1411062"/>
    <s v="8905302263399_Blu_S"/>
    <x v="119"/>
    <s v="S"/>
    <n v="7999"/>
    <n v="7999"/>
    <n v="1"/>
    <n v="7999"/>
    <n v="2399.6999999999998"/>
    <n v="0"/>
    <n v="5599.3"/>
    <s v="Pinelab Card"/>
    <x v="61"/>
  </r>
  <r>
    <x v="1"/>
    <x v="114"/>
    <s v="8DE6B3B292DF"/>
    <s v="Clothing"/>
    <s v="Men"/>
    <s v="Topwear"/>
    <x v="0"/>
    <x v="6"/>
    <n v="8905302263379"/>
    <s v="BD1395101"/>
    <s v="8905302263379_Bla_M"/>
    <x v="13"/>
    <s v="M"/>
    <n v="3999"/>
    <n v="3999"/>
    <n v="1"/>
    <n v="3999"/>
    <n v="1599.6"/>
    <n v="479.88"/>
    <n v="1919.52"/>
    <s v="Card"/>
    <x v="48"/>
  </r>
  <r>
    <x v="1"/>
    <x v="114"/>
    <s v="83AFB14CD121"/>
    <s v="Clothing"/>
    <s v="Men"/>
    <s v="Bottomwear"/>
    <x v="3"/>
    <x v="6"/>
    <n v="8905302263392"/>
    <s v="BD1395122"/>
    <s v="8905302263392_Blu_M"/>
    <x v="76"/>
    <s v="M"/>
    <n v="6999"/>
    <n v="6999"/>
    <n v="1"/>
    <n v="6999"/>
    <n v="2099.6999999999998"/>
    <n v="0"/>
    <n v="4899.3"/>
    <s v="Card"/>
    <x v="69"/>
  </r>
  <r>
    <x v="1"/>
    <x v="114"/>
    <s v="83AFB14CD121"/>
    <s v="Clothing"/>
    <s v="Men"/>
    <s v="Bottomwear"/>
    <x v="3"/>
    <x v="6"/>
    <n v="8905302263399"/>
    <s v="BD1411062"/>
    <s v="8905302263399_Blu_S"/>
    <x v="119"/>
    <s v="S"/>
    <n v="7999"/>
    <n v="7999"/>
    <n v="1"/>
    <n v="7999"/>
    <n v="2399.6999999999998"/>
    <n v="0"/>
    <n v="5599.3"/>
    <s v="Pinelab Card"/>
    <x v="61"/>
  </r>
  <r>
    <x v="0"/>
    <x v="114"/>
    <s v="4FC90ED13B79"/>
    <s v="Clothing"/>
    <s v="Men"/>
    <s v="Bottomwear"/>
    <x v="3"/>
    <x v="6"/>
    <n v="8905302263318"/>
    <s v="BD1394034"/>
    <s v="8905302263318_Bla_M"/>
    <x v="77"/>
    <s v="M"/>
    <n v="6999"/>
    <n v="6999"/>
    <n v="1"/>
    <n v="6999"/>
    <n v="2099.6999999999998"/>
    <n v="0"/>
    <n v="4899.3"/>
    <s v="Pinelab Card"/>
    <x v="47"/>
  </r>
  <r>
    <x v="0"/>
    <x v="114"/>
    <s v="4FC90ED13B79"/>
    <s v="Clothing"/>
    <s v="Men"/>
    <s v="Topwear"/>
    <x v="2"/>
    <x v="6"/>
    <n v="8905302263241"/>
    <s v="BD1385632"/>
    <s v="8905302263241_Blu_M"/>
    <x v="102"/>
    <s v="M"/>
    <n v="5999"/>
    <n v="5999"/>
    <n v="1"/>
    <n v="5999"/>
    <n v="1199.8"/>
    <n v="0"/>
    <n v="4799.2"/>
    <s v="Pinelab Card"/>
    <x v="33"/>
  </r>
  <r>
    <x v="0"/>
    <x v="114"/>
    <s v="21FEBEB03654"/>
    <s v="Clothing"/>
    <s v="Men"/>
    <s v="Topwear"/>
    <x v="0"/>
    <x v="6"/>
    <n v="8905302263383"/>
    <s v="BD1395114"/>
    <s v="8905302263383_Blu_L"/>
    <x v="18"/>
    <s v="L"/>
    <n v="3999"/>
    <n v="3999"/>
    <n v="1"/>
    <n v="3999"/>
    <n v="1599.6"/>
    <n v="0"/>
    <n v="2399.4"/>
    <s v="Pinelab UPI"/>
    <x v="56"/>
  </r>
  <r>
    <x v="0"/>
    <x v="114"/>
    <s v="5DC7CB6470F3"/>
    <s v="Clothing"/>
    <s v="Men"/>
    <s v="Bottomwear"/>
    <x v="3"/>
    <x v="6"/>
    <n v="8905302263200"/>
    <s v="BD1385597"/>
    <s v="8905302263200_Bla_XL"/>
    <x v="73"/>
    <s v="XL"/>
    <n v="6999"/>
    <n v="6999"/>
    <n v="1"/>
    <n v="6999"/>
    <n v="2099.6999999999998"/>
    <n v="0"/>
    <n v="4899.3"/>
    <s v="Pinelab Card"/>
    <x v="36"/>
  </r>
  <r>
    <x v="0"/>
    <x v="114"/>
    <s v="5DC7CB6470F3"/>
    <s v="Clothing"/>
    <s v="Men"/>
    <s v="Topwear"/>
    <x v="0"/>
    <x v="6"/>
    <n v="8905202264743"/>
    <s v="BD1358787"/>
    <s v="8905202264743_Whi_M"/>
    <x v="5"/>
    <s v="M"/>
    <n v="2495"/>
    <n v="2495"/>
    <n v="1"/>
    <n v="2495"/>
    <n v="998"/>
    <n v="0"/>
    <n v="1497"/>
    <s v="Pinelab Card"/>
    <x v="16"/>
  </r>
  <r>
    <x v="0"/>
    <x v="114"/>
    <s v="951EBE2365FB"/>
    <s v="Clothing"/>
    <s v="Women"/>
    <s v="Topwear"/>
    <x v="0"/>
    <x v="6"/>
    <n v="8905202268918"/>
    <s v="BD1358886"/>
    <n v="8905202268918"/>
    <x v="47"/>
    <s v="L"/>
    <n v="1995"/>
    <n v="1995"/>
    <n v="1"/>
    <n v="1995"/>
    <n v="798"/>
    <n v="17.13"/>
    <n v="1179.8699999999999"/>
    <s v="Pinelab Card"/>
    <x v="7"/>
  </r>
  <r>
    <x v="0"/>
    <x v="114"/>
    <s v="951EBE2365FB"/>
    <s v="Clothing"/>
    <s v="Women"/>
    <s v="Topwear"/>
    <x v="0"/>
    <x v="6"/>
    <n v="8905202269267"/>
    <s v="BD1358893"/>
    <n v="8905202269267"/>
    <x v="120"/>
    <s v="L"/>
    <n v="1995"/>
    <n v="1995"/>
    <n v="1"/>
    <n v="1995"/>
    <n v="798"/>
    <n v="17.13"/>
    <n v="1179.8699999999999"/>
    <s v="Pinelab Card"/>
    <x v="17"/>
  </r>
  <r>
    <x v="0"/>
    <x v="114"/>
    <s v="238C4B73D7A2"/>
    <s v="Clothing"/>
    <s v="Men"/>
    <s v="Topwear"/>
    <x v="0"/>
    <x v="6"/>
    <n v="8905202264606"/>
    <s v="BD1358771"/>
    <n v="8905202264606"/>
    <x v="22"/>
    <s v="L"/>
    <n v="3495"/>
    <n v="3495"/>
    <n v="1"/>
    <n v="3495"/>
    <n v="1398"/>
    <n v="0"/>
    <n v="2097"/>
    <s v="Pinelab UPI"/>
    <x v="23"/>
  </r>
  <r>
    <x v="0"/>
    <x v="114"/>
    <s v="238C4B73D7A2"/>
    <s v="Clothing"/>
    <s v="Men"/>
    <s v="Topwear"/>
    <x v="0"/>
    <x v="6"/>
    <n v="8905202264927"/>
    <s v="BD1358806"/>
    <s v="8905202264927_Blu_L"/>
    <x v="18"/>
    <s v="L"/>
    <n v="2995"/>
    <n v="2995"/>
    <n v="1"/>
    <n v="2995"/>
    <n v="1198"/>
    <n v="0"/>
    <n v="1797"/>
    <s v="Pinelab UPI"/>
    <x v="15"/>
  </r>
  <r>
    <x v="3"/>
    <x v="96"/>
    <s v="92FB481741AA"/>
    <s v="Clothing"/>
    <s v="Men"/>
    <s v="Topwear"/>
    <x v="2"/>
    <x v="6"/>
    <n v="8905302263344"/>
    <s v="BD1395037"/>
    <s v="8905302263344_Whi_S"/>
    <x v="91"/>
    <s v="S"/>
    <n v="5999"/>
    <n v="5999"/>
    <n v="1"/>
    <n v="5999"/>
    <n v="1199.8"/>
    <n v="0"/>
    <n v="4799.2"/>
    <s v="Cash, Pinelab Card"/>
    <x v="43"/>
  </r>
  <r>
    <x v="3"/>
    <x v="96"/>
    <s v="3466D3DB23FA"/>
    <s v="Clothing"/>
    <s v="Men"/>
    <s v="Topwear"/>
    <x v="2"/>
    <x v="6"/>
    <n v="8905302263389"/>
    <s v="BD1395106"/>
    <s v="8905302263389_Blu_S"/>
    <x v="83"/>
    <s v="S"/>
    <n v="4999"/>
    <n v="4999"/>
    <n v="1"/>
    <n v="4999"/>
    <n v="999.8"/>
    <n v="0"/>
    <n v="3999.2"/>
    <s v="Cash"/>
    <x v="68"/>
  </r>
  <r>
    <x v="1"/>
    <x v="96"/>
    <s v="E69E72187492"/>
    <s v="Clothing"/>
    <s v="Men"/>
    <s v="Bottomwear"/>
    <x v="3"/>
    <x v="6"/>
    <n v="8905302263357"/>
    <s v="BD1395071"/>
    <s v="8905302263357_Blu_S"/>
    <x v="121"/>
    <s v="S"/>
    <n v="7999"/>
    <n v="7999"/>
    <n v="1"/>
    <n v="7999"/>
    <n v="2399.6999999999998"/>
    <n v="112.14"/>
    <n v="5487.16"/>
    <s v="Pinelab UPI"/>
    <x v="50"/>
  </r>
  <r>
    <x v="1"/>
    <x v="96"/>
    <s v="E69E72187492"/>
    <s v="Clothing"/>
    <s v="Men"/>
    <s v="Topwear"/>
    <x v="2"/>
    <x v="6"/>
    <n v="8905302263283"/>
    <s v="BD1394003"/>
    <s v="8905302263283_Blu_L"/>
    <x v="98"/>
    <s v="L"/>
    <n v="5999"/>
    <n v="5999"/>
    <n v="1"/>
    <n v="5999"/>
    <n v="1199.8"/>
    <n v="96.11"/>
    <n v="4703.09"/>
    <s v="Pinelab UPI"/>
    <x v="72"/>
  </r>
  <r>
    <x v="1"/>
    <x v="96"/>
    <s v="59F40FEBA1CB"/>
    <s v="Clothing"/>
    <s v="Men"/>
    <s v="Topwear"/>
    <x v="2"/>
    <x v="6"/>
    <n v="8905302263300"/>
    <s v="BD1394026"/>
    <s v="8905302263300_Bro_M"/>
    <x v="122"/>
    <s v="M"/>
    <n v="6999"/>
    <n v="6999"/>
    <n v="1"/>
    <n v="6999"/>
    <n v="1399.8"/>
    <n v="0"/>
    <n v="5599.2"/>
    <s v="Card"/>
    <x v="73"/>
  </r>
  <r>
    <x v="1"/>
    <x v="96"/>
    <s v="A2E8FDF5CFA8"/>
    <s v="Clothing"/>
    <s v="Men"/>
    <s v="Topwear"/>
    <x v="0"/>
    <x v="6"/>
    <n v="8905202269090"/>
    <s v="BD1358739"/>
    <s v="8905202269090_Whi_S"/>
    <x v="53"/>
    <s v="S"/>
    <n v="3495"/>
    <n v="3495"/>
    <n v="1"/>
    <n v="3495"/>
    <n v="1398"/>
    <n v="0"/>
    <n v="2097"/>
    <s v="Pinelab Card"/>
    <x v="8"/>
  </r>
  <r>
    <x v="0"/>
    <x v="96"/>
    <s v="75B483DA2061"/>
    <s v="Clothing"/>
    <s v="Men"/>
    <s v="Topwear"/>
    <x v="2"/>
    <x v="6"/>
    <n v="8905302263239"/>
    <s v="BD1385631"/>
    <s v="8905302263239_Cha_XL"/>
    <x v="48"/>
    <s v="XL"/>
    <n v="5999"/>
    <n v="5999"/>
    <n v="1"/>
    <n v="5999"/>
    <n v="1199.8"/>
    <n v="0"/>
    <n v="4799.2"/>
    <s v="Pinelab Card"/>
    <x v="25"/>
  </r>
  <r>
    <x v="0"/>
    <x v="96"/>
    <s v="80A6B050B1CA"/>
    <s v="Clothing"/>
    <s v="Men"/>
    <s v="Topwear"/>
    <x v="2"/>
    <x v="6"/>
    <n v="8905302263254"/>
    <s v="BD1392644"/>
    <s v="8905302263254_Gre_M"/>
    <x v="82"/>
    <s v="M"/>
    <n v="4999"/>
    <n v="4999"/>
    <n v="1"/>
    <n v="4999"/>
    <n v="999.8"/>
    <n v="0"/>
    <n v="3999.2"/>
    <s v="Pinelab Card"/>
    <x v="40"/>
  </r>
  <r>
    <x v="0"/>
    <x v="96"/>
    <s v="9536D20AE93E"/>
    <s v="Clothing"/>
    <s v="Men"/>
    <s v="Topwear"/>
    <x v="0"/>
    <x v="6"/>
    <n v="8905302263384"/>
    <s v="BD1395109"/>
    <s v="8905302263384_Blu_XL"/>
    <x v="23"/>
    <s v="XL"/>
    <n v="3999"/>
    <n v="3999"/>
    <n v="1"/>
    <n v="3999"/>
    <n v="1599.6"/>
    <n v="0"/>
    <n v="2399.4"/>
    <s v="Pinelab Card"/>
    <x v="56"/>
  </r>
  <r>
    <x v="0"/>
    <x v="96"/>
    <s v="3D141B651E77"/>
    <s v="Clothing"/>
    <s v="Men"/>
    <s v="Topwear"/>
    <x v="0"/>
    <x v="6"/>
    <n v="8905302263382"/>
    <s v="BD1395113"/>
    <s v="8905302263382_Blu_M"/>
    <x v="12"/>
    <s v="M"/>
    <n v="3999"/>
    <n v="3999"/>
    <n v="1"/>
    <n v="3999"/>
    <n v="1599.6"/>
    <n v="0"/>
    <n v="2399.4"/>
    <s v="Credit Note Received, Credit Note Received , Cash"/>
    <x v="56"/>
  </r>
  <r>
    <x v="0"/>
    <x v="96"/>
    <s v="D502BA14E487"/>
    <s v="Clothing"/>
    <s v="Men"/>
    <s v="Topwear"/>
    <x v="2"/>
    <x v="6"/>
    <n v="8905302263256"/>
    <s v="BD1392653"/>
    <s v="8905302263256_Gre_M"/>
    <x v="25"/>
    <s v="M"/>
    <n v="5999"/>
    <n v="5999"/>
    <n v="1"/>
    <n v="5999"/>
    <n v="1199.8"/>
    <n v="145.65"/>
    <n v="4653.55"/>
    <s v="DistrictPay(Temp)"/>
    <x v="46"/>
  </r>
  <r>
    <x v="2"/>
    <x v="96"/>
    <s v="63DD4CDD8781"/>
    <s v="Clothing"/>
    <s v="Men"/>
    <s v="Topwear"/>
    <x v="0"/>
    <x v="6"/>
    <n v="8905202269106"/>
    <s v="BD1358754"/>
    <s v="8905202269106_Whi_XL"/>
    <x v="11"/>
    <s v="XL"/>
    <n v="3495"/>
    <n v="3495"/>
    <n v="1"/>
    <n v="3495"/>
    <n v="1398"/>
    <n v="0"/>
    <n v="2097"/>
    <s v="Cash"/>
    <x v="8"/>
  </r>
  <r>
    <x v="1"/>
    <x v="115"/>
    <s v="F46AE0B7B393"/>
    <s v="Clothing"/>
    <s v="Men"/>
    <s v="Topwear"/>
    <x v="0"/>
    <x v="6"/>
    <n v="8905202264729"/>
    <s v="BD1358785"/>
    <n v="8905202264729"/>
    <x v="9"/>
    <s v="Onesize"/>
    <n v="2995"/>
    <n v="2995"/>
    <n v="1"/>
    <n v="2995"/>
    <n v="1198"/>
    <n v="0"/>
    <n v="1797"/>
    <s v="Cash"/>
    <x v="9"/>
  </r>
  <r>
    <x v="1"/>
    <x v="115"/>
    <s v="F46AE0B7B393"/>
    <s v="Clothing"/>
    <s v="Men"/>
    <s v="Topwear"/>
    <x v="0"/>
    <x v="6"/>
    <n v="8905202269311"/>
    <s v="BD1358775"/>
    <s v="8905202269311_Bla_XXL"/>
    <x v="44"/>
    <s v="XXL"/>
    <n v="3495"/>
    <n v="3495"/>
    <n v="1"/>
    <n v="3495"/>
    <n v="1398"/>
    <n v="0"/>
    <n v="2097"/>
    <s v="Cash"/>
    <x v="32"/>
  </r>
  <r>
    <x v="1"/>
    <x v="115"/>
    <s v="22D3A5466C30"/>
    <s v="Clothing"/>
    <s v="Men"/>
    <s v="Bottomwear"/>
    <x v="3"/>
    <x v="6"/>
    <n v="8905302263400"/>
    <s v="BD1411063"/>
    <s v="8905302263400_Blu_M"/>
    <x v="112"/>
    <s v="M"/>
    <n v="7999"/>
    <n v="7999"/>
    <n v="1"/>
    <n v="7999"/>
    <n v="2399.6999999999998"/>
    <n v="0"/>
    <n v="5599.3"/>
    <s v="Pinelab Card"/>
    <x v="61"/>
  </r>
  <r>
    <x v="1"/>
    <x v="115"/>
    <m/>
    <s v="Clothing"/>
    <s v="Men"/>
    <s v="Topwear"/>
    <x v="0"/>
    <x v="6"/>
    <n v="8905202269076"/>
    <s v="BD1358752"/>
    <s v="8905202269076_Whi_L"/>
    <x v="8"/>
    <s v="L"/>
    <n v="3495"/>
    <n v="3495"/>
    <n v="1"/>
    <n v="3495"/>
    <n v="1398"/>
    <n v="0"/>
    <n v="2097"/>
    <s v="Pinelab Card"/>
    <x v="8"/>
  </r>
  <r>
    <x v="1"/>
    <x v="115"/>
    <s v="DAD293A17763"/>
    <s v="Clothing"/>
    <s v="Men"/>
    <s v="Bottomwear"/>
    <x v="3"/>
    <x v="6"/>
    <n v="8905302263358"/>
    <s v="BD1395070"/>
    <s v="8905302263358_Blu_M"/>
    <x v="76"/>
    <s v="M"/>
    <n v="7999"/>
    <n v="7999"/>
    <n v="1"/>
    <n v="7999"/>
    <n v="2399.6999999999998"/>
    <n v="0"/>
    <n v="5599.3"/>
    <s v="Card"/>
    <x v="50"/>
  </r>
  <r>
    <x v="0"/>
    <x v="115"/>
    <s v="B257A0FDC034"/>
    <s v="Clothing"/>
    <s v="Men"/>
    <s v="Bottomwear"/>
    <x v="3"/>
    <x v="6"/>
    <n v="8905302263406"/>
    <s v="BD1411068"/>
    <s v="8905302263406_Bla_L"/>
    <x v="123"/>
    <s v="L"/>
    <n v="6999"/>
    <n v="6999"/>
    <n v="1"/>
    <n v="6999"/>
    <n v="2099.6999999999998"/>
    <n v="0"/>
    <n v="4899.3"/>
    <s v="Pinelab UPI"/>
    <x v="66"/>
  </r>
  <r>
    <x v="0"/>
    <x v="115"/>
    <s v="30648FB998AD"/>
    <s v="Clothing"/>
    <s v="Men"/>
    <s v="Bottomwear"/>
    <x v="3"/>
    <x v="6"/>
    <n v="8905302263364"/>
    <s v="BD1395093"/>
    <s v="8905302263364_Bla_XL"/>
    <x v="87"/>
    <s v="XL"/>
    <n v="7999"/>
    <n v="7999"/>
    <n v="1"/>
    <n v="7999"/>
    <n v="2399.6999999999998"/>
    <n v="0"/>
    <n v="5599.3"/>
    <s v="Credit Note Received, Cash"/>
    <x v="42"/>
  </r>
  <r>
    <x v="2"/>
    <x v="115"/>
    <s v="83AFB14CD121"/>
    <s v="Clothing"/>
    <s v="Men"/>
    <s v="Topwear"/>
    <x v="0"/>
    <x v="6"/>
    <n v="8905202264798"/>
    <s v="BD1358797"/>
    <n v="8905202264798"/>
    <x v="124"/>
    <s v="M"/>
    <n v="4495"/>
    <n v="4495"/>
    <n v="1"/>
    <n v="4495"/>
    <n v="1798"/>
    <n v="0"/>
    <n v="2697"/>
    <s v="Card"/>
    <x v="12"/>
  </r>
  <r>
    <x v="3"/>
    <x v="116"/>
    <s v="83AFB14CD121"/>
    <s v="Clothing"/>
    <s v="Men"/>
    <s v="Topwear"/>
    <x v="2"/>
    <x v="6"/>
    <n v="8905302263417"/>
    <s v="BD1411075"/>
    <s v="8905302263417_Bla_XL"/>
    <x v="125"/>
    <s v="XL"/>
    <n v="6999"/>
    <n v="6999"/>
    <n v="1"/>
    <n v="6999"/>
    <n v="1399.8"/>
    <n v="0"/>
    <n v="5599.2"/>
    <s v="Pinelab Card"/>
    <x v="74"/>
  </r>
  <r>
    <x v="0"/>
    <x v="116"/>
    <s v="0FAB81D87331"/>
    <s v="Clothing"/>
    <s v="Men"/>
    <s v="Topwear"/>
    <x v="0"/>
    <x v="6"/>
    <n v="8905202264873"/>
    <s v="BD1358793"/>
    <s v="8905202264873_Bla_L"/>
    <x v="22"/>
    <s v="L"/>
    <n v="3995"/>
    <n v="3995"/>
    <n v="1"/>
    <n v="3995"/>
    <n v="1598"/>
    <n v="0"/>
    <n v="2397"/>
    <s v="Pinelab Card"/>
    <x v="18"/>
  </r>
  <r>
    <x v="0"/>
    <x v="116"/>
    <s v="0FAB81D87331"/>
    <s v="Clothing"/>
    <s v="Men"/>
    <s v="Topwear"/>
    <x v="0"/>
    <x v="6"/>
    <n v="8905202269106"/>
    <s v="BD1358754"/>
    <s v="8905202269106_Whi_XL"/>
    <x v="11"/>
    <s v="XL"/>
    <n v="3495"/>
    <n v="3495"/>
    <n v="1"/>
    <n v="3495"/>
    <n v="1398"/>
    <n v="0"/>
    <n v="2097"/>
    <s v="Pinelab Card"/>
    <x v="8"/>
  </r>
  <r>
    <x v="0"/>
    <x v="116"/>
    <s v="6DCA3DAF59AA"/>
    <s v="Clothing"/>
    <s v="Men"/>
    <s v="Bottomwear"/>
    <x v="3"/>
    <x v="6"/>
    <n v="8905302263202"/>
    <s v="BD1385591"/>
    <s v="8905302263202_Bla_M"/>
    <x v="60"/>
    <s v="M"/>
    <n v="6999"/>
    <n v="6999"/>
    <n v="1"/>
    <n v="6999"/>
    <n v="2099.6999999999998"/>
    <n v="0"/>
    <n v="4899.3"/>
    <s v="Cash"/>
    <x v="31"/>
  </r>
  <r>
    <x v="0"/>
    <x v="116"/>
    <s v="DCAFEA717160"/>
    <s v="Clothing"/>
    <s v="Men"/>
    <s v="Topwear"/>
    <x v="2"/>
    <x v="6"/>
    <n v="8905302263252"/>
    <s v="BD1392647"/>
    <s v="8905302263252_Bla_L"/>
    <x v="126"/>
    <s v="L"/>
    <n v="4999"/>
    <n v="4999"/>
    <n v="1"/>
    <n v="4999"/>
    <n v="999.8"/>
    <n v="0"/>
    <n v="3999.2"/>
    <s v="Cash"/>
    <x v="38"/>
  </r>
  <r>
    <x v="0"/>
    <x v="116"/>
    <s v="2DE35A24AEF5"/>
    <s v="Clothing"/>
    <s v="Men"/>
    <s v="Topwear"/>
    <x v="0"/>
    <x v="6"/>
    <n v="8905302263377"/>
    <s v="BD1395102"/>
    <s v="8905302263377_Pin_L"/>
    <x v="127"/>
    <s v="L"/>
    <n v="3999"/>
    <n v="3999"/>
    <n v="1"/>
    <n v="3999"/>
    <n v="1599.6"/>
    <n v="0"/>
    <n v="2399.4"/>
    <s v="Pinelab UPI"/>
    <x v="53"/>
  </r>
  <r>
    <x v="2"/>
    <x v="116"/>
    <s v="F7FA7E7B4686"/>
    <s v="Clothing"/>
    <s v="Men"/>
    <s v="Bottomwear"/>
    <x v="3"/>
    <x v="6"/>
    <n v="8905302263339"/>
    <s v="BD1417302"/>
    <s v="8905302263339_Blu_L"/>
    <x v="128"/>
    <s v="L"/>
    <n v="7999"/>
    <n v="7999"/>
    <n v="1"/>
    <n v="7999"/>
    <n v="2399.6999999999998"/>
    <n v="0"/>
    <n v="5599.3"/>
    <s v="Pinelab Card"/>
    <x v="28"/>
  </r>
  <r>
    <x v="0"/>
    <x v="117"/>
    <s v="3D2E8D722156"/>
    <s v="Clothing"/>
    <s v="Men"/>
    <s v="Topwear"/>
    <x v="0"/>
    <x v="6"/>
    <n v="8905202264828"/>
    <s v="BD1358790"/>
    <n v="8905202264828"/>
    <x v="109"/>
    <s v="L"/>
    <n v="4495"/>
    <n v="4495"/>
    <n v="1"/>
    <n v="4495"/>
    <n v="1798"/>
    <n v="0"/>
    <n v="2697"/>
    <s v="Cash"/>
    <x v="12"/>
  </r>
  <r>
    <x v="0"/>
    <x v="117"/>
    <s v="9AFCF395E47F"/>
    <s v="Clothing"/>
    <s v="Men"/>
    <s v="Topwear"/>
    <x v="0"/>
    <x v="6"/>
    <n v="8905302263384"/>
    <s v="BD1395109"/>
    <s v="8905302263384_Blu_XL"/>
    <x v="23"/>
    <s v="XL"/>
    <n v="3999"/>
    <n v="3999"/>
    <n v="1"/>
    <n v="3999"/>
    <n v="1599.6"/>
    <n v="0"/>
    <n v="2399.4"/>
    <s v="Pinelab UPI"/>
    <x v="56"/>
  </r>
  <r>
    <x v="0"/>
    <x v="117"/>
    <s v="E9B3DF4015DA"/>
    <s v="Clothing"/>
    <s v="Men"/>
    <s v="Topwear"/>
    <x v="2"/>
    <x v="6"/>
    <n v="8905302263296"/>
    <s v="BD1394017"/>
    <s v="8905302263296_Blu_L"/>
    <x v="98"/>
    <s v="L"/>
    <n v="6999"/>
    <n v="6999"/>
    <n v="1"/>
    <n v="6999"/>
    <n v="1399.8"/>
    <n v="0"/>
    <n v="5599.2"/>
    <s v="Pinelab Card"/>
    <x v="71"/>
  </r>
  <r>
    <x v="0"/>
    <x v="118"/>
    <s v="52A4656B5EEE"/>
    <s v="Clothing"/>
    <s v="Men"/>
    <s v="Bottomwear"/>
    <x v="3"/>
    <x v="6"/>
    <n v="8905302263362"/>
    <s v="BD1395078"/>
    <s v="8905302263362_Bla_M"/>
    <x v="77"/>
    <s v="M"/>
    <n v="7999"/>
    <n v="7999"/>
    <n v="1"/>
    <n v="7999"/>
    <n v="2399.6999999999998"/>
    <n v="0"/>
    <n v="5599.3"/>
    <s v="Pinelab UPI"/>
    <x v="42"/>
  </r>
  <r>
    <x v="0"/>
    <x v="118"/>
    <s v="D39409E05A79"/>
    <s v="Clothing"/>
    <s v="Men"/>
    <s v="Topwear"/>
    <x v="0"/>
    <x v="6"/>
    <n v="8905202264613"/>
    <s v="BD1358770"/>
    <n v="8905202264613"/>
    <x v="13"/>
    <s v="M"/>
    <n v="3495"/>
    <n v="3495"/>
    <n v="1"/>
    <n v="3495"/>
    <n v="1398"/>
    <n v="419.4"/>
    <n v="1677.6"/>
    <s v="Pinelab UPI"/>
    <x v="23"/>
  </r>
  <r>
    <x v="0"/>
    <x v="118"/>
    <s v="D39409E05A79"/>
    <s v="Clothing"/>
    <s v="Men"/>
    <s v="Topwear"/>
    <x v="0"/>
    <x v="6"/>
    <n v="8905302263379"/>
    <s v="BD1395101"/>
    <s v="8905302263379_Bla_M"/>
    <x v="13"/>
    <s v="M"/>
    <n v="3999"/>
    <n v="3999"/>
    <n v="1"/>
    <n v="3999"/>
    <n v="1599.6"/>
    <n v="479.88"/>
    <n v="1919.52"/>
    <s v="Pinelab UPI"/>
    <x v="48"/>
  </r>
  <r>
    <x v="0"/>
    <x v="118"/>
    <s v="18F494EDB124"/>
    <s v="Clothing"/>
    <s v="Men"/>
    <s v="Topwear"/>
    <x v="2"/>
    <x v="6"/>
    <n v="8905302263236"/>
    <s v="BD1385625"/>
    <s v="8905302263236_Cha_S"/>
    <x v="33"/>
    <s v="S"/>
    <n v="5999"/>
    <n v="5999"/>
    <n v="1"/>
    <n v="5999"/>
    <n v="1199.8"/>
    <n v="666.75"/>
    <n v="4132.45"/>
    <s v="Cash"/>
    <x v="25"/>
  </r>
  <r>
    <x v="3"/>
    <x v="119"/>
    <s v="B20463D41959"/>
    <s v="Clothing"/>
    <s v="Men"/>
    <s v="Topwear"/>
    <x v="2"/>
    <x v="6"/>
    <n v="8905302263345"/>
    <s v="BD1395039"/>
    <s v="8905302263345_Whi_M"/>
    <x v="79"/>
    <s v="M"/>
    <n v="5999"/>
    <n v="5999"/>
    <n v="1"/>
    <n v="5999"/>
    <n v="1199.8"/>
    <n v="0"/>
    <n v="4799.2"/>
    <s v="Cash"/>
    <x v="43"/>
  </r>
  <r>
    <x v="2"/>
    <x v="119"/>
    <s v="8EAFBCAE3FF9"/>
    <s v="Clothing"/>
    <s v="Men"/>
    <s v="Bottomwear"/>
    <x v="3"/>
    <x v="6"/>
    <n v="8905302263363"/>
    <s v="BD1395085"/>
    <s v="8905302263363_Bla_L"/>
    <x v="103"/>
    <s v="L"/>
    <n v="7999"/>
    <n v="7999"/>
    <n v="1"/>
    <n v="7999"/>
    <n v="2399.6999999999998"/>
    <n v="0"/>
    <n v="5599.3"/>
    <s v="Pinelab Card"/>
    <x v="42"/>
  </r>
  <r>
    <x v="2"/>
    <x v="119"/>
    <s v="8EAFBCAE3FF9"/>
    <s v="Clothing"/>
    <s v="Men"/>
    <s v="Topwear"/>
    <x v="2"/>
    <x v="6"/>
    <n v="8905302263390"/>
    <s v="BD1395107"/>
    <s v="8905302263390_Blu_M"/>
    <x v="102"/>
    <s v="M"/>
    <n v="4999"/>
    <n v="4999"/>
    <n v="1"/>
    <n v="4999"/>
    <n v="999.8"/>
    <n v="0"/>
    <n v="3999.2"/>
    <s v="Pinelab Card"/>
    <x v="68"/>
  </r>
  <r>
    <x v="2"/>
    <x v="119"/>
    <s v="5BA1A8614335"/>
    <s v="Clothing"/>
    <s v="Men"/>
    <s v="Topwear"/>
    <x v="0"/>
    <x v="6"/>
    <n v="8905202264705"/>
    <s v="BD1358784"/>
    <s v="8905202264705_Whi_Onesize"/>
    <x v="57"/>
    <s v="Onesize"/>
    <n v="3495"/>
    <n v="3495"/>
    <n v="1"/>
    <n v="3495"/>
    <n v="1398"/>
    <n v="0"/>
    <n v="2097"/>
    <s v="Cash"/>
    <x v="35"/>
  </r>
  <r>
    <x v="3"/>
    <x v="120"/>
    <s v="C42578D78DCA"/>
    <s v="Clothing"/>
    <s v="Men"/>
    <s v="Topwear"/>
    <x v="0"/>
    <x v="6"/>
    <n v="8905202269083"/>
    <s v="BD1358743"/>
    <s v="8905202269083_Whi_M"/>
    <x v="5"/>
    <s v="M"/>
    <n v="3495"/>
    <n v="3495"/>
    <n v="1"/>
    <n v="3495"/>
    <n v="1398"/>
    <n v="0"/>
    <n v="2097"/>
    <s v="Cash"/>
    <x v="8"/>
  </r>
  <r>
    <x v="1"/>
    <x v="120"/>
    <s v="C454D6F0E3C1"/>
    <s v="Clothing"/>
    <s v="Men"/>
    <s v="Topwear"/>
    <x v="0"/>
    <x v="6"/>
    <n v="8905302263376"/>
    <s v="BD1395100"/>
    <s v="8905302263376_Pin_M"/>
    <x v="105"/>
    <s v="M"/>
    <n v="3999"/>
    <n v="3999"/>
    <n v="1"/>
    <n v="3999"/>
    <n v="1599.6"/>
    <n v="0"/>
    <n v="2399.4"/>
    <s v="Cash"/>
    <x v="53"/>
  </r>
  <r>
    <x v="1"/>
    <x v="120"/>
    <s v="EBE010CB74BB"/>
    <s v="Clothing"/>
    <s v="Men"/>
    <s v="Topwear"/>
    <x v="2"/>
    <x v="6"/>
    <n v="8905302263344"/>
    <s v="BD1395037"/>
    <s v="8905302263344_Whi_S"/>
    <x v="91"/>
    <s v="S"/>
    <n v="5999"/>
    <n v="5999"/>
    <n v="1"/>
    <n v="5999"/>
    <n v="1199.8"/>
    <n v="0"/>
    <n v="4799.2"/>
    <s v="Cash, Pinelab UPI"/>
    <x v="43"/>
  </r>
  <r>
    <x v="1"/>
    <x v="120"/>
    <s v="5B389C15F52C"/>
    <s v="Clothing"/>
    <s v="Men"/>
    <s v="Bottomwear"/>
    <x v="3"/>
    <x v="6"/>
    <n v="8905302263314"/>
    <s v="BD1394039"/>
    <s v="8905302263314_Blu_M"/>
    <x v="76"/>
    <s v="M"/>
    <n v="6999"/>
    <n v="6999"/>
    <n v="1"/>
    <n v="6999"/>
    <n v="2099.6999999999998"/>
    <n v="0"/>
    <n v="4899.3"/>
    <s v="Cash"/>
    <x v="41"/>
  </r>
  <r>
    <x v="0"/>
    <x v="120"/>
    <s v="BE5465876DB5"/>
    <s v="Clothing"/>
    <s v="Men"/>
    <s v="Bottomwear"/>
    <x v="3"/>
    <x v="6"/>
    <n v="8905302263192"/>
    <s v="BD1385594"/>
    <s v="8905302263192_Blu_XL"/>
    <x v="65"/>
    <s v="XL"/>
    <n v="7999"/>
    <n v="7999"/>
    <n v="1"/>
    <n v="7999"/>
    <n v="2399.6999999999998"/>
    <n v="0"/>
    <n v="5599.3"/>
    <s v="Pinelab UPI"/>
    <x v="28"/>
  </r>
  <r>
    <x v="3"/>
    <x v="121"/>
    <s v="E4DA7C3AEA66"/>
    <s v="Clothing"/>
    <s v="Men"/>
    <s v="Topwear"/>
    <x v="0"/>
    <x v="6"/>
    <n v="8905202269298"/>
    <s v="BD1358767"/>
    <n v="8905202269298"/>
    <x v="37"/>
    <s v="S"/>
    <n v="3495"/>
    <n v="3495"/>
    <n v="1"/>
    <n v="3495"/>
    <n v="1398"/>
    <n v="0"/>
    <n v="2097"/>
    <s v="Cash"/>
    <x v="32"/>
  </r>
  <r>
    <x v="3"/>
    <x v="121"/>
    <s v="83AFB14CD121"/>
    <s v="Clothing"/>
    <s v="Men"/>
    <s v="Topwear"/>
    <x v="2"/>
    <x v="6"/>
    <n v="8905302263412"/>
    <s v="BD1411069"/>
    <s v="8905302263412_Whi_XL"/>
    <x v="129"/>
    <s v="XL"/>
    <n v="6999"/>
    <n v="6999"/>
    <n v="1"/>
    <n v="6999"/>
    <n v="1399.8"/>
    <n v="0"/>
    <n v="5599.2"/>
    <s v="Cash"/>
    <x v="75"/>
  </r>
  <r>
    <x v="1"/>
    <x v="121"/>
    <s v="227BAD5C24F6"/>
    <s v="Clothing"/>
    <s v="Men"/>
    <s v="Bottomwear"/>
    <x v="3"/>
    <x v="6"/>
    <n v="8905302263360"/>
    <s v="BD1395082"/>
    <s v="8905302263360_Blu_XL"/>
    <x v="92"/>
    <s v="XL"/>
    <n v="7999"/>
    <n v="7999"/>
    <n v="1"/>
    <n v="7999"/>
    <n v="2399.6999999999998"/>
    <n v="0"/>
    <n v="5599.3"/>
    <s v="Card"/>
    <x v="50"/>
  </r>
  <r>
    <x v="1"/>
    <x v="121"/>
    <s v="F7F7F9D8E5D8"/>
    <s v="Clothing"/>
    <s v="Men"/>
    <s v="Topwear"/>
    <x v="2"/>
    <x v="6"/>
    <n v="8905302263286"/>
    <s v="BD1394009"/>
    <s v="8905302263286_Red_L"/>
    <x v="93"/>
    <s v="L"/>
    <n v="5999"/>
    <n v="5999"/>
    <n v="1"/>
    <n v="5999"/>
    <n v="1199.8"/>
    <n v="0"/>
    <n v="4799.2"/>
    <s v="Pinelab Card"/>
    <x v="51"/>
  </r>
  <r>
    <x v="1"/>
    <x v="121"/>
    <s v="34C35F69D273"/>
    <s v="Clothing"/>
    <s v="Men"/>
    <s v="Topwear"/>
    <x v="0"/>
    <x v="6"/>
    <n v="8905302263382"/>
    <s v="BD1395113"/>
    <s v="8905302263382_Blu_M"/>
    <x v="12"/>
    <s v="M"/>
    <n v="3999"/>
    <n v="3999"/>
    <n v="1"/>
    <n v="3999"/>
    <n v="1599.6"/>
    <n v="0"/>
    <n v="2399.4"/>
    <s v="Card"/>
    <x v="56"/>
  </r>
  <r>
    <x v="1"/>
    <x v="121"/>
    <s v="83B0026A732C"/>
    <s v="Clothing"/>
    <s v="Men"/>
    <s v="Bottomwear"/>
    <x v="3"/>
    <x v="6"/>
    <n v="8905302263399"/>
    <s v="BD1411062"/>
    <s v="8905302263399_Blu_S"/>
    <x v="119"/>
    <s v="S"/>
    <n v="7999"/>
    <n v="7999"/>
    <n v="1"/>
    <n v="7999"/>
    <n v="2399.6999999999998"/>
    <n v="115.43"/>
    <n v="5483.87"/>
    <s v="Card"/>
    <x v="61"/>
  </r>
  <r>
    <x v="1"/>
    <x v="121"/>
    <s v="83B0026A732C"/>
    <s v="Clothing"/>
    <s v="Men"/>
    <s v="Topwear"/>
    <x v="2"/>
    <x v="6"/>
    <n v="8905302263284"/>
    <s v="BD1394007"/>
    <s v="8905302263284_Red_S"/>
    <x v="114"/>
    <s v="S"/>
    <n v="5999"/>
    <n v="5999"/>
    <n v="1"/>
    <n v="5999"/>
    <n v="1199.8"/>
    <n v="98.92"/>
    <n v="4700.28"/>
    <s v="Card"/>
    <x v="51"/>
  </r>
  <r>
    <x v="1"/>
    <x v="121"/>
    <s v="FE8BC58F8F62"/>
    <s v="Clothing"/>
    <s v="Men"/>
    <s v="Bottomwear"/>
    <x v="3"/>
    <x v="6"/>
    <n v="8905302263206"/>
    <s v="BD1385605"/>
    <s v="8905302263206_Bla_XXL"/>
    <x v="74"/>
    <s v="XXL"/>
    <n v="6999"/>
    <n v="6999"/>
    <n v="1"/>
    <n v="6999"/>
    <n v="2099.6999999999998"/>
    <n v="0"/>
    <n v="4899.3"/>
    <s v="Pinelab Card"/>
    <x v="31"/>
  </r>
  <r>
    <x v="0"/>
    <x v="121"/>
    <s v="CD0F7A15FFE6"/>
    <s v="Clothing"/>
    <s v="Men"/>
    <s v="Bottomwear"/>
    <x v="3"/>
    <x v="6"/>
    <n v="8905302263405"/>
    <s v="BD1411067"/>
    <s v="8905302263405_Bla_M"/>
    <x v="115"/>
    <s v="M"/>
    <n v="6999"/>
    <n v="6999"/>
    <n v="1"/>
    <n v="6999"/>
    <n v="2099.6999999999998"/>
    <n v="0"/>
    <n v="4899.3"/>
    <s v="Cash"/>
    <x v="66"/>
  </r>
  <r>
    <x v="0"/>
    <x v="121"/>
    <s v="B4D8007C70A5"/>
    <s v="Clothing"/>
    <s v="Men"/>
    <s v="Bottomwear"/>
    <x v="3"/>
    <x v="6"/>
    <n v="8905302263208"/>
    <s v="BD1385607"/>
    <s v="8905302263208_Blu_L"/>
    <x v="59"/>
    <s v="L"/>
    <n v="5999"/>
    <n v="5999"/>
    <n v="1"/>
    <n v="5999"/>
    <n v="1799.7"/>
    <n v="0"/>
    <n v="4199.3"/>
    <s v="Cash"/>
    <x v="34"/>
  </r>
  <r>
    <x v="2"/>
    <x v="121"/>
    <s v="DDBBA9340012"/>
    <s v="Clothing"/>
    <s v="Men"/>
    <s v="Bottomwear"/>
    <x v="3"/>
    <x v="6"/>
    <n v="8905302263190"/>
    <s v="BD1385593"/>
    <s v="8905302263190_Blu_M"/>
    <x v="40"/>
    <s v="M"/>
    <n v="7999"/>
    <n v="7999"/>
    <n v="1"/>
    <n v="7999"/>
    <n v="2399.6999999999998"/>
    <n v="0"/>
    <n v="5599.3"/>
    <s v="UPI"/>
    <x v="28"/>
  </r>
  <r>
    <x v="3"/>
    <x v="122"/>
    <s v="AAEB3EA984D5"/>
    <s v="Clothing"/>
    <s v="Men"/>
    <s v="Topwear"/>
    <x v="2"/>
    <x v="6"/>
    <n v="8905302263346"/>
    <s v="BD1395041"/>
    <s v="8905302263346_Whi_L"/>
    <x v="88"/>
    <s v="L"/>
    <n v="5999"/>
    <n v="5999"/>
    <n v="1"/>
    <n v="5999"/>
    <n v="1199.8"/>
    <n v="0"/>
    <n v="4799.2"/>
    <s v="Pinelab UPI"/>
    <x v="43"/>
  </r>
  <r>
    <x v="3"/>
    <x v="122"/>
    <s v="1D7C9B59F3B2"/>
    <s v="Clothing"/>
    <s v="Men"/>
    <s v="Topwear"/>
    <x v="2"/>
    <x v="6"/>
    <n v="8905302263345"/>
    <s v="BD1395039"/>
    <s v="8905302263345_Whi_M"/>
    <x v="79"/>
    <s v="M"/>
    <n v="5999"/>
    <n v="5999"/>
    <n v="1"/>
    <n v="5999"/>
    <n v="1199.8"/>
    <n v="0"/>
    <n v="4799.2"/>
    <s v="Cash, Pinelab UPI"/>
    <x v="43"/>
  </r>
  <r>
    <x v="3"/>
    <x v="122"/>
    <s v="51B32946585A"/>
    <s v="Clothing"/>
    <s v="Men"/>
    <s v="Topwear"/>
    <x v="2"/>
    <x v="6"/>
    <n v="8905302263415"/>
    <s v="BD1411072"/>
    <s v="8905302263415_Bla_M"/>
    <x v="130"/>
    <s v="M"/>
    <n v="6999"/>
    <n v="6999"/>
    <n v="1"/>
    <n v="6999"/>
    <n v="1399.8"/>
    <n v="0"/>
    <n v="5599.2"/>
    <s v="Cash"/>
    <x v="74"/>
  </r>
  <r>
    <x v="3"/>
    <x v="122"/>
    <s v="E315E9D62A75"/>
    <s v="Clothing"/>
    <s v="Men"/>
    <s v="Topwear"/>
    <x v="0"/>
    <x v="6"/>
    <n v="8905202264927"/>
    <s v="BD1358806"/>
    <s v="8905202264927_Blu_L"/>
    <x v="18"/>
    <s v="L"/>
    <n v="2995"/>
    <n v="2995"/>
    <n v="1"/>
    <n v="2995"/>
    <n v="1198"/>
    <n v="0"/>
    <n v="1797"/>
    <s v="Pinelab Card"/>
    <x v="15"/>
  </r>
  <r>
    <x v="3"/>
    <x v="122"/>
    <s v="ACDB4B796FCB"/>
    <s v="Clothing"/>
    <s v="Men"/>
    <s v="Topwear"/>
    <x v="0"/>
    <x v="6"/>
    <n v="8905202264835"/>
    <s v="BD1358791"/>
    <s v="8905202264835_Bla_S"/>
    <x v="37"/>
    <s v="S"/>
    <n v="3995"/>
    <n v="3995"/>
    <n v="1"/>
    <n v="3995"/>
    <n v="1598"/>
    <n v="0"/>
    <n v="2397"/>
    <s v="Pinelab UPI"/>
    <x v="18"/>
  </r>
  <r>
    <x v="1"/>
    <x v="122"/>
    <s v="5CBDA5FB30F3"/>
    <s v="Clothing"/>
    <s v="Men"/>
    <s v="Bottomwear"/>
    <x v="3"/>
    <x v="6"/>
    <n v="8905302263393"/>
    <s v="BD1395123"/>
    <s v="8905302263393_Blu_L"/>
    <x v="116"/>
    <s v="L"/>
    <n v="6999"/>
    <n v="6999"/>
    <n v="1"/>
    <n v="6999"/>
    <n v="2099.6999999999998"/>
    <n v="0"/>
    <n v="4899.3"/>
    <s v="Pinelab UPI"/>
    <x v="69"/>
  </r>
  <r>
    <x v="1"/>
    <x v="122"/>
    <s v="EA7FC21284F0"/>
    <s v="Clothing"/>
    <s v="Men"/>
    <s v="Topwear"/>
    <x v="0"/>
    <x v="6"/>
    <n v="8905302263383"/>
    <s v="BD1395114"/>
    <s v="8905302263383_Blu_L"/>
    <x v="18"/>
    <s v="L"/>
    <n v="3999"/>
    <n v="3999"/>
    <n v="1"/>
    <n v="3999"/>
    <n v="1599.6"/>
    <n v="0"/>
    <n v="2399.4"/>
    <s v="Pinelab Card"/>
    <x v="56"/>
  </r>
  <r>
    <x v="0"/>
    <x v="122"/>
    <s v="333430190C6C"/>
    <s v="Clothing"/>
    <s v="Men"/>
    <s v="Topwear"/>
    <x v="0"/>
    <x v="6"/>
    <n v="8905202264866"/>
    <s v="BD1358794"/>
    <s v="8905202264866_Bla_XL"/>
    <x v="10"/>
    <s v="XL"/>
    <n v="3995"/>
    <n v="3995"/>
    <n v="1"/>
    <n v="3995"/>
    <n v="1598"/>
    <n v="0"/>
    <n v="2397"/>
    <s v="Cash"/>
    <x v="18"/>
  </r>
  <r>
    <x v="0"/>
    <x v="122"/>
    <s v="F5818C22D99A"/>
    <s v="Clothing"/>
    <s v="Men"/>
    <s v="Topwear"/>
    <x v="0"/>
    <x v="6"/>
    <n v="8905202264644"/>
    <s v="BD1358777"/>
    <n v="8905202264644"/>
    <x v="44"/>
    <s v="XXL"/>
    <n v="3495"/>
    <n v="3495"/>
    <n v="1"/>
    <n v="3495"/>
    <n v="1398"/>
    <n v="0"/>
    <n v="2097"/>
    <s v="Pinelab Card"/>
    <x v="23"/>
  </r>
  <r>
    <x v="0"/>
    <x v="122"/>
    <s v="EB4DA24716D9"/>
    <s v="Clothing"/>
    <s v="Men"/>
    <s v="Bottomwear"/>
    <x v="3"/>
    <x v="6"/>
    <n v="8905302263358"/>
    <s v="BD1395070"/>
    <s v="8905302263358_Blu_M"/>
    <x v="76"/>
    <s v="M"/>
    <n v="7999"/>
    <n v="7999"/>
    <n v="1"/>
    <n v="7999"/>
    <n v="2399.6999999999998"/>
    <n v="0"/>
    <n v="5599.3"/>
    <s v="Pinelab Card"/>
    <x v="50"/>
  </r>
  <r>
    <x v="2"/>
    <x v="122"/>
    <s v="1738A49D3015"/>
    <s v="Clothing"/>
    <s v="Men"/>
    <s v="Topwear"/>
    <x v="0"/>
    <x v="6"/>
    <n v="8905202264897"/>
    <s v="BD1358803"/>
    <n v="8905202264897"/>
    <x v="5"/>
    <s v="M"/>
    <n v="2995"/>
    <n v="2995"/>
    <n v="1"/>
    <n v="2995"/>
    <n v="1198"/>
    <n v="0"/>
    <n v="1797"/>
    <s v="Pinelab Card"/>
    <x v="5"/>
  </r>
  <r>
    <x v="3"/>
    <x v="123"/>
    <s v="036DC83BB903"/>
    <s v="Clothing"/>
    <s v="Men"/>
    <s v="Topwear"/>
    <x v="0"/>
    <x v="6"/>
    <n v="8905202269441"/>
    <s v="BD1358755"/>
    <s v="8905202269441_Red_S"/>
    <x v="70"/>
    <s v="S"/>
    <n v="3995"/>
    <n v="3995"/>
    <n v="1"/>
    <n v="3995"/>
    <n v="1598"/>
    <n v="0"/>
    <n v="2397"/>
    <s v="Pinelab Card"/>
    <x v="0"/>
  </r>
  <r>
    <x v="0"/>
    <x v="123"/>
    <s v="44C96763512A"/>
    <s v="Clothing"/>
    <s v="Men"/>
    <s v="Topwear"/>
    <x v="2"/>
    <x v="6"/>
    <n v="8905302263303"/>
    <s v="BD1394029"/>
    <s v="8905302263303_Blu_S"/>
    <x v="83"/>
    <s v="S"/>
    <n v="4999"/>
    <n v="4999"/>
    <n v="1"/>
    <n v="4999"/>
    <n v="999.8"/>
    <n v="0"/>
    <n v="2999.2"/>
    <s v="Card"/>
    <x v="58"/>
  </r>
  <r>
    <x v="3"/>
    <x v="124"/>
    <s v="48833FFB3BE2"/>
    <s v="Clothing"/>
    <s v="Men"/>
    <s v="Topwear"/>
    <x v="2"/>
    <x v="6"/>
    <n v="8905302263389"/>
    <s v="BD1395106"/>
    <s v="8905302263389_Blu_S"/>
    <x v="83"/>
    <s v="S"/>
    <n v="4999"/>
    <n v="4999"/>
    <n v="1"/>
    <n v="4999"/>
    <n v="999.8"/>
    <n v="0"/>
    <n v="3999.2"/>
    <s v="Pinelab Card"/>
    <x v="68"/>
  </r>
  <r>
    <x v="3"/>
    <x v="124"/>
    <n v="98110370260"/>
    <s v="Clothing"/>
    <s v="Men"/>
    <s v="Bottomwear"/>
    <x v="3"/>
    <x v="6"/>
    <n v="8905302263363"/>
    <s v="BD1395085"/>
    <s v="8905302263363_Bla_L"/>
    <x v="103"/>
    <s v="L"/>
    <n v="7999"/>
    <n v="7999"/>
    <n v="1"/>
    <n v="7999"/>
    <n v="2399.6999999999998"/>
    <n v="0"/>
    <n v="5599.3"/>
    <s v="Pinelab Card"/>
    <x v="42"/>
  </r>
  <r>
    <x v="3"/>
    <x v="124"/>
    <m/>
    <s v="Clothing"/>
    <s v="Men"/>
    <s v="Topwear"/>
    <x v="0"/>
    <x v="6"/>
    <n v="8905202264880"/>
    <s v="BD1358802"/>
    <n v="8905202264880"/>
    <x v="53"/>
    <s v="S"/>
    <n v="2995"/>
    <n v="2995"/>
    <n v="1"/>
    <n v="2995"/>
    <n v="1198"/>
    <n v="0"/>
    <n v="1797"/>
    <s v="Pinelab Card"/>
    <x v="5"/>
  </r>
  <r>
    <x v="0"/>
    <x v="124"/>
    <s v="EAEACF15562F"/>
    <s v="Clothing"/>
    <s v="Men"/>
    <s v="Topwear"/>
    <x v="0"/>
    <x v="6"/>
    <n v="8905302263376"/>
    <s v="BD1395100"/>
    <s v="8905302263376_Pin_M"/>
    <x v="105"/>
    <s v="M"/>
    <n v="3999"/>
    <n v="3999"/>
    <n v="1"/>
    <n v="3999"/>
    <n v="1599.6"/>
    <n v="0"/>
    <n v="2399.4"/>
    <s v="Cash"/>
    <x v="53"/>
  </r>
  <r>
    <x v="0"/>
    <x v="124"/>
    <s v="4E4A71F05490"/>
    <s v="Clothing"/>
    <s v="Men"/>
    <s v="Topwear"/>
    <x v="0"/>
    <x v="6"/>
    <n v="8905202265030"/>
    <s v="BD1358799"/>
    <s v="8905202265030_Blu_S"/>
    <x v="86"/>
    <s v="S"/>
    <n v="2995"/>
    <n v="2995"/>
    <n v="1"/>
    <n v="2995"/>
    <n v="1198"/>
    <n v="0"/>
    <n v="1797"/>
    <s v="Pinelab UPI"/>
    <x v="15"/>
  </r>
  <r>
    <x v="0"/>
    <x v="124"/>
    <s v="22B7B521F07E"/>
    <s v="Clothing"/>
    <s v="Men"/>
    <s v="Bottomwear"/>
    <x v="3"/>
    <x v="6"/>
    <n v="8905302263317"/>
    <s v="BD1394033"/>
    <s v="8905302263317_Bla_S"/>
    <x v="106"/>
    <s v="S"/>
    <n v="6999"/>
    <n v="6999"/>
    <n v="1"/>
    <n v="6999"/>
    <n v="2099.6999999999998"/>
    <n v="0"/>
    <n v="4899.3"/>
    <s v="Pinelab Card"/>
    <x v="47"/>
  </r>
  <r>
    <x v="0"/>
    <x v="124"/>
    <s v="25305F4BB754"/>
    <s v="Clothing"/>
    <s v="Men"/>
    <s v="Bottomwear"/>
    <x v="3"/>
    <x v="6"/>
    <n v="8905302263360"/>
    <s v="BD1395082"/>
    <s v="8905302263360_Blu_XL"/>
    <x v="92"/>
    <s v="XL"/>
    <n v="7999"/>
    <n v="7999"/>
    <n v="1"/>
    <n v="7999"/>
    <n v="2399.6999999999998"/>
    <n v="0"/>
    <n v="5599.3"/>
    <s v="Pinelab UPI"/>
    <x v="50"/>
  </r>
  <r>
    <x v="0"/>
    <x v="124"/>
    <s v="B31F2042B530"/>
    <s v="Clothing"/>
    <s v="Men"/>
    <s v="Topwear"/>
    <x v="0"/>
    <x v="6"/>
    <n v="8905202269434"/>
    <s v="BD1358756"/>
    <s v="8905202269434_Red_M"/>
    <x v="17"/>
    <s v="M"/>
    <n v="3995"/>
    <n v="3995"/>
    <n v="1"/>
    <n v="3995"/>
    <n v="1598"/>
    <n v="0"/>
    <n v="2397"/>
    <s v="Pinelab Card"/>
    <x v="0"/>
  </r>
  <r>
    <x v="0"/>
    <x v="125"/>
    <s v="0FAB81D87331"/>
    <s v="Clothing"/>
    <s v="Men"/>
    <s v="Topwear"/>
    <x v="0"/>
    <x v="7"/>
    <n v="8905202264873"/>
    <s v="BD1358793"/>
    <s v="8905202264873_Bla_L"/>
    <x v="22"/>
    <s v="L"/>
    <n v="3995"/>
    <n v="3995"/>
    <n v="-1"/>
    <n v="-3995"/>
    <n v="-1598"/>
    <n v="0"/>
    <n v="-2397"/>
    <s v="Credit Note Issued [-]"/>
    <x v="18"/>
  </r>
  <r>
    <x v="0"/>
    <x v="125"/>
    <s v="0FAB81D87331"/>
    <s v="Clothing"/>
    <s v="Men"/>
    <s v="Topwear"/>
    <x v="0"/>
    <x v="7"/>
    <n v="8905202269106"/>
    <s v="BD1358754"/>
    <s v="8905202269106_Whi_XL"/>
    <x v="11"/>
    <s v="XL"/>
    <n v="3495"/>
    <n v="3495"/>
    <n v="-1"/>
    <n v="-3495"/>
    <n v="-1398"/>
    <n v="0"/>
    <n v="-2097"/>
    <s v="Credit Note Issued [-]"/>
    <x v="8"/>
  </r>
  <r>
    <x v="1"/>
    <x v="126"/>
    <s v="EBE010CB74BB"/>
    <s v="Clothing"/>
    <s v="Men"/>
    <s v="Topwear"/>
    <x v="2"/>
    <x v="7"/>
    <n v="8905302263344"/>
    <s v="BD1395037"/>
    <s v="8905302263344_Whi_S"/>
    <x v="91"/>
    <s v="S"/>
    <n v="5999"/>
    <n v="5999"/>
    <n v="-1"/>
    <n v="-5999"/>
    <n v="-1199.8"/>
    <n v="0"/>
    <n v="-4799.2"/>
    <s v="Credit Note Issued [-]"/>
    <x v="43"/>
  </r>
  <r>
    <x v="0"/>
    <x v="126"/>
    <s v="469B38F27F07"/>
    <s v="Clothing"/>
    <s v="Men"/>
    <s v="Topwear"/>
    <x v="2"/>
    <x v="7"/>
    <n v="8905302263252"/>
    <s v="BD1392647"/>
    <s v="8905302263252_Bla_L"/>
    <x v="126"/>
    <s v="L"/>
    <n v="4999"/>
    <n v="4999"/>
    <n v="-1"/>
    <n v="-4999"/>
    <n v="-999.8"/>
    <n v="0"/>
    <n v="-3999.2"/>
    <s v="Credit Note Issued [-]"/>
    <x v="38"/>
  </r>
  <r>
    <x v="1"/>
    <x v="127"/>
    <s v="F46AE0B7B393"/>
    <s v="Clothing"/>
    <s v="Men"/>
    <s v="Topwear"/>
    <x v="0"/>
    <x v="7"/>
    <n v="8905202269311"/>
    <s v="BD1358775"/>
    <s v="8905202269311_Bla_XXL"/>
    <x v="44"/>
    <s v="XXL"/>
    <n v="3495"/>
    <n v="3495"/>
    <n v="-1"/>
    <n v="-3495"/>
    <n v="-1398"/>
    <n v="0"/>
    <n v="-2097"/>
    <s v="Credit Note Issued [-]"/>
    <x v="32"/>
  </r>
  <r>
    <x v="0"/>
    <x v="128"/>
    <s v="C7427B6619FA"/>
    <s v="Clothing"/>
    <s v="Men"/>
    <s v="Topwear"/>
    <x v="2"/>
    <x v="7"/>
    <n v="8905302263310"/>
    <s v="BD1394038"/>
    <s v="8905302263310_Blu_L"/>
    <x v="98"/>
    <s v="L"/>
    <n v="4999"/>
    <n v="4999"/>
    <n v="-1"/>
    <n v="-4999"/>
    <n v="0"/>
    <n v="0"/>
    <n v="-4999"/>
    <s v="Credit Note Issued [-]"/>
    <x v="54"/>
  </r>
  <r>
    <x v="2"/>
    <x v="129"/>
    <s v="338EF8A80388"/>
    <s v="Clothing"/>
    <s v="Men"/>
    <s v="Topwear"/>
    <x v="2"/>
    <x v="7"/>
    <n v="8905302263322"/>
    <s v="BD1394996"/>
    <s v="8905302263322_Gre_M"/>
    <x v="82"/>
    <s v="M"/>
    <n v="6999"/>
    <n v="6999"/>
    <n v="-1"/>
    <n v="-6999"/>
    <n v="0"/>
    <n v="0"/>
    <n v="-6999"/>
    <s v="Credit Note Issued [-]"/>
    <x v="55"/>
  </r>
  <r>
    <x v="3"/>
    <x v="130"/>
    <s v="3E75B97D2358"/>
    <s v="Clothing"/>
    <s v="Men"/>
    <s v="Topwear"/>
    <x v="0"/>
    <x v="7"/>
    <n v="8905202264644"/>
    <s v="BD1358777"/>
    <n v="8905202264644"/>
    <x v="44"/>
    <s v="XXL"/>
    <n v="3495"/>
    <n v="3495"/>
    <n v="1"/>
    <n v="3495"/>
    <n v="1398"/>
    <n v="0"/>
    <n v="2097"/>
    <s v="Card"/>
    <x v="23"/>
  </r>
  <r>
    <x v="0"/>
    <x v="130"/>
    <s v="8587350CEB49"/>
    <s v="Clothing"/>
    <s v="Men"/>
    <s v="Bottomwear"/>
    <x v="3"/>
    <x v="7"/>
    <n v="8905302263192"/>
    <s v="BD1385594"/>
    <s v="8905302263192_Blu_XL"/>
    <x v="65"/>
    <s v="XL"/>
    <n v="7999"/>
    <n v="7999"/>
    <n v="1"/>
    <n v="7999"/>
    <n v="2399.6999999999998"/>
    <n v="0"/>
    <n v="5599.3"/>
    <s v="Pinelab Card"/>
    <x v="28"/>
  </r>
  <r>
    <x v="1"/>
    <x v="131"/>
    <s v="D897BDB54B58"/>
    <s v="Clothing"/>
    <s v="Men"/>
    <s v="Topwear"/>
    <x v="0"/>
    <x v="7"/>
    <n v="8905202264880"/>
    <s v="BD1358802"/>
    <n v="8905202264880"/>
    <x v="53"/>
    <s v="S"/>
    <n v="2995"/>
    <n v="2995"/>
    <n v="1"/>
    <n v="2995"/>
    <n v="1198"/>
    <n v="0"/>
    <n v="1797"/>
    <s v="Pinelab UPI"/>
    <x v="5"/>
  </r>
  <r>
    <x v="1"/>
    <x v="131"/>
    <s v="C001B02916EA"/>
    <s v="Clothing"/>
    <s v="Men"/>
    <s v="Topwear"/>
    <x v="0"/>
    <x v="7"/>
    <n v="8905202264941"/>
    <s v="BD1358817"/>
    <n v="8905202264941"/>
    <x v="5"/>
    <s v="M"/>
    <n v="2495"/>
    <n v="2495"/>
    <n v="1"/>
    <n v="2495"/>
    <n v="998"/>
    <n v="299.39999999999998"/>
    <n v="1197.5999999999999"/>
    <s v="Pinelab Card"/>
    <x v="13"/>
  </r>
  <r>
    <x v="1"/>
    <x v="131"/>
    <s v="A86EB406A418"/>
    <s v="Clothing"/>
    <s v="Men"/>
    <s v="Topwear"/>
    <x v="2"/>
    <x v="7"/>
    <n v="8905302263283"/>
    <s v="BD1394003"/>
    <s v="8905302263283_Blu_L"/>
    <x v="98"/>
    <s v="L"/>
    <n v="5999"/>
    <n v="5999"/>
    <n v="1"/>
    <n v="5999"/>
    <n v="1199.8"/>
    <n v="0"/>
    <n v="4799.2"/>
    <s v="Pinelab UPI"/>
    <x v="72"/>
  </r>
  <r>
    <x v="1"/>
    <x v="131"/>
    <s v="7BDFF14F6E6E"/>
    <s v="Clothing"/>
    <s v="Men"/>
    <s v="Topwear"/>
    <x v="2"/>
    <x v="7"/>
    <n v="8905302263303"/>
    <s v="BD1394029"/>
    <s v="8905302263303_Blu_S"/>
    <x v="83"/>
    <s v="S"/>
    <n v="4999"/>
    <n v="4999"/>
    <n v="1"/>
    <n v="4999"/>
    <n v="999.8"/>
    <n v="0"/>
    <n v="3999.2"/>
    <s v="Pinelab UPI"/>
    <x v="58"/>
  </r>
  <r>
    <x v="0"/>
    <x v="131"/>
    <s v="A5D13FAD93C2"/>
    <s v="Clothing"/>
    <s v="Men"/>
    <s v="Bottomwear"/>
    <x v="3"/>
    <x v="7"/>
    <n v="8905302263205"/>
    <s v="BD1385589"/>
    <s v="8905302263205_Bla_XL"/>
    <x v="56"/>
    <s v="XL"/>
    <n v="6999"/>
    <n v="6999"/>
    <n v="1"/>
    <n v="6999"/>
    <n v="2099.6999999999998"/>
    <n v="100.46"/>
    <n v="4798.84"/>
    <s v="Pinelab Card"/>
    <x v="31"/>
  </r>
  <r>
    <x v="0"/>
    <x v="131"/>
    <s v="0710ED32214E"/>
    <s v="Clothing"/>
    <s v="Men"/>
    <s v="Topwear"/>
    <x v="0"/>
    <x v="7"/>
    <n v="8905202264729"/>
    <s v="BD1358785"/>
    <n v="8905202264729"/>
    <x v="9"/>
    <s v="Onesize"/>
    <n v="2995"/>
    <n v="2995"/>
    <n v="1"/>
    <n v="2995"/>
    <n v="1198"/>
    <n v="0"/>
    <n v="1797"/>
    <s v="Cash"/>
    <x v="9"/>
  </r>
  <r>
    <x v="0"/>
    <x v="131"/>
    <m/>
    <s v="Clothing"/>
    <s v="Men"/>
    <s v="Topwear"/>
    <x v="2"/>
    <x v="7"/>
    <n v="8905302263257"/>
    <s v="BD1392654"/>
    <s v="8905302263257_Gre_L"/>
    <x v="24"/>
    <s v="L"/>
    <n v="5999"/>
    <n v="5999"/>
    <n v="1"/>
    <n v="5999"/>
    <n v="1199.8"/>
    <n v="0"/>
    <n v="4799.2"/>
    <s v="Pinelab Card"/>
    <x v="46"/>
  </r>
  <r>
    <x v="0"/>
    <x v="131"/>
    <s v="82D5413D5198"/>
    <s v="Clothing"/>
    <s v="Men"/>
    <s v="Topwear"/>
    <x v="2"/>
    <x v="7"/>
    <n v="8905302263229"/>
    <s v="BD1385619"/>
    <s v="8905302263229_Oli_XL"/>
    <x v="131"/>
    <s v="XL"/>
    <n v="5999"/>
    <n v="5999"/>
    <n v="1"/>
    <n v="5999"/>
    <n v="1199.8"/>
    <n v="0"/>
    <n v="4799.2"/>
    <s v="Card, Pinelab Card "/>
    <x v="20"/>
  </r>
  <r>
    <x v="2"/>
    <x v="131"/>
    <s v="66C7A87C4590"/>
    <s v="Clothing"/>
    <s v="Men"/>
    <s v="Topwear"/>
    <x v="2"/>
    <x v="7"/>
    <n v="8905302263347"/>
    <s v="BD1395051"/>
    <s v="8905302263347_Blu_S"/>
    <x v="83"/>
    <s v="S"/>
    <n v="6999"/>
    <n v="6999"/>
    <n v="1"/>
    <n v="6999"/>
    <n v="0"/>
    <n v="0"/>
    <n v="6999"/>
    <s v="Cash, UPI"/>
    <x v="76"/>
  </r>
  <r>
    <x v="3"/>
    <x v="132"/>
    <s v="588C877A3B0E"/>
    <s v="Clothing"/>
    <s v="Men"/>
    <s v="Topwear"/>
    <x v="2"/>
    <x v="7"/>
    <n v="8905302263411"/>
    <s v="BD1411078"/>
    <s v="8905302263411_Whi_L"/>
    <x v="132"/>
    <s v="L"/>
    <n v="6999"/>
    <n v="6999"/>
    <n v="1"/>
    <n v="6999"/>
    <n v="1399.8"/>
    <n v="0"/>
    <n v="5599.2"/>
    <s v="Cash"/>
    <x v="75"/>
  </r>
  <r>
    <x v="3"/>
    <x v="132"/>
    <s v="99ACF0F904AB"/>
    <s v="Clothing"/>
    <s v="Men"/>
    <s v="Topwear"/>
    <x v="2"/>
    <x v="7"/>
    <n v="8905302263410"/>
    <s v="BD1411077"/>
    <s v="8905302263410_Whi_M"/>
    <x v="133"/>
    <s v="M"/>
    <n v="6999"/>
    <n v="6999"/>
    <n v="1"/>
    <n v="6999"/>
    <n v="1399.8"/>
    <n v="0"/>
    <n v="5599.2"/>
    <s v="UPI"/>
    <x v="75"/>
  </r>
  <r>
    <x v="1"/>
    <x v="132"/>
    <s v="614B009BEB73"/>
    <s v="Clothing"/>
    <s v="Men"/>
    <s v="Topwear"/>
    <x v="0"/>
    <x v="7"/>
    <n v="8905202264835"/>
    <s v="BD1358791"/>
    <s v="8905202264835_Bla_S"/>
    <x v="37"/>
    <s v="S"/>
    <n v="3995"/>
    <n v="3995"/>
    <n v="1"/>
    <n v="3995"/>
    <n v="1598"/>
    <n v="0"/>
    <n v="2397"/>
    <s v="Pinelab UPI"/>
    <x v="18"/>
  </r>
  <r>
    <x v="1"/>
    <x v="132"/>
    <s v="614B009BEB73"/>
    <s v="Clothing"/>
    <s v="Men"/>
    <s v="Topwear"/>
    <x v="0"/>
    <x v="7"/>
    <n v="8905202264873"/>
    <s v="BD1358793"/>
    <s v="8905202264873_Bla_L"/>
    <x v="22"/>
    <s v="L"/>
    <n v="3995"/>
    <n v="3995"/>
    <n v="1"/>
    <n v="3995"/>
    <n v="1598"/>
    <n v="0"/>
    <n v="2397"/>
    <s v="Pinelab UPI"/>
    <x v="18"/>
  </r>
  <r>
    <x v="0"/>
    <x v="132"/>
    <s v="2E4B415088CC"/>
    <s v="Clothing"/>
    <s v="Men"/>
    <s v="Topwear"/>
    <x v="0"/>
    <x v="7"/>
    <n v="8905202264873"/>
    <s v="BD1358793"/>
    <s v="8905202264873_Bla_L"/>
    <x v="22"/>
    <s v="L"/>
    <n v="3995"/>
    <n v="3995"/>
    <n v="1"/>
    <n v="3995"/>
    <n v="1598"/>
    <n v="0"/>
    <n v="2397"/>
    <s v="Cash"/>
    <x v="18"/>
  </r>
  <r>
    <x v="0"/>
    <x v="132"/>
    <s v="6983D8297AF7"/>
    <s v="Clothing"/>
    <s v="Men"/>
    <s v="Topwear"/>
    <x v="0"/>
    <x v="7"/>
    <n v="8905202264712"/>
    <s v="BD1358783"/>
    <s v="8905202264712_Bla_Onesize"/>
    <x v="9"/>
    <s v="Onesize"/>
    <n v="3495"/>
    <n v="3495"/>
    <n v="1"/>
    <n v="3495"/>
    <n v="1398"/>
    <n v="0"/>
    <n v="2097"/>
    <s v="Pinelab Card"/>
    <x v="45"/>
  </r>
  <r>
    <x v="0"/>
    <x v="132"/>
    <s v="A21396F4E411"/>
    <s v="Clothing"/>
    <s v="Men"/>
    <s v="Topwear"/>
    <x v="0"/>
    <x v="7"/>
    <n v="8905202264675"/>
    <s v="BD1358778"/>
    <s v="8905202264675_Bla_S"/>
    <x v="37"/>
    <s v="S"/>
    <n v="2995"/>
    <n v="2995"/>
    <n v="1"/>
    <n v="2995"/>
    <n v="1198"/>
    <n v="0"/>
    <n v="1797"/>
    <s v="Cash"/>
    <x v="37"/>
  </r>
  <r>
    <x v="3"/>
    <x v="133"/>
    <s v="B09479BB043A"/>
    <s v="Clothing"/>
    <s v="Men"/>
    <s v="Bottomwear"/>
    <x v="3"/>
    <x v="7"/>
    <n v="8905302263359"/>
    <s v="BD1395080"/>
    <s v="8905302263359_Blu_L"/>
    <x v="116"/>
    <s v="L"/>
    <n v="7999"/>
    <n v="7999"/>
    <n v="1"/>
    <n v="7999"/>
    <n v="2399.6999999999998"/>
    <n v="0"/>
    <n v="5599.3"/>
    <s v="Cash"/>
    <x v="50"/>
  </r>
  <r>
    <x v="3"/>
    <x v="133"/>
    <s v="B09479BB043A"/>
    <s v="Clothing"/>
    <s v="Men"/>
    <s v="Bottomwear"/>
    <x v="3"/>
    <x v="7"/>
    <n v="8905302263363"/>
    <s v="BD1395085"/>
    <s v="8905302263363_Bla_L"/>
    <x v="103"/>
    <s v="L"/>
    <n v="7999"/>
    <n v="7999"/>
    <n v="1"/>
    <n v="7999"/>
    <n v="2399.6999999999998"/>
    <n v="0"/>
    <n v="5599.3"/>
    <s v="Cash"/>
    <x v="42"/>
  </r>
  <r>
    <x v="3"/>
    <x v="133"/>
    <s v="B09479BB043A"/>
    <s v="Clothing"/>
    <s v="Men"/>
    <s v="Topwear"/>
    <x v="2"/>
    <x v="7"/>
    <n v="8905302263410"/>
    <s v="BD1411077"/>
    <s v="8905302263410_Whi_M"/>
    <x v="133"/>
    <s v="M"/>
    <n v="6999"/>
    <n v="6999"/>
    <n v="1"/>
    <n v="6999"/>
    <n v="1399.8"/>
    <n v="0"/>
    <n v="5599.2"/>
    <s v="Cash"/>
    <x v="75"/>
  </r>
  <r>
    <x v="3"/>
    <x v="133"/>
    <s v="D8FACDB3BFA6"/>
    <s v="Clothing"/>
    <s v="Men"/>
    <s v="Bottomwear"/>
    <x v="3"/>
    <x v="7"/>
    <n v="8905302263407"/>
    <s v="BD1411060"/>
    <s v="8905302263407_Bla_XL"/>
    <x v="134"/>
    <s v="XL"/>
    <n v="6999"/>
    <n v="6999"/>
    <n v="1"/>
    <n v="6999"/>
    <n v="2099.6999999999998"/>
    <n v="0"/>
    <n v="4899.3"/>
    <s v="Cash"/>
    <x v="66"/>
  </r>
  <r>
    <x v="1"/>
    <x v="133"/>
    <s v="FA182749BF97"/>
    <s v="Clothing"/>
    <s v="Men"/>
    <s v="Topwear"/>
    <x v="0"/>
    <x v="7"/>
    <n v="8905202264835"/>
    <s v="BD1358791"/>
    <s v="8905202264835_Bla_S"/>
    <x v="37"/>
    <s v="S"/>
    <n v="3995"/>
    <n v="3995"/>
    <n v="1"/>
    <n v="3995"/>
    <n v="1598"/>
    <n v="0"/>
    <n v="2397"/>
    <s v="Pinelab UPI"/>
    <x v="18"/>
  </r>
  <r>
    <x v="1"/>
    <x v="133"/>
    <s v="FA182749BF97"/>
    <s v="Clothing"/>
    <s v="Men"/>
    <s v="Topwear"/>
    <x v="0"/>
    <x v="7"/>
    <n v="8905202265030"/>
    <s v="BD1358799"/>
    <s v="8905202265030_Blu_S"/>
    <x v="86"/>
    <s v="S"/>
    <n v="2995"/>
    <n v="2995"/>
    <n v="1"/>
    <n v="2995"/>
    <n v="1198"/>
    <n v="0"/>
    <n v="1797"/>
    <s v="Pinelab UPI"/>
    <x v="15"/>
  </r>
  <r>
    <x v="1"/>
    <x v="133"/>
    <s v="CA485EEE368A"/>
    <s v="Clothing"/>
    <s v="Men"/>
    <s v="Topwear"/>
    <x v="0"/>
    <x v="7"/>
    <n v="8905202269427"/>
    <s v="BD1358758"/>
    <s v="8905202269427_Red_L"/>
    <x v="29"/>
    <s v="L"/>
    <n v="3995"/>
    <n v="3995"/>
    <n v="1"/>
    <n v="3995"/>
    <n v="1598"/>
    <n v="0"/>
    <n v="2397"/>
    <s v="Pinelab UPI"/>
    <x v="0"/>
  </r>
  <r>
    <x v="0"/>
    <x v="133"/>
    <s v="ECDC901FBC76"/>
    <s v="Clothing"/>
    <s v="Men"/>
    <s v="Topwear"/>
    <x v="0"/>
    <x v="7"/>
    <n v="8905302263379"/>
    <s v="BD1395101"/>
    <s v="8905302263379_Bla_M"/>
    <x v="13"/>
    <s v="M"/>
    <n v="3999"/>
    <n v="3999"/>
    <n v="1"/>
    <n v="3999"/>
    <n v="1599.6"/>
    <n v="0"/>
    <n v="2399.4"/>
    <s v="Cash"/>
    <x v="48"/>
  </r>
  <r>
    <x v="0"/>
    <x v="134"/>
    <s v="26B3B9B4C522"/>
    <s v="Clothing"/>
    <s v="Men"/>
    <s v="Topwear"/>
    <x v="0"/>
    <x v="7"/>
    <n v="8905202264699"/>
    <s v="BD1358781"/>
    <s v="8905202264699_Bla_XXL"/>
    <x v="44"/>
    <s v="XXL"/>
    <n v="2995"/>
    <n v="2995"/>
    <n v="1"/>
    <n v="2995"/>
    <n v="1198"/>
    <n v="0"/>
    <n v="1797"/>
    <s v="Pinelab UPI"/>
    <x v="37"/>
  </r>
  <r>
    <x v="3"/>
    <x v="135"/>
    <s v="83AFB14CD121"/>
    <s v="Clothing"/>
    <s v="Men"/>
    <s v="Topwear"/>
    <x v="2"/>
    <x v="7"/>
    <n v="8905302263411"/>
    <s v="BD1411078"/>
    <s v="8905302263411_Whi_L"/>
    <x v="132"/>
    <s v="L"/>
    <n v="6999"/>
    <n v="6999"/>
    <n v="1"/>
    <n v="6999"/>
    <n v="1399.8"/>
    <n v="0"/>
    <n v="5599.2"/>
    <s v="Cash"/>
    <x v="75"/>
  </r>
  <r>
    <x v="1"/>
    <x v="135"/>
    <s v="22F2329AA57B"/>
    <s v="Clothing"/>
    <s v="Men"/>
    <s v="Topwear"/>
    <x v="2"/>
    <x v="7"/>
    <n v="8905302263285"/>
    <s v="BD1394008"/>
    <s v="8905302263285_Red_M"/>
    <x v="94"/>
    <s v="M"/>
    <n v="5999"/>
    <n v="5999"/>
    <n v="1"/>
    <n v="5999"/>
    <n v="1199.8"/>
    <n v="0"/>
    <n v="4799.2"/>
    <s v="Pinelab UPI"/>
    <x v="51"/>
  </r>
  <r>
    <x v="0"/>
    <x v="135"/>
    <s v="D9BA2CC64304"/>
    <s v="Clothing"/>
    <s v="Men"/>
    <s v="Topwear"/>
    <x v="0"/>
    <x v="7"/>
    <n v="8905202264712"/>
    <s v="BD1358783"/>
    <s v="8905202264712_Bla_Onesize"/>
    <x v="9"/>
    <s v="Onesize"/>
    <n v="3495"/>
    <n v="3495"/>
    <n v="1"/>
    <n v="3495"/>
    <n v="1398"/>
    <n v="0"/>
    <n v="2097"/>
    <s v="Pinelab Card"/>
    <x v="45"/>
  </r>
  <r>
    <x v="0"/>
    <x v="135"/>
    <s v="D9BA2CC64304"/>
    <s v="Clothing"/>
    <s v="Men"/>
    <s v="Topwear"/>
    <x v="0"/>
    <x v="7"/>
    <n v="8905202264859"/>
    <s v="BD1358801"/>
    <s v="8905202264859_Bla_XXL"/>
    <x v="44"/>
    <s v="XXL"/>
    <n v="3995"/>
    <n v="3995"/>
    <n v="1"/>
    <n v="3995"/>
    <n v="1598"/>
    <n v="0"/>
    <n v="2397"/>
    <s v="Pinelab Card"/>
    <x v="18"/>
  </r>
  <r>
    <x v="3"/>
    <x v="126"/>
    <s v="31539BCC81EA"/>
    <s v="Clothing"/>
    <s v="Men"/>
    <s v="Topwear"/>
    <x v="0"/>
    <x v="7"/>
    <n v="8905202265030"/>
    <s v="BD1358799"/>
    <s v="8905202265030_Blu_S"/>
    <x v="86"/>
    <s v="S"/>
    <n v="2995"/>
    <n v="2995"/>
    <n v="1"/>
    <n v="2995"/>
    <n v="1198"/>
    <n v="0"/>
    <n v="1797"/>
    <s v="Pinelab Card"/>
    <x v="15"/>
  </r>
  <r>
    <x v="3"/>
    <x v="126"/>
    <s v="9DF28BBDDA0B"/>
    <s v="Clothing"/>
    <s v="Men"/>
    <s v="Topwear"/>
    <x v="2"/>
    <x v="7"/>
    <n v="8905302263263"/>
    <s v="BD1393988"/>
    <s v="8905302263263_Blu_M"/>
    <x v="102"/>
    <s v="M"/>
    <n v="4999"/>
    <n v="4999"/>
    <n v="1"/>
    <n v="4999"/>
    <n v="999.8"/>
    <n v="0"/>
    <n v="3999.2"/>
    <s v="Pinelab Card"/>
    <x v="77"/>
  </r>
  <r>
    <x v="0"/>
    <x v="126"/>
    <s v="03E5D3A30E17"/>
    <s v="Clothing"/>
    <s v="Men"/>
    <s v="Topwear"/>
    <x v="2"/>
    <x v="7"/>
    <n v="8905302263273"/>
    <s v="BD1393999"/>
    <s v="8905302263273_Blu_M"/>
    <x v="102"/>
    <s v="M"/>
    <n v="4999"/>
    <n v="4999"/>
    <n v="1"/>
    <n v="4999"/>
    <n v="999.8"/>
    <n v="0"/>
    <n v="3999.2"/>
    <s v="Cash"/>
    <x v="62"/>
  </r>
  <r>
    <x v="0"/>
    <x v="126"/>
    <s v="469B38F27F07"/>
    <s v="Clothing"/>
    <s v="Men"/>
    <s v="Topwear"/>
    <x v="2"/>
    <x v="7"/>
    <n v="8905302263252"/>
    <s v="BD1392647"/>
    <s v="8905302263252_Bla_L"/>
    <x v="126"/>
    <s v="L"/>
    <n v="4999"/>
    <n v="4999"/>
    <n v="2"/>
    <n v="9998"/>
    <n v="1999.6"/>
    <n v="0"/>
    <n v="7998.4"/>
    <s v="Cash"/>
    <x v="38"/>
  </r>
  <r>
    <x v="2"/>
    <x v="126"/>
    <s v="5C6179333FCF"/>
    <s v="Clothing"/>
    <s v="Men"/>
    <s v="Topwear"/>
    <x v="2"/>
    <x v="7"/>
    <n v="8905302263236"/>
    <s v="BD1385625"/>
    <s v="8905302263236_Cha_S"/>
    <x v="33"/>
    <s v="S"/>
    <n v="5999"/>
    <n v="5999"/>
    <n v="1"/>
    <n v="5999"/>
    <n v="1199.8"/>
    <n v="0"/>
    <n v="4799.2"/>
    <s v="Cash"/>
    <x v="25"/>
  </r>
  <r>
    <x v="0"/>
    <x v="136"/>
    <s v="D162915B43F6"/>
    <s v="Clothing"/>
    <s v="Men"/>
    <s v="Topwear"/>
    <x v="2"/>
    <x v="7"/>
    <n v="8905302263304"/>
    <s v="BD1394020"/>
    <s v="8905302263304_Blu_M"/>
    <x v="102"/>
    <s v="M"/>
    <n v="4999"/>
    <n v="4999"/>
    <n v="1"/>
    <n v="4999"/>
    <n v="999.8"/>
    <n v="0"/>
    <n v="3999.2"/>
    <s v="Cash, Pinelab UPI"/>
    <x v="58"/>
  </r>
  <r>
    <x v="0"/>
    <x v="136"/>
    <s v="538B7FF1EFF9"/>
    <s v="Clothing"/>
    <s v="Men"/>
    <s v="Topwear"/>
    <x v="2"/>
    <x v="7"/>
    <n v="8905302263305"/>
    <s v="BD1394022"/>
    <s v="8905302263305_Blu_L"/>
    <x v="98"/>
    <s v="L"/>
    <n v="4999"/>
    <n v="4999"/>
    <n v="1"/>
    <n v="4999"/>
    <n v="999.8"/>
    <n v="0"/>
    <n v="3999.2"/>
    <s v="Pinelab UPI"/>
    <x v="58"/>
  </r>
  <r>
    <x v="2"/>
    <x v="136"/>
    <s v="22BB3EA44EF2"/>
    <s v="Clothing"/>
    <s v="Men"/>
    <s v="Topwear"/>
    <x v="2"/>
    <x v="7"/>
    <n v="8905302263279"/>
    <s v="BD1394000"/>
    <s v="8905302263279_Gre_L"/>
    <x v="101"/>
    <s v="L"/>
    <n v="4499"/>
    <n v="4499"/>
    <n v="1"/>
    <n v="4499"/>
    <n v="899.8"/>
    <n v="0"/>
    <n v="3599.2"/>
    <s v="Cash"/>
    <x v="78"/>
  </r>
  <r>
    <x v="2"/>
    <x v="136"/>
    <s v="22BB3EA44EF2"/>
    <s v="Clothing"/>
    <s v="Men"/>
    <s v="Topwear"/>
    <x v="0"/>
    <x v="7"/>
    <n v="8905202269083"/>
    <s v="BD1358743"/>
    <s v="8905202269083_Whi_M"/>
    <x v="5"/>
    <s v="M"/>
    <n v="3495"/>
    <n v="3495"/>
    <n v="1"/>
    <n v="3495"/>
    <n v="1398"/>
    <n v="0"/>
    <n v="2097"/>
    <s v="Cash"/>
    <x v="8"/>
  </r>
  <r>
    <x v="2"/>
    <x v="136"/>
    <s v="22BB3EA44EF2"/>
    <s v="Clothing"/>
    <s v="Men"/>
    <s v="Topwear"/>
    <x v="0"/>
    <x v="7"/>
    <n v="8905302263433"/>
    <s v="BD1429686"/>
    <s v="8905302263433_Gre_L"/>
    <x v="135"/>
    <s v="L"/>
    <n v="3999"/>
    <n v="3999"/>
    <n v="1"/>
    <n v="3999"/>
    <n v="1599.6"/>
    <n v="0"/>
    <n v="2399.4"/>
    <s v="Cash"/>
    <x v="79"/>
  </r>
  <r>
    <x v="1"/>
    <x v="137"/>
    <s v="4CD7C1755742"/>
    <s v="Clothing"/>
    <s v="Men"/>
    <s v="Topwear"/>
    <x v="2"/>
    <x v="7"/>
    <n v="8905302263281"/>
    <s v="BD1394002"/>
    <s v="8905302263281_Blu_S"/>
    <x v="83"/>
    <s v="S"/>
    <n v="5999"/>
    <n v="5999"/>
    <n v="1"/>
    <n v="5999"/>
    <n v="1199.8"/>
    <n v="0"/>
    <n v="4799.2"/>
    <s v="Cash, Pinelab UPI"/>
    <x v="72"/>
  </r>
  <r>
    <x v="1"/>
    <x v="137"/>
    <s v="1C26D0987A99"/>
    <s v="Clothing"/>
    <s v="Men"/>
    <s v="Bottomwear"/>
    <x v="3"/>
    <x v="7"/>
    <n v="8905302263361"/>
    <s v="BD1395076"/>
    <s v="8905302263361_Bla_S"/>
    <x v="106"/>
    <s v="S"/>
    <n v="7999"/>
    <n v="7999"/>
    <n v="1"/>
    <n v="7999"/>
    <n v="2399.6999999999998"/>
    <n v="350.72"/>
    <n v="5248.58"/>
    <s v="Card"/>
    <x v="42"/>
  </r>
  <r>
    <x v="0"/>
    <x v="137"/>
    <s v="F8B5FB3B2663"/>
    <s v="Clothing"/>
    <s v="Men"/>
    <s v="Topwear"/>
    <x v="0"/>
    <x v="7"/>
    <n v="8905202269106"/>
    <s v="BD1358754"/>
    <s v="8905202269106_Whi_XL"/>
    <x v="11"/>
    <s v="XL"/>
    <n v="3495"/>
    <n v="3495"/>
    <n v="1"/>
    <n v="3495"/>
    <n v="1398"/>
    <n v="0"/>
    <n v="2097"/>
    <s v="Pinelab UPI"/>
    <x v="8"/>
  </r>
  <r>
    <x v="0"/>
    <x v="137"/>
    <s v="31B7ABD9D249"/>
    <s v="Clothing"/>
    <s v="Men"/>
    <s v="Bottomwear"/>
    <x v="3"/>
    <x v="7"/>
    <n v="8905302263407"/>
    <s v="BD1411060"/>
    <s v="8905302263407_Bla_XL"/>
    <x v="134"/>
    <s v="XL"/>
    <n v="6999"/>
    <n v="6999"/>
    <n v="1"/>
    <n v="6999"/>
    <n v="2099.6999999999998"/>
    <n v="0"/>
    <n v="4899.3"/>
    <s v="Pinelab Card"/>
    <x v="66"/>
  </r>
  <r>
    <x v="0"/>
    <x v="137"/>
    <s v="31B7ABD9D249"/>
    <s v="Clothing"/>
    <s v="Men"/>
    <s v="Topwear"/>
    <x v="2"/>
    <x v="7"/>
    <n v="8905302263241"/>
    <s v="BD1385632"/>
    <s v="8905302263241_Blu_M"/>
    <x v="102"/>
    <s v="M"/>
    <n v="5999"/>
    <n v="5999"/>
    <n v="1"/>
    <n v="5999"/>
    <n v="1199.8"/>
    <n v="0"/>
    <n v="4799.2"/>
    <s v="Pinelab Card"/>
    <x v="33"/>
  </r>
  <r>
    <x v="0"/>
    <x v="137"/>
    <s v="31B7ABD9D249"/>
    <s v="Clothing"/>
    <s v="Men"/>
    <s v="Topwear"/>
    <x v="0"/>
    <x v="7"/>
    <n v="8905202264736"/>
    <s v="BD1358786"/>
    <s v="8905202264736_Whi_S"/>
    <x v="53"/>
    <s v="S"/>
    <n v="2495"/>
    <n v="2495"/>
    <n v="1"/>
    <n v="2495"/>
    <n v="998"/>
    <n v="0"/>
    <n v="1497"/>
    <s v="Pinelab Card"/>
    <x v="16"/>
  </r>
  <r>
    <x v="0"/>
    <x v="137"/>
    <s v="83AFB14CD121"/>
    <s v="Clothing"/>
    <s v="Men"/>
    <s v="Topwear"/>
    <x v="0"/>
    <x v="7"/>
    <n v="8905202264699"/>
    <s v="BD1358781"/>
    <s v="8905202264699_Bla_XXL"/>
    <x v="44"/>
    <s v="XXL"/>
    <n v="2995"/>
    <n v="2995"/>
    <n v="1"/>
    <n v="2995"/>
    <n v="1198"/>
    <n v="0"/>
    <n v="1797"/>
    <s v="Cash, Pinelab Card"/>
    <x v="37"/>
  </r>
  <r>
    <x v="0"/>
    <x v="137"/>
    <s v="F9D10F96FF54"/>
    <s v="Clothing"/>
    <s v="Men"/>
    <s v="Topwear"/>
    <x v="0"/>
    <x v="7"/>
    <n v="8905202264712"/>
    <s v="BD1358783"/>
    <s v="8905202264712_Bla_Onesize"/>
    <x v="9"/>
    <s v="Onesize"/>
    <n v="3495"/>
    <n v="3495"/>
    <n v="1"/>
    <n v="3495"/>
    <n v="1398"/>
    <n v="0"/>
    <n v="2097"/>
    <s v="Pinelab Card"/>
    <x v="45"/>
  </r>
  <r>
    <x v="0"/>
    <x v="137"/>
    <s v="A9835580F2EC"/>
    <s v="Clothing"/>
    <s v="Men"/>
    <s v="Topwear"/>
    <x v="0"/>
    <x v="7"/>
    <n v="8905202264675"/>
    <s v="BD1358778"/>
    <s v="8905202264675_Bla_S"/>
    <x v="37"/>
    <s v="S"/>
    <n v="2995"/>
    <n v="2995"/>
    <n v="1"/>
    <n v="2995"/>
    <n v="1198"/>
    <n v="0"/>
    <n v="1797"/>
    <s v="Pinelab UPI"/>
    <x v="37"/>
  </r>
  <r>
    <x v="3"/>
    <x v="138"/>
    <s v="30ED8025800A"/>
    <s v="Clothing"/>
    <s v="Men"/>
    <s v="Topwear"/>
    <x v="2"/>
    <x v="7"/>
    <n v="8905302263391"/>
    <s v="BD1395121"/>
    <s v="8905302263391_Blu_L"/>
    <x v="98"/>
    <s v="L"/>
    <n v="4999"/>
    <n v="4999"/>
    <n v="1"/>
    <n v="4999"/>
    <n v="999.8"/>
    <n v="0"/>
    <n v="3999.2"/>
    <s v="Pinelab Card"/>
    <x v="68"/>
  </r>
  <r>
    <x v="3"/>
    <x v="138"/>
    <s v="0DE44B5ED8E2"/>
    <s v="Clothing"/>
    <s v="Men"/>
    <s v="Bottomwear"/>
    <x v="4"/>
    <x v="7"/>
    <n v="8905302263222"/>
    <s v="BD1385610"/>
    <s v="8905302263222_Blu_XL"/>
    <x v="136"/>
    <s v="XL"/>
    <n v="4999"/>
    <n v="4999"/>
    <n v="1"/>
    <n v="4999"/>
    <n v="1999.6"/>
    <n v="0"/>
    <n v="2999.4"/>
    <s v="Pinelab Card"/>
    <x v="70"/>
  </r>
  <r>
    <x v="3"/>
    <x v="138"/>
    <s v="0DE44B5ED8E2"/>
    <s v="Clothing"/>
    <s v="Men"/>
    <s v="Topwear"/>
    <x v="0"/>
    <x v="7"/>
    <n v="8905202264705"/>
    <s v="BD1358784"/>
    <s v="8905202264705_Whi_Onesize"/>
    <x v="57"/>
    <s v="Onesize"/>
    <n v="3495"/>
    <n v="3495"/>
    <n v="1"/>
    <n v="3495"/>
    <n v="1398"/>
    <n v="0"/>
    <n v="2097"/>
    <s v="Pinelab Card"/>
    <x v="35"/>
  </r>
  <r>
    <x v="3"/>
    <x v="138"/>
    <s v="41465660A768"/>
    <s v="Clothing"/>
    <s v="Men"/>
    <s v="Topwear"/>
    <x v="2"/>
    <x v="7"/>
    <n v="8905302263414"/>
    <s v="BD1411074"/>
    <s v="8905302263414_Bla_S"/>
    <x v="137"/>
    <s v="S"/>
    <n v="6999"/>
    <n v="6999"/>
    <n v="1"/>
    <n v="6999"/>
    <n v="1399.8"/>
    <n v="0"/>
    <n v="5599.2"/>
    <s v="Card"/>
    <x v="74"/>
  </r>
  <r>
    <x v="3"/>
    <x v="138"/>
    <s v="AE47D0C9F0CB"/>
    <s v="Clothing"/>
    <s v="Men"/>
    <s v="Topwear"/>
    <x v="0"/>
    <x v="7"/>
    <n v="8905202264682"/>
    <s v="BD1358779"/>
    <s v="8905202264682_Bla_XL"/>
    <x v="10"/>
    <s v="XL"/>
    <n v="2995"/>
    <n v="2995"/>
    <n v="1"/>
    <n v="2995"/>
    <n v="1198"/>
    <n v="0"/>
    <n v="1797"/>
    <s v="Card"/>
    <x v="37"/>
  </r>
  <r>
    <x v="3"/>
    <x v="138"/>
    <s v="8A930528EDCD"/>
    <s v="Clothing"/>
    <s v="Men"/>
    <s v="Bottomwear"/>
    <x v="3"/>
    <x v="7"/>
    <n v="8905302263360"/>
    <s v="BD1395082"/>
    <s v="8905302263360_Blu_XL"/>
    <x v="92"/>
    <s v="XL"/>
    <n v="7999"/>
    <n v="7999"/>
    <n v="1"/>
    <n v="7999"/>
    <n v="2399.6999999999998"/>
    <n v="0"/>
    <n v="5599.3"/>
    <s v="Cash"/>
    <x v="50"/>
  </r>
  <r>
    <x v="1"/>
    <x v="138"/>
    <s v="1C04C5409F74"/>
    <s v="Clothing"/>
    <s v="Men"/>
    <s v="Topwear"/>
    <x v="2"/>
    <x v="7"/>
    <n v="8905302263227"/>
    <s v="BD1385613"/>
    <s v="8905302263227_Oli_M"/>
    <x v="26"/>
    <s v="M"/>
    <n v="5999"/>
    <n v="5999"/>
    <n v="1"/>
    <n v="5999"/>
    <n v="1199.8"/>
    <n v="0"/>
    <n v="4799.2"/>
    <s v="Cash, Pinelab Card"/>
    <x v="20"/>
  </r>
  <r>
    <x v="1"/>
    <x v="138"/>
    <s v="1C04C5409F74"/>
    <s v="Clothing"/>
    <s v="Men"/>
    <s v="Topwear"/>
    <x v="2"/>
    <x v="7"/>
    <n v="8905302263331"/>
    <s v="BD1395013"/>
    <s v="8905302263331_Nav_M"/>
    <x v="138"/>
    <s v="M"/>
    <n v="4999"/>
    <n v="4999"/>
    <n v="1"/>
    <n v="4999"/>
    <n v="999.8"/>
    <n v="0"/>
    <n v="3999.2"/>
    <s v="Cash, Pinelab Card"/>
    <x v="57"/>
  </r>
  <r>
    <x v="1"/>
    <x v="138"/>
    <s v="D7FCBBA9A874"/>
    <s v="Clothing"/>
    <s v="Men"/>
    <s v="Bottomwear"/>
    <x v="3"/>
    <x v="7"/>
    <n v="8905302263181"/>
    <s v="BD1385584"/>
    <s v="8905302263181_Cha_M"/>
    <x v="45"/>
    <s v="M"/>
    <n v="5999"/>
    <n v="5999"/>
    <n v="1"/>
    <n v="5999"/>
    <n v="1799.7"/>
    <n v="0"/>
    <n v="4199.3"/>
    <s v="Pinelab Card"/>
    <x v="29"/>
  </r>
  <r>
    <x v="1"/>
    <x v="138"/>
    <s v="D7FCBBA9A874"/>
    <s v="Clothing"/>
    <s v="Men"/>
    <s v="Bottomwear"/>
    <x v="3"/>
    <x v="7"/>
    <n v="8905302263358"/>
    <s v="BD1395070"/>
    <s v="8905302263358_Blu_M"/>
    <x v="76"/>
    <s v="M"/>
    <n v="7999"/>
    <n v="7999"/>
    <n v="1"/>
    <n v="7999"/>
    <n v="2399.6999999999998"/>
    <n v="0"/>
    <n v="5599.3"/>
    <s v="Pinelab Card"/>
    <x v="50"/>
  </r>
  <r>
    <x v="1"/>
    <x v="138"/>
    <s v="5912F36DC14C"/>
    <s v="Clothing"/>
    <s v="Men"/>
    <s v="Topwear"/>
    <x v="2"/>
    <x v="7"/>
    <n v="8905302263277"/>
    <s v="BD1394004"/>
    <s v="8905302263277_Bla_L"/>
    <x v="126"/>
    <s v="L"/>
    <n v="4999"/>
    <n v="4999"/>
    <n v="1"/>
    <n v="4999"/>
    <n v="999.8"/>
    <n v="0"/>
    <n v="3999.2"/>
    <s v="Pinelab Card"/>
    <x v="64"/>
  </r>
  <r>
    <x v="0"/>
    <x v="138"/>
    <s v="FF4507491CFB"/>
    <s v="Clothing"/>
    <s v="Men"/>
    <s v="Topwear"/>
    <x v="0"/>
    <x v="7"/>
    <n v="8905302263377"/>
    <s v="BD1395102"/>
    <s v="8905302263377_Pin_L"/>
    <x v="127"/>
    <s v="L"/>
    <n v="3999"/>
    <n v="3999"/>
    <n v="1"/>
    <n v="3999"/>
    <n v="1599.6"/>
    <n v="0"/>
    <n v="2399.4"/>
    <s v="Cash, Pinelab UPI"/>
    <x v="53"/>
  </r>
  <r>
    <x v="0"/>
    <x v="138"/>
    <s v="A6EE59E8A6B6"/>
    <s v="Clothing"/>
    <s v="Men"/>
    <s v="Topwear"/>
    <x v="0"/>
    <x v="7"/>
    <n v="8905202264712"/>
    <s v="BD1358783"/>
    <s v="8905202264712_Bla_Onesize"/>
    <x v="9"/>
    <s v="Onesize"/>
    <n v="3495"/>
    <n v="3495"/>
    <n v="1"/>
    <n v="3495"/>
    <n v="1398"/>
    <n v="0"/>
    <n v="2097"/>
    <s v="Card, Card "/>
    <x v="45"/>
  </r>
  <r>
    <x v="0"/>
    <x v="138"/>
    <s v="5BD499E032C8"/>
    <s v="Clothing"/>
    <s v="Men"/>
    <s v="Topwear"/>
    <x v="0"/>
    <x v="7"/>
    <n v="8905202264705"/>
    <s v="BD1358784"/>
    <s v="8905202264705_Whi_Onesize"/>
    <x v="57"/>
    <s v="Onesize"/>
    <n v="3495"/>
    <n v="3495"/>
    <n v="1"/>
    <n v="3495"/>
    <n v="1398"/>
    <n v="0"/>
    <n v="2097"/>
    <s v="Pinelab UPI"/>
    <x v="35"/>
  </r>
  <r>
    <x v="0"/>
    <x v="138"/>
    <s v="5BD499E032C8"/>
    <s v="Clothing"/>
    <s v="Men"/>
    <s v="Topwear"/>
    <x v="0"/>
    <x v="7"/>
    <n v="8905202264729"/>
    <s v="BD1358785"/>
    <n v="8905202264729"/>
    <x v="9"/>
    <s v="Onesize"/>
    <n v="2995"/>
    <n v="2995"/>
    <n v="1"/>
    <n v="2995"/>
    <n v="1198"/>
    <n v="0"/>
    <n v="1797"/>
    <s v="Pinelab UPI"/>
    <x v="9"/>
  </r>
  <r>
    <x v="0"/>
    <x v="138"/>
    <s v="5BD499E032C8"/>
    <s v="Clothing"/>
    <s v="Men"/>
    <s v="Topwear"/>
    <x v="0"/>
    <x v="7"/>
    <n v="8905202264910"/>
    <s v="BD1358807"/>
    <s v="8905202264910_Blu_XL"/>
    <x v="23"/>
    <s v="XL"/>
    <n v="2995"/>
    <n v="2995"/>
    <n v="1"/>
    <n v="2995"/>
    <n v="1198"/>
    <n v="0"/>
    <n v="1797"/>
    <s v="Pinelab UPI"/>
    <x v="15"/>
  </r>
  <r>
    <x v="0"/>
    <x v="138"/>
    <s v="5BD499E032C8"/>
    <s v="Clothing"/>
    <s v="Men"/>
    <s v="Topwear"/>
    <x v="0"/>
    <x v="7"/>
    <n v="8905302263434"/>
    <s v="BD1429693"/>
    <s v="8905302263434_Gre_XL"/>
    <x v="139"/>
    <s v="XL"/>
    <n v="3999"/>
    <n v="3999"/>
    <n v="1"/>
    <n v="3999"/>
    <n v="1599.6"/>
    <n v="0"/>
    <n v="2399.4"/>
    <s v="Pinelab UPI"/>
    <x v="79"/>
  </r>
  <r>
    <x v="0"/>
    <x v="138"/>
    <s v="C76C6740B0A4"/>
    <s v="Clothing"/>
    <s v="Men"/>
    <s v="Topwear"/>
    <x v="0"/>
    <x v="7"/>
    <n v="8905202264637"/>
    <s v="BD1358772"/>
    <n v="8905202264637"/>
    <x v="10"/>
    <s v="XL"/>
    <n v="3495"/>
    <n v="3495"/>
    <n v="1"/>
    <n v="3495"/>
    <n v="1398"/>
    <n v="0"/>
    <n v="2097"/>
    <s v="Pinelab Card"/>
    <x v="23"/>
  </r>
  <r>
    <x v="0"/>
    <x v="138"/>
    <s v="C76C6740B0A4"/>
    <s v="Clothing"/>
    <s v="Men"/>
    <s v="Topwear"/>
    <x v="0"/>
    <x v="7"/>
    <n v="8905202264866"/>
    <s v="BD1358794"/>
    <s v="8905202264866_Bla_XL"/>
    <x v="10"/>
    <s v="XL"/>
    <n v="3995"/>
    <n v="3995"/>
    <n v="1"/>
    <n v="3995"/>
    <n v="1598"/>
    <n v="0"/>
    <n v="2397"/>
    <s v="Pinelab Card"/>
    <x v="18"/>
  </r>
  <r>
    <x v="0"/>
    <x v="138"/>
    <s v="C76C6740B0A4"/>
    <s v="Clothing"/>
    <s v="Men"/>
    <s v="Topwear"/>
    <x v="0"/>
    <x v="7"/>
    <n v="8905302263434"/>
    <s v="BD1429693"/>
    <s v="8905302263434_Gre_XL"/>
    <x v="139"/>
    <s v="XL"/>
    <n v="3999"/>
    <n v="3999"/>
    <n v="1"/>
    <n v="3999"/>
    <n v="1599.6"/>
    <n v="0"/>
    <n v="2399.4"/>
    <s v="Pinelab Card"/>
    <x v="79"/>
  </r>
  <r>
    <x v="3"/>
    <x v="127"/>
    <s v="B8940F6AA848"/>
    <s v="Clothing"/>
    <s v="Men"/>
    <s v="Topwear"/>
    <x v="2"/>
    <x v="7"/>
    <n v="8905302263390"/>
    <s v="BD1395107"/>
    <s v="8905302263390_Blu_M"/>
    <x v="102"/>
    <s v="M"/>
    <n v="4999"/>
    <n v="4999"/>
    <n v="1"/>
    <n v="4999"/>
    <n v="999.8"/>
    <n v="0"/>
    <n v="3999.2"/>
    <s v="Cash"/>
    <x v="68"/>
  </r>
  <r>
    <x v="0"/>
    <x v="127"/>
    <s v="D1C6337F57DA"/>
    <s v="Clothing"/>
    <s v="Men"/>
    <s v="Topwear"/>
    <x v="2"/>
    <x v="7"/>
    <n v="8905302263252"/>
    <s v="BD1392647"/>
    <s v="8905302263252_Bla_L"/>
    <x v="126"/>
    <s v="L"/>
    <n v="4999"/>
    <n v="4999"/>
    <n v="1"/>
    <n v="4999"/>
    <n v="999.8"/>
    <n v="0"/>
    <n v="3999.2"/>
    <s v="Cash"/>
    <x v="38"/>
  </r>
  <r>
    <x v="0"/>
    <x v="128"/>
    <s v="55538A95245D"/>
    <s v="Clothing"/>
    <s v="Men"/>
    <s v="Bottomwear"/>
    <x v="3"/>
    <x v="7"/>
    <n v="8905302263339"/>
    <s v="BD1417302"/>
    <s v="8905302263339_Blu_L"/>
    <x v="128"/>
    <s v="L"/>
    <n v="7999"/>
    <n v="7999"/>
    <n v="1"/>
    <n v="7999"/>
    <n v="2399.6999999999998"/>
    <n v="0"/>
    <n v="5599.3"/>
    <s v="Pinelab UPI"/>
    <x v="28"/>
  </r>
  <r>
    <x v="0"/>
    <x v="128"/>
    <s v="55538A95245D"/>
    <s v="Clothing"/>
    <s v="Men"/>
    <s v="Bottomwear"/>
    <x v="3"/>
    <x v="7"/>
    <n v="8905302263359"/>
    <s v="BD1395080"/>
    <s v="8905302263359_Blu_L"/>
    <x v="116"/>
    <s v="L"/>
    <n v="7999"/>
    <n v="7999"/>
    <n v="1"/>
    <n v="7999"/>
    <n v="2399.6999999999998"/>
    <n v="0"/>
    <n v="5599.3"/>
    <s v="Pinelab UPI"/>
    <x v="50"/>
  </r>
  <r>
    <x v="0"/>
    <x v="128"/>
    <s v="866D7728BCB4"/>
    <s v="Clothing"/>
    <s v="Men"/>
    <s v="Topwear"/>
    <x v="0"/>
    <x v="7"/>
    <n v="8905302263432"/>
    <s v="BD1429685"/>
    <s v="8905302263432_Gre_M"/>
    <x v="140"/>
    <s v="M"/>
    <n v="3999"/>
    <n v="3999"/>
    <n v="1"/>
    <n v="3999"/>
    <n v="1599.6"/>
    <n v="0"/>
    <n v="2399.4"/>
    <s v="Pinelab Card"/>
    <x v="79"/>
  </r>
  <r>
    <x v="0"/>
    <x v="128"/>
    <s v="29651F1A3C15"/>
    <s v="Clothing"/>
    <s v="Men"/>
    <s v="Topwear"/>
    <x v="0"/>
    <x v="7"/>
    <n v="8905202269465"/>
    <s v="BD1358750"/>
    <s v="8905202269465_Red_XXL"/>
    <x v="85"/>
    <s v="XXL"/>
    <n v="3995"/>
    <n v="3995"/>
    <n v="1"/>
    <n v="3995"/>
    <n v="1598"/>
    <n v="0"/>
    <n v="2397"/>
    <s v="UPI, Pinelab UPI"/>
    <x v="0"/>
  </r>
  <r>
    <x v="3"/>
    <x v="129"/>
    <s v="83AFB14CD121"/>
    <s v="Clothing"/>
    <s v="Men"/>
    <s v="Topwear"/>
    <x v="0"/>
    <x v="7"/>
    <n v="8905202264668"/>
    <s v="BD1358776"/>
    <s v="8905202264668_Bla_M"/>
    <x v="13"/>
    <s v="M"/>
    <n v="2995"/>
    <n v="2995"/>
    <n v="1"/>
    <n v="2995"/>
    <n v="1198"/>
    <n v="0"/>
    <n v="1797"/>
    <s v="Cash, Pinelab Card"/>
    <x v="37"/>
  </r>
  <r>
    <x v="1"/>
    <x v="129"/>
    <s v="E226583B6BAF"/>
    <s v="Clothing"/>
    <s v="Women"/>
    <s v="Topwear"/>
    <x v="0"/>
    <x v="7"/>
    <n v="8905202268918"/>
    <s v="BD1358886"/>
    <n v="8905202268918"/>
    <x v="47"/>
    <s v="L"/>
    <n v="1995"/>
    <n v="1995"/>
    <n v="1"/>
    <n v="1995"/>
    <n v="798"/>
    <n v="0"/>
    <n v="1197"/>
    <s v="Pinelab UPI"/>
    <x v="7"/>
  </r>
  <r>
    <x v="0"/>
    <x v="129"/>
    <s v="3ADD438A96CB"/>
    <s v="Clothing"/>
    <s v="Men"/>
    <s v="Topwear"/>
    <x v="2"/>
    <x v="7"/>
    <n v="8905302263237"/>
    <s v="BD1385626"/>
    <s v="8905302263237_Cha_M"/>
    <x v="78"/>
    <s v="M"/>
    <n v="5999"/>
    <n v="5999"/>
    <n v="1"/>
    <n v="5999"/>
    <n v="1199.8"/>
    <n v="201.37"/>
    <n v="4597.83"/>
    <s v="Pinelab Card"/>
    <x v="25"/>
  </r>
  <r>
    <x v="0"/>
    <x v="129"/>
    <s v="D54873DA4255"/>
    <s v="Clothing"/>
    <s v="Men"/>
    <s v="Topwear"/>
    <x v="0"/>
    <x v="7"/>
    <n v="8905202264729"/>
    <s v="BD1358785"/>
    <n v="8905202264729"/>
    <x v="9"/>
    <s v="Onesize"/>
    <n v="2995"/>
    <n v="2995"/>
    <n v="1"/>
    <n v="2995"/>
    <n v="1198"/>
    <n v="0"/>
    <n v="1797"/>
    <s v="Pinelab UPI"/>
    <x v="9"/>
  </r>
  <r>
    <x v="0"/>
    <x v="129"/>
    <s v="D54873DA4255"/>
    <s v="Clothing"/>
    <s v="Men"/>
    <s v="Topwear"/>
    <x v="0"/>
    <x v="7"/>
    <n v="8905202269465"/>
    <s v="BD1358750"/>
    <s v="8905202269465_Red_XXL"/>
    <x v="85"/>
    <s v="XXL"/>
    <n v="3995"/>
    <n v="3995"/>
    <n v="1"/>
    <n v="3995"/>
    <n v="1598"/>
    <n v="0"/>
    <n v="2397"/>
    <s v="Pinelab UPI"/>
    <x v="0"/>
  </r>
  <r>
    <x v="0"/>
    <x v="129"/>
    <s v="4E51ACD84AA7"/>
    <s v="Clothing"/>
    <s v="Men"/>
    <s v="Bottomwear"/>
    <x v="4"/>
    <x v="7"/>
    <n v="8905302263223"/>
    <s v="BD1385617"/>
    <s v="8905302263223_Blu_XXL"/>
    <x v="117"/>
    <s v="XXL"/>
    <n v="4999"/>
    <n v="4999"/>
    <n v="1"/>
    <n v="4999"/>
    <n v="1999.6"/>
    <n v="0"/>
    <n v="2999.4"/>
    <s v="Pinelab UPI"/>
    <x v="70"/>
  </r>
  <r>
    <x v="2"/>
    <x v="129"/>
    <s v="338EF8A80388"/>
    <s v="Clothing"/>
    <s v="Men"/>
    <s v="Bottomwear"/>
    <x v="3"/>
    <x v="7"/>
    <n v="8905302263364"/>
    <s v="BD1395093"/>
    <s v="8905302263364_Bla_XL"/>
    <x v="87"/>
    <s v="XL"/>
    <n v="7999"/>
    <n v="7999"/>
    <n v="1"/>
    <n v="7999"/>
    <n v="2399.6999999999998"/>
    <n v="0"/>
    <n v="5599.3"/>
    <s v="Credit Note Received, Pinelab Card"/>
    <x v="42"/>
  </r>
  <r>
    <x v="2"/>
    <x v="129"/>
    <s v="338EF8A80388"/>
    <s v="Clothing"/>
    <s v="Men"/>
    <s v="Topwear"/>
    <x v="2"/>
    <x v="7"/>
    <n v="8905302263238"/>
    <s v="BD1385627"/>
    <s v="8905302263238_Cha_L"/>
    <x v="80"/>
    <s v="L"/>
    <n v="5999"/>
    <n v="5999"/>
    <n v="1"/>
    <n v="5999"/>
    <n v="1199.8"/>
    <n v="0"/>
    <n v="4799.2"/>
    <s v="Credit Note Received, Pinelab Card"/>
    <x v="25"/>
  </r>
  <r>
    <x v="2"/>
    <x v="129"/>
    <s v="C3FE79487609"/>
    <s v="Clothing"/>
    <s v="Men"/>
    <s v="Topwear"/>
    <x v="0"/>
    <x v="7"/>
    <n v="8905202264712"/>
    <s v="BD1358783"/>
    <s v="8905202264712_Bla_Onesize"/>
    <x v="9"/>
    <s v="Onesize"/>
    <n v="3495"/>
    <n v="3495"/>
    <n v="1"/>
    <n v="3495"/>
    <n v="1398"/>
    <n v="0"/>
    <n v="2097"/>
    <s v="Pinelab Card"/>
    <x v="45"/>
  </r>
  <r>
    <x v="0"/>
    <x v="139"/>
    <s v="BB93E0A27783"/>
    <s v="Clothing"/>
    <s v="Men"/>
    <s v="Topwear"/>
    <x v="2"/>
    <x v="7"/>
    <n v="8905302263292"/>
    <s v="BD1394013"/>
    <s v="8905302263292_Nav_L"/>
    <x v="107"/>
    <s v="L"/>
    <n v="6999"/>
    <n v="6999"/>
    <n v="1"/>
    <n v="6999"/>
    <n v="1399.8"/>
    <n v="0"/>
    <n v="5599.2"/>
    <s v="Pinelab Card"/>
    <x v="80"/>
  </r>
  <r>
    <x v="0"/>
    <x v="139"/>
    <m/>
    <s v="Clothing"/>
    <s v="Men"/>
    <s v="Topwear"/>
    <x v="0"/>
    <x v="7"/>
    <n v="8905202264842"/>
    <s v="BD1358792"/>
    <s v="8905202264842_Bla_M"/>
    <x v="13"/>
    <s v="M"/>
    <n v="3995"/>
    <n v="3995"/>
    <n v="1"/>
    <n v="3995"/>
    <n v="1598"/>
    <n v="0"/>
    <n v="2397"/>
    <s v="Pinelab Card"/>
    <x v="18"/>
  </r>
  <r>
    <x v="0"/>
    <x v="139"/>
    <m/>
    <s v="Clothing"/>
    <s v="Men"/>
    <s v="Topwear"/>
    <x v="0"/>
    <x v="7"/>
    <n v="8905202264941"/>
    <s v="BD1358817"/>
    <n v="8905202264941"/>
    <x v="5"/>
    <s v="M"/>
    <n v="2495"/>
    <n v="2495"/>
    <n v="1"/>
    <n v="2495"/>
    <n v="998"/>
    <n v="0"/>
    <n v="1497"/>
    <s v="Pinelab Card"/>
    <x v="13"/>
  </r>
  <r>
    <x v="0"/>
    <x v="139"/>
    <m/>
    <s v="Clothing"/>
    <s v="Men"/>
    <s v="Topwear"/>
    <x v="0"/>
    <x v="7"/>
    <n v="8905202269434"/>
    <s v="BD1358756"/>
    <s v="8905202269434_Red_M"/>
    <x v="17"/>
    <s v="M"/>
    <n v="3995"/>
    <n v="3995"/>
    <n v="1"/>
    <n v="3995"/>
    <n v="1598"/>
    <n v="0"/>
    <n v="2397"/>
    <s v="Pinelab Card"/>
    <x v="0"/>
  </r>
  <r>
    <x v="2"/>
    <x v="139"/>
    <s v="479395A341D6"/>
    <s v="Clothing"/>
    <s v="Men"/>
    <s v="Bottomwear"/>
    <x v="3"/>
    <x v="7"/>
    <n v="8905302263192"/>
    <s v="BD1385594"/>
    <s v="8905302263192_Blu_XL"/>
    <x v="65"/>
    <s v="XL"/>
    <n v="7999"/>
    <n v="7999"/>
    <n v="1"/>
    <n v="7999"/>
    <n v="2399.6999999999998"/>
    <n v="0"/>
    <n v="5599.3"/>
    <s v="Card"/>
    <x v="28"/>
  </r>
  <r>
    <x v="2"/>
    <x v="139"/>
    <s v="479395A341D6"/>
    <s v="Clothing"/>
    <s v="Men"/>
    <s v="Bottomwear"/>
    <x v="3"/>
    <x v="7"/>
    <n v="8905302263206"/>
    <s v="BD1385605"/>
    <s v="8905302263206_Bla_XXL"/>
    <x v="74"/>
    <s v="XXL"/>
    <n v="6999"/>
    <n v="6999"/>
    <n v="1"/>
    <n v="6999"/>
    <n v="2099.6999999999998"/>
    <n v="0"/>
    <n v="4899.3"/>
    <s v="Card"/>
    <x v="31"/>
  </r>
  <r>
    <x v="2"/>
    <x v="139"/>
    <s v="479395A341D6"/>
    <s v="Clothing"/>
    <s v="Women"/>
    <s v="Topwear"/>
    <x v="0"/>
    <x v="7"/>
    <n v="8905302263196"/>
    <s v="BD1385575"/>
    <n v="8905302263196"/>
    <x v="141"/>
    <s v="XL"/>
    <n v="2495"/>
    <n v="2495"/>
    <n v="1"/>
    <n v="2495"/>
    <n v="748.5"/>
    <n v="0"/>
    <n v="1746.5"/>
    <s v="Card"/>
    <x v="63"/>
  </r>
  <r>
    <x v="1"/>
    <x v="140"/>
    <s v="4393CEF26670"/>
    <s v="Clothing"/>
    <s v="Men"/>
    <s v="Bottomwear"/>
    <x v="3"/>
    <x v="7"/>
    <n v="8905302263402"/>
    <s v="BD1411065"/>
    <s v="8905302263402_Blu_XL"/>
    <x v="142"/>
    <s v="XL"/>
    <n v="7999"/>
    <n v="7999"/>
    <n v="1"/>
    <n v="7999"/>
    <n v="2399.6999999999998"/>
    <n v="0"/>
    <n v="5599.3"/>
    <s v="Pinelab UPI"/>
    <x v="61"/>
  </r>
  <r>
    <x v="0"/>
    <x v="140"/>
    <s v="9E01946AD80D"/>
    <s v="Clothing"/>
    <s v="Men"/>
    <s v="Topwear"/>
    <x v="0"/>
    <x v="7"/>
    <n v="8905202264729"/>
    <s v="BD1358785"/>
    <n v="8905202264729"/>
    <x v="9"/>
    <s v="Onesize"/>
    <n v="2995"/>
    <n v="2995"/>
    <n v="1"/>
    <n v="2995"/>
    <n v="1198"/>
    <n v="0"/>
    <n v="1797"/>
    <s v="Pinelab Card"/>
    <x v="9"/>
  </r>
  <r>
    <x v="2"/>
    <x v="140"/>
    <s v="71EA4026E22A"/>
    <s v="Clothing"/>
    <s v="Men"/>
    <s v="Topwear"/>
    <x v="0"/>
    <x v="7"/>
    <n v="8905202269076"/>
    <s v="BD1358752"/>
    <s v="8905202269076_Whi_L"/>
    <x v="8"/>
    <s v="L"/>
    <n v="3495"/>
    <n v="3495"/>
    <n v="1"/>
    <n v="3495"/>
    <n v="1398"/>
    <n v="0"/>
    <n v="2097"/>
    <s v="Cash, UPI"/>
    <x v="8"/>
  </r>
  <r>
    <x v="1"/>
    <x v="141"/>
    <s v="551034700C4E"/>
    <s v="Clothing"/>
    <s v="Men"/>
    <s v="Topwear"/>
    <x v="0"/>
    <x v="7"/>
    <n v="8905302263384"/>
    <s v="BD1395109"/>
    <s v="8905302263384_Blu_XL"/>
    <x v="23"/>
    <s v="XL"/>
    <n v="3999"/>
    <n v="3999"/>
    <n v="1"/>
    <n v="3999"/>
    <n v="1599.6"/>
    <n v="0"/>
    <n v="2399.4"/>
    <s v="Pinelab Card"/>
    <x v="56"/>
  </r>
  <r>
    <x v="1"/>
    <x v="141"/>
    <s v="087FC37FA5EC"/>
    <s v="Clothing"/>
    <s v="Men"/>
    <s v="Topwear"/>
    <x v="0"/>
    <x v="7"/>
    <n v="8905202264866"/>
    <s v="BD1358794"/>
    <s v="8905202264866_Bla_XL"/>
    <x v="10"/>
    <s v="XL"/>
    <n v="3995"/>
    <n v="3995"/>
    <n v="1"/>
    <n v="3995"/>
    <n v="1598"/>
    <n v="0"/>
    <n v="2397"/>
    <s v="Pinelab Card"/>
    <x v="18"/>
  </r>
  <r>
    <x v="1"/>
    <x v="141"/>
    <s v="A46A01302731"/>
    <s v="Clothing"/>
    <s v="Men"/>
    <s v="Topwear"/>
    <x v="0"/>
    <x v="7"/>
    <n v="8905202264606"/>
    <s v="BD1358771"/>
    <n v="8905202264606"/>
    <x v="22"/>
    <s v="L"/>
    <n v="3495"/>
    <n v="3495"/>
    <n v="1"/>
    <n v="3495"/>
    <n v="1398"/>
    <n v="0"/>
    <n v="2097"/>
    <s v="Pinelab Card"/>
    <x v="23"/>
  </r>
  <r>
    <x v="1"/>
    <x v="141"/>
    <s v="D402D594DEAA"/>
    <s v="Clothing"/>
    <s v="Men"/>
    <s v="Bottomwear"/>
    <x v="4"/>
    <x v="7"/>
    <n v="8905302263215"/>
    <s v="BD1385600"/>
    <s v="8905302263215_Gre_M"/>
    <x v="143"/>
    <s v="M"/>
    <n v="4999"/>
    <n v="4999"/>
    <n v="1"/>
    <n v="4999"/>
    <n v="1999.6"/>
    <n v="0"/>
    <n v="2999.4"/>
    <s v="Pinelab UPI"/>
    <x v="60"/>
  </r>
  <r>
    <x v="0"/>
    <x v="141"/>
    <s v="A66459527E55"/>
    <s v="Clothing"/>
    <s v="Men"/>
    <s v="Topwear"/>
    <x v="0"/>
    <x v="7"/>
    <n v="8905202269076"/>
    <s v="BD1358752"/>
    <s v="8905202269076_Whi_L"/>
    <x v="8"/>
    <s v="L"/>
    <n v="3495"/>
    <n v="3495"/>
    <n v="1"/>
    <n v="3495"/>
    <n v="1398"/>
    <n v="0"/>
    <n v="2097"/>
    <s v="Pinelab Card"/>
    <x v="8"/>
  </r>
  <r>
    <x v="0"/>
    <x v="141"/>
    <s v="83AFB14CD121"/>
    <s v="Clothing"/>
    <s v="Men"/>
    <s v="Topwear"/>
    <x v="2"/>
    <x v="7"/>
    <n v="8905302263303"/>
    <s v="BD1394029"/>
    <s v="8905302263303_Blu_S"/>
    <x v="83"/>
    <s v="S"/>
    <n v="4999"/>
    <n v="4999"/>
    <n v="1"/>
    <n v="4999"/>
    <n v="999.8"/>
    <n v="0"/>
    <n v="3999.2"/>
    <s v="Pinelab UPI"/>
    <x v="58"/>
  </r>
  <r>
    <x v="2"/>
    <x v="141"/>
    <s v="02CEF06708FD"/>
    <s v="Clothing"/>
    <s v="Men"/>
    <s v="Topwear"/>
    <x v="0"/>
    <x v="7"/>
    <n v="8905202264729"/>
    <s v="BD1358785"/>
    <n v="8905202264729"/>
    <x v="9"/>
    <s v="Onesize"/>
    <n v="2995"/>
    <n v="2995"/>
    <n v="1"/>
    <n v="2995"/>
    <n v="1198"/>
    <n v="0"/>
    <n v="1797"/>
    <s v="UPI"/>
    <x v="9"/>
  </r>
  <r>
    <x v="3"/>
    <x v="142"/>
    <s v="F92CB88A9425"/>
    <s v="Clothing"/>
    <s v="Men"/>
    <s v="Topwear"/>
    <x v="0"/>
    <x v="7"/>
    <n v="8905202264613"/>
    <s v="BD1358770"/>
    <n v="8905202264613"/>
    <x v="13"/>
    <s v="M"/>
    <n v="3495"/>
    <n v="3495"/>
    <n v="1"/>
    <n v="3495"/>
    <n v="1398"/>
    <n v="0"/>
    <n v="2097"/>
    <s v="Cash"/>
    <x v="23"/>
  </r>
  <r>
    <x v="1"/>
    <x v="142"/>
    <s v="E7117090AC88"/>
    <s v="Clothing"/>
    <s v="Men"/>
    <s v="Bottomwear"/>
    <x v="3"/>
    <x v="7"/>
    <n v="8905302263195"/>
    <s v="BD1395119"/>
    <s v="8905302263195_Blu_L"/>
    <x v="113"/>
    <s v="L"/>
    <n v="7999"/>
    <n v="7999"/>
    <n v="1"/>
    <n v="7999"/>
    <n v="2399.6999999999998"/>
    <n v="166.65"/>
    <n v="5432.65"/>
    <s v="Credit Note Received, Credit Note Received , Credit Note Received , Credit Note Received , Card, Pinelab UPI"/>
    <x v="63"/>
  </r>
  <r>
    <x v="1"/>
    <x v="142"/>
    <s v="E7117090AC88"/>
    <s v="Clothing"/>
    <s v="Men"/>
    <s v="Topwear"/>
    <x v="2"/>
    <x v="7"/>
    <n v="8905302263344"/>
    <s v="BD1395037"/>
    <s v="8905302263344_Whi_S"/>
    <x v="91"/>
    <s v="S"/>
    <n v="5999"/>
    <n v="5999"/>
    <n v="1"/>
    <n v="5999"/>
    <n v="1199.8"/>
    <n v="142.87"/>
    <n v="4656.33"/>
    <s v="Credit Note Received, Credit Note Received , Credit Note Received , Credit Note Received , Card, Pinelab UPI"/>
    <x v="43"/>
  </r>
  <r>
    <x v="1"/>
    <x v="142"/>
    <s v="B4FEBEE14E3D"/>
    <s v="Clothing"/>
    <s v="Men"/>
    <s v="Topwear"/>
    <x v="2"/>
    <x v="7"/>
    <n v="8905302263229"/>
    <s v="BD1385619"/>
    <s v="8905302263229_Oli_XL"/>
    <x v="131"/>
    <s v="XL"/>
    <n v="5999"/>
    <n v="5999"/>
    <n v="1"/>
    <n v="5999"/>
    <n v="1199.8"/>
    <n v="0"/>
    <n v="4799.2"/>
    <s v="Cash"/>
    <x v="20"/>
  </r>
  <r>
    <x v="1"/>
    <x v="142"/>
    <s v="D9F2EA18C109"/>
    <s v="Clothing"/>
    <s v="Men"/>
    <s v="Bottomwear"/>
    <x v="3"/>
    <x v="7"/>
    <n v="8905302263198"/>
    <s v="BD1385596"/>
    <s v="8905302263198_Bla_L"/>
    <x v="58"/>
    <s v="L"/>
    <n v="6999"/>
    <n v="6999"/>
    <n v="1"/>
    <n v="6999"/>
    <n v="2099.6999999999998"/>
    <n v="0"/>
    <n v="4899.3"/>
    <s v="Pinelab UPI"/>
    <x v="36"/>
  </r>
  <r>
    <x v="1"/>
    <x v="142"/>
    <s v="D9F2EA18C109"/>
    <s v="Clothing"/>
    <s v="Men"/>
    <s v="Topwear"/>
    <x v="2"/>
    <x v="7"/>
    <n v="8905302263304"/>
    <s v="BD1394020"/>
    <s v="8905302263304_Blu_M"/>
    <x v="102"/>
    <s v="M"/>
    <n v="4999"/>
    <n v="4999"/>
    <n v="1"/>
    <n v="4999"/>
    <n v="999.8"/>
    <n v="0"/>
    <n v="3999.2"/>
    <s v="Pinelab UPI"/>
    <x v="58"/>
  </r>
  <r>
    <x v="0"/>
    <x v="142"/>
    <s v="901E5B2D5EAF"/>
    <s v="Clothing"/>
    <s v="Men"/>
    <s v="Bottomwear"/>
    <x v="3"/>
    <x v="7"/>
    <n v="8905302263177"/>
    <s v="BD1385587"/>
    <s v="8905302263177_Blu_L"/>
    <x v="39"/>
    <s v="L"/>
    <n v="5999"/>
    <n v="5999"/>
    <n v="1"/>
    <n v="5999"/>
    <n v="1799.7"/>
    <n v="0"/>
    <n v="4199.3"/>
    <s v="Pinelab UPI"/>
    <x v="27"/>
  </r>
  <r>
    <x v="0"/>
    <x v="142"/>
    <s v="4D8F6F7DA728"/>
    <s v="Clothing"/>
    <s v="Men"/>
    <s v="Topwear"/>
    <x v="2"/>
    <x v="7"/>
    <n v="8905302263274"/>
    <s v="BD1393990"/>
    <s v="8905302263274_Blu_L"/>
    <x v="98"/>
    <s v="L"/>
    <n v="4999"/>
    <n v="4999"/>
    <n v="1"/>
    <n v="4999"/>
    <n v="999.8"/>
    <n v="0"/>
    <n v="3999.2"/>
    <s v="Pinelab UPI"/>
    <x v="62"/>
  </r>
  <r>
    <x v="0"/>
    <x v="142"/>
    <s v="4D8F6F7DA728"/>
    <s v="Clothing"/>
    <s v="Men"/>
    <s v="Topwear"/>
    <x v="0"/>
    <x v="7"/>
    <n v="8905302263432"/>
    <s v="BD1429685"/>
    <s v="8905302263432_Gre_M"/>
    <x v="140"/>
    <s v="M"/>
    <n v="3999"/>
    <n v="3999"/>
    <n v="1"/>
    <n v="3999"/>
    <n v="1599.6"/>
    <n v="0"/>
    <n v="2399.4"/>
    <s v="Pinelab UPI"/>
    <x v="79"/>
  </r>
  <r>
    <x v="0"/>
    <x v="142"/>
    <s v="83AFB14CD121"/>
    <s v="Clothing"/>
    <s v="Men"/>
    <s v="Topwear"/>
    <x v="2"/>
    <x v="7"/>
    <n v="8905302263328"/>
    <s v="BD1395003"/>
    <s v="8905302263328_Ora_S"/>
    <x v="89"/>
    <s v="S"/>
    <n v="4999"/>
    <n v="4999"/>
    <n v="1"/>
    <n v="4999"/>
    <n v="999.8"/>
    <n v="0"/>
    <n v="3999.2"/>
    <s v="Cash"/>
    <x v="49"/>
  </r>
  <r>
    <x v="0"/>
    <x v="142"/>
    <s v="9131C5DEE108"/>
    <s v="Clothing"/>
    <s v="Men"/>
    <s v="Bottomwear"/>
    <x v="4"/>
    <x v="7"/>
    <n v="8905202269014"/>
    <s v="BD1358880"/>
    <n v="8905202269014"/>
    <x v="144"/>
    <s v="L"/>
    <n v="2995"/>
    <n v="2995"/>
    <n v="1"/>
    <n v="2995"/>
    <n v="1198"/>
    <n v="0"/>
    <n v="1797"/>
    <s v="Pinelab Card"/>
    <x v="81"/>
  </r>
  <r>
    <x v="0"/>
    <x v="142"/>
    <s v="F95CDAF0AA73"/>
    <s v="Clothing"/>
    <s v="Men"/>
    <s v="Bottomwear"/>
    <x v="3"/>
    <x v="7"/>
    <n v="8905302263314"/>
    <s v="BD1394039"/>
    <s v="8905302263314_Blu_M"/>
    <x v="76"/>
    <s v="M"/>
    <n v="6999"/>
    <n v="6999"/>
    <n v="1"/>
    <n v="6999"/>
    <n v="2099.6999999999998"/>
    <n v="742.51"/>
    <n v="4156.79"/>
    <s v="Pinelab UPI"/>
    <x v="41"/>
  </r>
  <r>
    <x v="2"/>
    <x v="142"/>
    <s v="78D6D790B527"/>
    <s v="Clothing"/>
    <s v="Men"/>
    <s v="Bottomwear"/>
    <x v="3"/>
    <x v="7"/>
    <n v="8905302263192"/>
    <s v="BD1385594"/>
    <s v="8905302263192_Blu_XL"/>
    <x v="65"/>
    <s v="XL"/>
    <n v="7999"/>
    <n v="7999"/>
    <n v="1"/>
    <n v="7999"/>
    <n v="2399.6999999999998"/>
    <n v="0"/>
    <n v="5599.3"/>
    <s v="Cash"/>
    <x v="28"/>
  </r>
  <r>
    <x v="2"/>
    <x v="142"/>
    <s v="78D6D790B527"/>
    <s v="Clothing"/>
    <s v="Men"/>
    <s v="Topwear"/>
    <x v="0"/>
    <x v="7"/>
    <n v="8905302263432"/>
    <s v="BD1429685"/>
    <s v="8905302263432_Gre_M"/>
    <x v="140"/>
    <s v="M"/>
    <n v="3999"/>
    <n v="3999"/>
    <n v="1"/>
    <n v="3999"/>
    <n v="1599.6"/>
    <n v="0"/>
    <n v="2399.4"/>
    <s v="Cash"/>
    <x v="79"/>
  </r>
  <r>
    <x v="2"/>
    <x v="142"/>
    <s v="F534007636CD"/>
    <s v="Clothing"/>
    <s v="Men"/>
    <s v="Topwear"/>
    <x v="2"/>
    <x v="7"/>
    <n v="8905302263310"/>
    <s v="BD1394038"/>
    <s v="8905302263310_Blu_L"/>
    <x v="98"/>
    <s v="L"/>
    <n v="4999"/>
    <n v="4999"/>
    <n v="1"/>
    <n v="4999"/>
    <n v="999.8"/>
    <n v="0"/>
    <n v="3999.2"/>
    <s v="Cash"/>
    <x v="54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  <r>
    <x v="4"/>
    <x v="143"/>
    <m/>
    <m/>
    <m/>
    <m/>
    <x v="6"/>
    <x v="8"/>
    <m/>
    <m/>
    <m/>
    <x v="145"/>
    <m/>
    <m/>
    <m/>
    <m/>
    <m/>
    <m/>
    <m/>
    <m/>
    <m/>
    <x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E7977-0562-7743-858E-D551063E3F7B}" name="PivotTable18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D99" firstHeaderRow="1" firstDataRow="2" firstDataCol="2" rowPageCount="2" colPageCount="1"/>
  <pivotFields count="22">
    <pivotField compact="0" outline="0" showAll="0"/>
    <pivotField axis="axisPage" compact="0" outline="0" showAll="0">
      <items count="145">
        <item x="22"/>
        <item x="42"/>
        <item x="69"/>
        <item x="97"/>
        <item x="3"/>
        <item x="21"/>
        <item x="43"/>
        <item x="70"/>
        <item x="98"/>
        <item x="44"/>
        <item x="71"/>
        <item x="4"/>
        <item x="23"/>
        <item x="45"/>
        <item x="68"/>
        <item x="99"/>
        <item x="5"/>
        <item x="46"/>
        <item x="72"/>
        <item x="100"/>
        <item x="24"/>
        <item x="47"/>
        <item x="101"/>
        <item x="20"/>
        <item x="73"/>
        <item x="102"/>
        <item x="19"/>
        <item x="48"/>
        <item x="74"/>
        <item x="103"/>
        <item x="6"/>
        <item x="49"/>
        <item x="75"/>
        <item x="104"/>
        <item x="7"/>
        <item x="18"/>
        <item x="50"/>
        <item x="76"/>
        <item x="105"/>
        <item x="8"/>
        <item x="51"/>
        <item x="106"/>
        <item x="9"/>
        <item x="52"/>
        <item x="107"/>
        <item x="17"/>
        <item x="77"/>
        <item x="108"/>
        <item x="25"/>
        <item x="53"/>
        <item x="78"/>
        <item x="109"/>
        <item x="10"/>
        <item x="26"/>
        <item x="79"/>
        <item x="110"/>
        <item x="16"/>
        <item x="54"/>
        <item x="80"/>
        <item x="111"/>
        <item x="27"/>
        <item x="55"/>
        <item x="81"/>
        <item x="112"/>
        <item x="11"/>
        <item x="28"/>
        <item x="56"/>
        <item x="82"/>
        <item x="113"/>
        <item x="29"/>
        <item x="57"/>
        <item x="83"/>
        <item x="114"/>
        <item x="30"/>
        <item x="58"/>
        <item x="84"/>
        <item x="96"/>
        <item x="31"/>
        <item x="59"/>
        <item x="85"/>
        <item x="115"/>
        <item x="15"/>
        <item x="32"/>
        <item x="60"/>
        <item x="86"/>
        <item x="116"/>
        <item x="12"/>
        <item x="33"/>
        <item x="61"/>
        <item x="87"/>
        <item x="117"/>
        <item x="13"/>
        <item x="34"/>
        <item x="62"/>
        <item x="88"/>
        <item x="118"/>
        <item x="14"/>
        <item x="35"/>
        <item x="63"/>
        <item x="89"/>
        <item x="119"/>
        <item x="36"/>
        <item x="64"/>
        <item x="90"/>
        <item x="120"/>
        <item x="37"/>
        <item x="65"/>
        <item x="91"/>
        <item x="121"/>
        <item x="0"/>
        <item x="38"/>
        <item x="67"/>
        <item x="92"/>
        <item x="122"/>
        <item x="1"/>
        <item x="39"/>
        <item x="93"/>
        <item x="123"/>
        <item x="40"/>
        <item x="66"/>
        <item x="94"/>
        <item x="124"/>
        <item x="41"/>
        <item x="95"/>
        <item x="2"/>
        <item x="143"/>
        <item x="125"/>
        <item x="130"/>
        <item x="131"/>
        <item x="132"/>
        <item x="133"/>
        <item x="134"/>
        <item x="135"/>
        <item x="126"/>
        <item x="136"/>
        <item x="137"/>
        <item x="138"/>
        <item x="127"/>
        <item x="128"/>
        <item x="129"/>
        <item x="139"/>
        <item x="140"/>
        <item x="142"/>
        <item x="14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5"/>
        <item x="2"/>
        <item x="4"/>
        <item x="1"/>
        <item x="0"/>
        <item x="6"/>
        <item t="default"/>
      </items>
    </pivotField>
    <pivotField axis="axisPage" compact="0" outline="0" showAll="0">
      <items count="11">
        <item x="1"/>
        <item x="2"/>
        <item x="3"/>
        <item x="4"/>
        <item x="5"/>
        <item x="6"/>
        <item x="0"/>
        <item x="8"/>
        <item x="7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85">
        <item m="1" x="83"/>
        <item x="5"/>
        <item x="12"/>
        <item x="16"/>
        <item x="18"/>
        <item x="65"/>
        <item x="32"/>
        <item x="39"/>
        <item x="52"/>
        <item x="67"/>
        <item x="44"/>
        <item x="29"/>
        <item x="27"/>
        <item x="13"/>
        <item x="14"/>
        <item x="2"/>
        <item x="66"/>
        <item x="47"/>
        <item x="42"/>
        <item x="69"/>
        <item x="58"/>
        <item x="41"/>
        <item x="50"/>
        <item x="76"/>
        <item x="48"/>
        <item x="19"/>
        <item x="22"/>
        <item x="46"/>
        <item x="20"/>
        <item x="17"/>
        <item x="7"/>
        <item x="74"/>
        <item x="73"/>
        <item x="75"/>
        <item x="64"/>
        <item x="62"/>
        <item x="37"/>
        <item x="11"/>
        <item x="3"/>
        <item x="60"/>
        <item x="70"/>
        <item x="21"/>
        <item x="1"/>
        <item x="24"/>
        <item x="28"/>
        <item x="10"/>
        <item x="55"/>
        <item x="45"/>
        <item x="33"/>
        <item x="25"/>
        <item x="34"/>
        <item x="71"/>
        <item x="8"/>
        <item x="54"/>
        <item x="57"/>
        <item x="53"/>
        <item x="35"/>
        <item x="23"/>
        <item x="72"/>
        <item x="51"/>
        <item x="30"/>
        <item x="31"/>
        <item x="49"/>
        <item x="26"/>
        <item x="4"/>
        <item x="63"/>
        <item x="61"/>
        <item x="38"/>
        <item x="40"/>
        <item x="15"/>
        <item x="36"/>
        <item x="0"/>
        <item x="59"/>
        <item x="6"/>
        <item x="68"/>
        <item x="43"/>
        <item x="56"/>
        <item x="9"/>
        <item x="82"/>
        <item x="77"/>
        <item x="78"/>
        <item x="79"/>
        <item x="80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21"/>
  </rowFields>
  <rowItems count="94">
    <i>
      <x/>
      <x v="18"/>
    </i>
    <i r="1">
      <x v="61"/>
    </i>
    <i r="1">
      <x v="22"/>
    </i>
    <i r="1">
      <x v="44"/>
    </i>
    <i r="1">
      <x v="66"/>
    </i>
    <i r="1">
      <x v="70"/>
    </i>
    <i r="1">
      <x v="11"/>
    </i>
    <i r="1">
      <x v="16"/>
    </i>
    <i r="1">
      <x v="41"/>
    </i>
    <i r="1">
      <x v="17"/>
    </i>
    <i r="1">
      <x v="21"/>
    </i>
    <i r="1">
      <x v="50"/>
    </i>
    <i r="1">
      <x v="19"/>
    </i>
    <i r="1">
      <x v="12"/>
    </i>
    <i r="1">
      <x v="65"/>
    </i>
    <i t="default">
      <x/>
    </i>
    <i>
      <x v="1"/>
      <x v="8"/>
    </i>
    <i r="1">
      <x v="7"/>
    </i>
    <i t="default">
      <x v="1"/>
    </i>
    <i>
      <x v="2"/>
      <x v="49"/>
    </i>
    <i r="1">
      <x v="20"/>
    </i>
    <i r="1">
      <x v="75"/>
    </i>
    <i r="1">
      <x v="62"/>
    </i>
    <i r="1">
      <x v="27"/>
    </i>
    <i r="1">
      <x v="74"/>
    </i>
    <i r="1">
      <x v="59"/>
    </i>
    <i r="1">
      <x v="33"/>
    </i>
    <i r="1">
      <x v="25"/>
    </i>
    <i r="1">
      <x v="28"/>
    </i>
    <i r="1">
      <x v="68"/>
    </i>
    <i r="1">
      <x v="67"/>
    </i>
    <i r="1">
      <x v="63"/>
    </i>
    <i r="1">
      <x v="48"/>
    </i>
    <i r="1">
      <x v="26"/>
    </i>
    <i r="1">
      <x v="31"/>
    </i>
    <i r="1">
      <x v="35"/>
    </i>
    <i r="1">
      <x v="58"/>
    </i>
    <i r="1">
      <x v="54"/>
    </i>
    <i r="1">
      <x v="34"/>
    </i>
    <i r="1">
      <x v="51"/>
    </i>
    <i r="1">
      <x v="10"/>
    </i>
    <i r="1">
      <x v="79"/>
    </i>
    <i r="1">
      <x v="50"/>
    </i>
    <i r="1">
      <x v="82"/>
    </i>
    <i r="1">
      <x v="9"/>
    </i>
    <i r="1">
      <x v="41"/>
    </i>
    <i r="1">
      <x v="32"/>
    </i>
    <i r="1">
      <x v="80"/>
    </i>
    <i r="1">
      <x v="53"/>
    </i>
    <i r="1">
      <x v="46"/>
    </i>
    <i r="1">
      <x v="23"/>
    </i>
    <i t="default">
      <x v="2"/>
    </i>
    <i>
      <x v="3"/>
      <x v="39"/>
    </i>
    <i r="1">
      <x v="40"/>
    </i>
    <i r="1">
      <x v="60"/>
    </i>
    <i r="1">
      <x v="83"/>
    </i>
    <i t="default">
      <x v="3"/>
    </i>
    <i>
      <x v="4"/>
      <x v="64"/>
    </i>
    <i r="1">
      <x v="73"/>
    </i>
    <i r="1">
      <x v="15"/>
    </i>
    <i r="1">
      <x v="72"/>
    </i>
    <i r="1">
      <x v="14"/>
    </i>
    <i r="1">
      <x v="38"/>
    </i>
    <i r="1">
      <x v="42"/>
    </i>
    <i t="default">
      <x v="4"/>
    </i>
    <i>
      <x v="5"/>
      <x v="4"/>
    </i>
    <i r="1">
      <x v="77"/>
    </i>
    <i r="1">
      <x v="69"/>
    </i>
    <i r="1">
      <x v="1"/>
    </i>
    <i r="1">
      <x v="71"/>
    </i>
    <i r="1">
      <x v="52"/>
    </i>
    <i r="1">
      <x v="36"/>
    </i>
    <i r="1">
      <x v="57"/>
    </i>
    <i r="1">
      <x v="24"/>
    </i>
    <i r="1">
      <x v="56"/>
    </i>
    <i r="1">
      <x v="76"/>
    </i>
    <i r="1">
      <x v="47"/>
    </i>
    <i r="1">
      <x v="13"/>
    </i>
    <i r="1">
      <x v="30"/>
    </i>
    <i r="1">
      <x v="37"/>
    </i>
    <i r="1">
      <x v="2"/>
    </i>
    <i r="1">
      <x v="43"/>
    </i>
    <i r="1">
      <x v="81"/>
    </i>
    <i r="1">
      <x v="55"/>
    </i>
    <i r="1">
      <x v="6"/>
    </i>
    <i r="1">
      <x v="29"/>
    </i>
    <i r="1">
      <x v="3"/>
    </i>
    <i r="1">
      <x v="45"/>
    </i>
    <i r="1">
      <x v="5"/>
    </i>
    <i r="1">
      <x v="65"/>
    </i>
    <i t="default">
      <x v="5"/>
    </i>
    <i>
      <x v="6"/>
      <x v="78"/>
    </i>
    <i t="default"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1" hier="-1"/>
  </pageFields>
  <dataFields count="2">
    <dataField name="Sum of Qty" fld="15" baseField="0" baseItem="0"/>
    <dataField name="Sum of Net Sale Amt" fld="19" baseField="0" baseItem="0" numFmtId="164"/>
  </dataFields>
  <formats count="1">
    <format dxfId="358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8CFCB-B496-9542-BD8C-BEB90445138B}" name="PivotTable18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D55" firstHeaderRow="1" firstDataRow="2" firstDataCol="2" rowPageCount="1" colPageCount="1"/>
  <pivotFields count="22">
    <pivotField axis="axisPage" compact="0" outline="0" showAll="0">
      <items count="7">
        <item x="2"/>
        <item x="3"/>
        <item x="0"/>
        <item m="1" x="5"/>
        <item x="1"/>
        <item x="4"/>
        <item t="default"/>
      </items>
    </pivotField>
    <pivotField axis="axisRow" compact="0" outline="0" showAll="0">
      <items count="145">
        <item x="22"/>
        <item x="42"/>
        <item x="69"/>
        <item x="97"/>
        <item x="3"/>
        <item x="21"/>
        <item x="43"/>
        <item x="70"/>
        <item x="98"/>
        <item x="44"/>
        <item x="71"/>
        <item x="4"/>
        <item x="23"/>
        <item x="45"/>
        <item x="68"/>
        <item x="99"/>
        <item x="5"/>
        <item x="46"/>
        <item x="72"/>
        <item x="100"/>
        <item x="24"/>
        <item x="47"/>
        <item x="101"/>
        <item x="20"/>
        <item x="73"/>
        <item x="102"/>
        <item x="19"/>
        <item x="48"/>
        <item x="74"/>
        <item x="103"/>
        <item x="6"/>
        <item x="49"/>
        <item x="75"/>
        <item x="104"/>
        <item x="7"/>
        <item x="18"/>
        <item x="50"/>
        <item x="76"/>
        <item x="105"/>
        <item x="8"/>
        <item x="51"/>
        <item x="106"/>
        <item x="9"/>
        <item x="52"/>
        <item x="107"/>
        <item x="17"/>
        <item x="77"/>
        <item x="108"/>
        <item x="25"/>
        <item x="53"/>
        <item x="78"/>
        <item x="109"/>
        <item x="10"/>
        <item x="26"/>
        <item x="79"/>
        <item x="110"/>
        <item x="16"/>
        <item x="54"/>
        <item x="80"/>
        <item x="111"/>
        <item x="27"/>
        <item x="55"/>
        <item x="81"/>
        <item x="112"/>
        <item x="11"/>
        <item x="28"/>
        <item x="56"/>
        <item x="82"/>
        <item x="113"/>
        <item x="29"/>
        <item x="57"/>
        <item x="83"/>
        <item x="114"/>
        <item x="30"/>
        <item x="58"/>
        <item x="84"/>
        <item x="96"/>
        <item x="31"/>
        <item x="59"/>
        <item x="85"/>
        <item x="115"/>
        <item x="15"/>
        <item x="32"/>
        <item x="60"/>
        <item x="86"/>
        <item x="116"/>
        <item x="12"/>
        <item x="33"/>
        <item x="61"/>
        <item x="87"/>
        <item x="117"/>
        <item x="13"/>
        <item x="34"/>
        <item x="62"/>
        <item x="88"/>
        <item x="118"/>
        <item x="14"/>
        <item x="35"/>
        <item x="63"/>
        <item x="89"/>
        <item x="119"/>
        <item x="36"/>
        <item x="64"/>
        <item x="90"/>
        <item x="120"/>
        <item x="37"/>
        <item x="65"/>
        <item x="91"/>
        <item x="121"/>
        <item x="0"/>
        <item x="38"/>
        <item x="67"/>
        <item x="92"/>
        <item x="122"/>
        <item x="1"/>
        <item x="39"/>
        <item x="93"/>
        <item x="123"/>
        <item x="40"/>
        <item x="66"/>
        <item x="94"/>
        <item x="124"/>
        <item x="41"/>
        <item x="95"/>
        <item x="2"/>
        <item x="143"/>
        <item x="125"/>
        <item x="130"/>
        <item x="131"/>
        <item x="132"/>
        <item x="133"/>
        <item x="134"/>
        <item x="135"/>
        <item x="126"/>
        <item x="136"/>
        <item x="137"/>
        <item x="138"/>
        <item x="127"/>
        <item x="128"/>
        <item x="129"/>
        <item x="139"/>
        <item x="140"/>
        <item x="142"/>
        <item x="14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1">
        <item h="1" x="1"/>
        <item h="1" x="2"/>
        <item h="1" x="3"/>
        <item h="1" x="4"/>
        <item h="1" x="5"/>
        <item x="6"/>
        <item h="1" x="0"/>
        <item h="1" x="8"/>
        <item x="7"/>
        <item h="1"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7"/>
    <field x="1"/>
  </rowFields>
  <rowItems count="50">
    <i>
      <x v="5"/>
      <x v="3"/>
    </i>
    <i r="1">
      <x v="8"/>
    </i>
    <i r="1">
      <x v="15"/>
    </i>
    <i r="1">
      <x v="19"/>
    </i>
    <i r="1">
      <x v="22"/>
    </i>
    <i r="1">
      <x v="25"/>
    </i>
    <i r="1">
      <x v="29"/>
    </i>
    <i r="1">
      <x v="33"/>
    </i>
    <i r="1">
      <x v="38"/>
    </i>
    <i r="1">
      <x v="41"/>
    </i>
    <i r="1">
      <x v="44"/>
    </i>
    <i r="1">
      <x v="47"/>
    </i>
    <i r="1">
      <x v="51"/>
    </i>
    <i r="1">
      <x v="55"/>
    </i>
    <i r="1">
      <x v="59"/>
    </i>
    <i r="1">
      <x v="63"/>
    </i>
    <i r="1">
      <x v="68"/>
    </i>
    <i r="1">
      <x v="72"/>
    </i>
    <i r="1">
      <x v="76"/>
    </i>
    <i r="1">
      <x v="80"/>
    </i>
    <i r="1">
      <x v="85"/>
    </i>
    <i r="1">
      <x v="90"/>
    </i>
    <i r="1">
      <x v="95"/>
    </i>
    <i r="1">
      <x v="100"/>
    </i>
    <i r="1">
      <x v="104"/>
    </i>
    <i r="1">
      <x v="108"/>
    </i>
    <i r="1">
      <x v="113"/>
    </i>
    <i r="1">
      <x v="117"/>
    </i>
    <i r="1">
      <x v="121"/>
    </i>
    <i t="default">
      <x v="5"/>
    </i>
    <i>
      <x v="8"/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t="default"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5" baseField="0" baseItem="0"/>
    <dataField name="Sum of Net Sale Amt" fld="19" baseField="0" baseItem="0" numFmtId="164"/>
  </dataFields>
  <formats count="5">
    <format dxfId="357">
      <pivotArea outline="0" fieldPosition="0">
        <references count="1">
          <reference field="4294967294" count="1" selected="0">
            <x v="1"/>
          </reference>
        </references>
      </pivotArea>
    </format>
    <format dxfId="356">
      <pivotArea outline="0" fieldPosition="0">
        <references count="2">
          <reference field="1" count="4" selected="0">
            <x v="3"/>
            <x v="8"/>
            <x v="15"/>
            <x v="19"/>
          </reference>
          <reference field="7" count="1" selected="0">
            <x v="5"/>
          </reference>
        </references>
      </pivotArea>
    </format>
    <format dxfId="355">
      <pivotArea dataOnly="0" labelOnly="1" outline="0" fieldPosition="0">
        <references count="2">
          <reference field="1" count="4">
            <x v="3"/>
            <x v="8"/>
            <x v="15"/>
            <x v="19"/>
          </reference>
          <reference field="7" count="1" selected="0">
            <x v="5"/>
          </reference>
        </references>
      </pivotArea>
    </format>
    <format dxfId="354">
      <pivotArea outline="0" fieldPosition="0">
        <references count="2">
          <reference field="1" count="13" selected="0">
            <x v="3"/>
            <x v="8"/>
            <x v="15"/>
            <x v="19"/>
            <x v="22"/>
            <x v="25"/>
            <x v="29"/>
            <x v="33"/>
            <x v="38"/>
            <x v="41"/>
            <x v="44"/>
            <x v="47"/>
            <x v="51"/>
          </reference>
          <reference field="7" count="1" selected="0">
            <x v="5"/>
          </reference>
        </references>
      </pivotArea>
    </format>
    <format dxfId="353">
      <pivotArea dataOnly="0" labelOnly="1" outline="0" fieldPosition="0">
        <references count="2">
          <reference field="1" count="13">
            <x v="3"/>
            <x v="8"/>
            <x v="15"/>
            <x v="19"/>
            <x v="22"/>
            <x v="25"/>
            <x v="29"/>
            <x v="33"/>
            <x v="38"/>
            <x v="41"/>
            <x v="44"/>
            <x v="47"/>
            <x v="51"/>
          </reference>
          <reference field="7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C361F-87BF-714D-8732-EA34A4E16075}" name="PivotTable18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S14" firstHeaderRow="1" firstDataRow="3" firstDataCol="1" rowPageCount="3" colPageCount="1"/>
  <pivotFields count="22">
    <pivotField compact="0" outline="0" showAll="0"/>
    <pivotField axis="axisPage" compact="0" outline="0" showAll="0">
      <items count="145">
        <item x="22"/>
        <item x="42"/>
        <item x="69"/>
        <item x="97"/>
        <item x="3"/>
        <item x="21"/>
        <item x="43"/>
        <item x="70"/>
        <item x="98"/>
        <item x="44"/>
        <item x="71"/>
        <item x="4"/>
        <item x="23"/>
        <item x="45"/>
        <item x="68"/>
        <item x="99"/>
        <item x="5"/>
        <item x="46"/>
        <item x="72"/>
        <item x="100"/>
        <item x="24"/>
        <item x="47"/>
        <item x="101"/>
        <item x="20"/>
        <item x="73"/>
        <item x="102"/>
        <item x="19"/>
        <item x="48"/>
        <item x="74"/>
        <item x="103"/>
        <item x="6"/>
        <item x="49"/>
        <item x="75"/>
        <item x="104"/>
        <item x="7"/>
        <item x="18"/>
        <item x="50"/>
        <item x="76"/>
        <item x="105"/>
        <item x="8"/>
        <item x="51"/>
        <item x="106"/>
        <item x="9"/>
        <item x="52"/>
        <item x="107"/>
        <item x="17"/>
        <item x="77"/>
        <item x="108"/>
        <item x="25"/>
        <item x="53"/>
        <item x="78"/>
        <item x="109"/>
        <item x="10"/>
        <item x="26"/>
        <item x="79"/>
        <item x="110"/>
        <item x="16"/>
        <item x="54"/>
        <item x="80"/>
        <item x="111"/>
        <item x="27"/>
        <item x="55"/>
        <item x="81"/>
        <item x="112"/>
        <item x="11"/>
        <item x="28"/>
        <item x="56"/>
        <item x="82"/>
        <item x="113"/>
        <item x="29"/>
        <item x="57"/>
        <item x="83"/>
        <item x="114"/>
        <item x="30"/>
        <item x="58"/>
        <item x="84"/>
        <item x="96"/>
        <item x="31"/>
        <item x="59"/>
        <item x="85"/>
        <item x="115"/>
        <item x="15"/>
        <item x="32"/>
        <item x="60"/>
        <item x="86"/>
        <item x="116"/>
        <item x="12"/>
        <item x="33"/>
        <item x="61"/>
        <item x="87"/>
        <item x="117"/>
        <item x="13"/>
        <item x="34"/>
        <item x="62"/>
        <item x="88"/>
        <item x="118"/>
        <item x="14"/>
        <item x="35"/>
        <item x="63"/>
        <item x="89"/>
        <item x="119"/>
        <item x="36"/>
        <item x="64"/>
        <item x="90"/>
        <item x="120"/>
        <item x="37"/>
        <item x="65"/>
        <item x="91"/>
        <item x="121"/>
        <item x="0"/>
        <item x="38"/>
        <item x="67"/>
        <item x="92"/>
        <item x="122"/>
        <item x="1"/>
        <item x="39"/>
        <item x="93"/>
        <item x="123"/>
        <item x="40"/>
        <item x="66"/>
        <item x="94"/>
        <item x="124"/>
        <item x="41"/>
        <item x="95"/>
        <item x="2"/>
        <item x="143"/>
        <item x="125"/>
        <item x="130"/>
        <item x="131"/>
        <item x="132"/>
        <item x="133"/>
        <item x="134"/>
        <item x="135"/>
        <item x="126"/>
        <item x="136"/>
        <item x="137"/>
        <item x="138"/>
        <item x="127"/>
        <item x="128"/>
        <item x="129"/>
        <item x="139"/>
        <item x="140"/>
        <item x="142"/>
        <item x="14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5"/>
        <item x="2"/>
        <item x="4"/>
        <item x="1"/>
        <item x="0"/>
        <item x="6"/>
        <item t="default"/>
      </items>
    </pivotField>
    <pivotField axis="axisCol" compact="0" outline="0" showAll="0">
      <items count="11">
        <item x="0"/>
        <item x="1"/>
        <item x="2"/>
        <item x="3"/>
        <item x="4"/>
        <item x="5"/>
        <item x="6"/>
        <item h="1" x="8"/>
        <item x="7"/>
        <item h="1" m="1" x="9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47">
        <item x="103"/>
        <item x="77"/>
        <item x="106"/>
        <item x="87"/>
        <item x="123"/>
        <item x="115"/>
        <item x="58"/>
        <item x="71"/>
        <item x="73"/>
        <item x="67"/>
        <item x="43"/>
        <item x="60"/>
        <item x="56"/>
        <item x="74"/>
        <item x="116"/>
        <item x="76"/>
        <item x="121"/>
        <item x="92"/>
        <item x="112"/>
        <item x="119"/>
        <item x="31"/>
        <item x="34"/>
        <item x="27"/>
        <item x="39"/>
        <item x="113"/>
        <item x="59"/>
        <item x="40"/>
        <item x="65"/>
        <item x="45"/>
        <item x="41"/>
        <item x="62"/>
        <item x="128"/>
        <item x="66"/>
        <item x="96"/>
        <item x="117"/>
        <item x="111"/>
        <item x="42"/>
        <item x="69"/>
        <item x="130"/>
        <item x="125"/>
        <item x="129"/>
        <item x="55"/>
        <item x="61"/>
        <item x="32"/>
        <item x="28"/>
        <item x="50"/>
        <item x="126"/>
        <item x="63"/>
        <item x="98"/>
        <item x="102"/>
        <item x="83"/>
        <item x="51"/>
        <item x="122"/>
        <item x="80"/>
        <item x="78"/>
        <item x="33"/>
        <item x="48"/>
        <item x="101"/>
        <item x="82"/>
        <item x="75"/>
        <item x="24"/>
        <item x="25"/>
        <item x="35"/>
        <item x="36"/>
        <item x="38"/>
        <item x="64"/>
        <item x="107"/>
        <item x="52"/>
        <item x="26"/>
        <item x="90"/>
        <item x="104"/>
        <item x="89"/>
        <item x="93"/>
        <item x="94"/>
        <item x="114"/>
        <item x="88"/>
        <item x="79"/>
        <item x="91"/>
        <item x="30"/>
        <item x="46"/>
        <item x="72"/>
        <item x="1"/>
        <item x="19"/>
        <item x="4"/>
        <item x="16"/>
        <item x="2"/>
        <item x="3"/>
        <item x="6"/>
        <item x="15"/>
        <item x="95"/>
        <item x="108"/>
        <item x="100"/>
        <item x="99"/>
        <item x="22"/>
        <item x="13"/>
        <item x="9"/>
        <item x="37"/>
        <item x="10"/>
        <item x="44"/>
        <item x="18"/>
        <item x="12"/>
        <item x="86"/>
        <item x="23"/>
        <item x="118"/>
        <item x="109"/>
        <item x="124"/>
        <item x="84"/>
        <item x="14"/>
        <item x="127"/>
        <item x="105"/>
        <item x="97"/>
        <item x="29"/>
        <item x="17"/>
        <item x="70"/>
        <item x="0"/>
        <item x="85"/>
        <item x="8"/>
        <item x="5"/>
        <item x="57"/>
        <item x="53"/>
        <item x="11"/>
        <item x="54"/>
        <item x="110"/>
        <item x="47"/>
        <item x="20"/>
        <item x="7"/>
        <item x="68"/>
        <item x="49"/>
        <item x="120"/>
        <item x="21"/>
        <item x="81"/>
        <item x="145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4"/>
        <item x="14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 sortType="descending">
      <items count="85">
        <item m="1" x="83"/>
        <item x="5"/>
        <item x="12"/>
        <item x="16"/>
        <item x="18"/>
        <item x="65"/>
        <item x="32"/>
        <item x="39"/>
        <item x="52"/>
        <item x="67"/>
        <item x="44"/>
        <item x="29"/>
        <item x="27"/>
        <item x="13"/>
        <item x="14"/>
        <item x="2"/>
        <item x="66"/>
        <item x="47"/>
        <item x="42"/>
        <item x="69"/>
        <item x="58"/>
        <item x="41"/>
        <item x="50"/>
        <item x="48"/>
        <item x="19"/>
        <item x="22"/>
        <item x="46"/>
        <item x="20"/>
        <item x="17"/>
        <item x="7"/>
        <item x="74"/>
        <item x="73"/>
        <item x="75"/>
        <item x="64"/>
        <item x="62"/>
        <item x="37"/>
        <item x="11"/>
        <item x="3"/>
        <item x="60"/>
        <item x="70"/>
        <item x="21"/>
        <item x="1"/>
        <item x="24"/>
        <item x="28"/>
        <item x="10"/>
        <item x="55"/>
        <item x="45"/>
        <item x="33"/>
        <item x="25"/>
        <item x="34"/>
        <item x="71"/>
        <item x="8"/>
        <item x="54"/>
        <item x="57"/>
        <item x="53"/>
        <item x="35"/>
        <item x="23"/>
        <item x="72"/>
        <item x="51"/>
        <item x="30"/>
        <item x="31"/>
        <item x="49"/>
        <item x="26"/>
        <item x="4"/>
        <item x="63"/>
        <item x="61"/>
        <item x="38"/>
        <item x="40"/>
        <item x="15"/>
        <item x="36"/>
        <item x="0"/>
        <item x="59"/>
        <item x="6"/>
        <item x="68"/>
        <item x="43"/>
        <item x="56"/>
        <item x="9"/>
        <item x="76"/>
        <item x="82"/>
        <item x="77"/>
        <item x="78"/>
        <item x="79"/>
        <item x="80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7"/>
  </colFields>
  <colItems count="1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8"/>
    </i>
    <i t="grand">
      <x/>
    </i>
    <i t="grand" i="1">
      <x/>
    </i>
  </colItems>
  <pageFields count="3">
    <pageField fld="11" hier="-1"/>
    <pageField fld="1" hier="-1"/>
    <pageField fld="21" hier="-1"/>
  </pageFields>
  <dataFields count="2">
    <dataField name=".Qty" fld="15" baseField="0" baseItem="0"/>
    <dataField name="NSV" fld="19" baseField="0" baseItem="0"/>
  </dataFields>
  <formats count="6">
    <format dxfId="352">
      <pivotArea outline="0" fieldPosition="0">
        <references count="2">
          <reference field="4294967294" count="1" selected="0">
            <x v="1"/>
          </reference>
          <reference field="7" count="0" selected="0" defaultSubtotal="1"/>
        </references>
      </pivotArea>
    </format>
    <format dxfId="351">
      <pivotArea outline="0" fieldPosition="0">
        <references count="2">
          <reference field="4294967294" count="1" selected="0">
            <x v="1"/>
          </reference>
          <reference field="7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350">
      <pivotArea dataOnly="0" labelOnly="1" outline="0" fieldPosition="0">
        <references count="2">
          <reference field="4294967294" count="1" selected="0">
            <x v="1"/>
          </reference>
          <reference field="7" count="7">
            <x v="0"/>
            <x v="1"/>
            <x v="2"/>
            <x v="3"/>
            <x v="4"/>
            <x v="5"/>
            <x v="6"/>
          </reference>
        </references>
      </pivotArea>
    </format>
    <format dxfId="349">
      <pivotArea field="7" grandCol="1" outline="0" axis="axisCol" fieldPosition="1">
        <references count="1">
          <reference field="4294967294" count="1" selected="0">
            <x v="1"/>
          </reference>
        </references>
      </pivotArea>
    </format>
    <format dxfId="348">
      <pivotArea outline="0" fieldPosition="0">
        <references count="2">
          <reference field="4294967294" count="1" selected="0">
            <x v="1"/>
          </reference>
          <reference field="7" count="5" selected="0">
            <x v="3"/>
            <x v="4"/>
            <x v="5"/>
            <x v="6"/>
            <x v="8"/>
          </reference>
        </references>
      </pivotArea>
    </format>
    <format dxfId="347">
      <pivotArea field="7" grandCol="1" outline="0" axis="axisCol" fieldPosition="1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553BA-9D66-2749-BCB1-497B49C87C30}" name="PivotTable18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I26" firstHeaderRow="1" firstDataRow="3" firstDataCol="3" rowPageCount="1" colPageCount="1"/>
  <pivotFields count="22">
    <pivotField axis="axisRow" compact="0" outline="0" showAll="0">
      <items count="7">
        <item x="3"/>
        <item x="0"/>
        <item x="1"/>
        <item x="2"/>
        <item m="1" x="5"/>
        <item x="4"/>
        <item t="default"/>
      </items>
    </pivotField>
    <pivotField axis="axisPage" compact="0" outline="0" showAll="0" sortType="ascending">
      <items count="145">
        <item x="22"/>
        <item x="42"/>
        <item x="69"/>
        <item x="97"/>
        <item x="125"/>
        <item x="3"/>
        <item x="21"/>
        <item x="43"/>
        <item x="70"/>
        <item x="98"/>
        <item x="130"/>
        <item x="44"/>
        <item x="71"/>
        <item x="131"/>
        <item x="4"/>
        <item x="23"/>
        <item x="45"/>
        <item x="68"/>
        <item x="99"/>
        <item x="132"/>
        <item x="5"/>
        <item x="46"/>
        <item x="72"/>
        <item x="100"/>
        <item x="133"/>
        <item x="24"/>
        <item x="47"/>
        <item x="101"/>
        <item x="134"/>
        <item x="20"/>
        <item x="73"/>
        <item x="102"/>
        <item x="135"/>
        <item x="19"/>
        <item x="48"/>
        <item x="74"/>
        <item x="103"/>
        <item x="126"/>
        <item x="6"/>
        <item x="49"/>
        <item x="75"/>
        <item x="104"/>
        <item x="7"/>
        <item x="18"/>
        <item x="50"/>
        <item x="76"/>
        <item x="105"/>
        <item x="136"/>
        <item x="8"/>
        <item x="51"/>
        <item x="106"/>
        <item x="137"/>
        <item x="9"/>
        <item x="52"/>
        <item x="107"/>
        <item x="138"/>
        <item x="17"/>
        <item x="77"/>
        <item x="108"/>
        <item x="127"/>
        <item x="25"/>
        <item x="53"/>
        <item x="78"/>
        <item x="109"/>
        <item x="128"/>
        <item x="10"/>
        <item x="26"/>
        <item x="79"/>
        <item x="110"/>
        <item x="129"/>
        <item x="16"/>
        <item x="54"/>
        <item x="80"/>
        <item x="111"/>
        <item x="139"/>
        <item x="27"/>
        <item x="55"/>
        <item x="81"/>
        <item x="112"/>
        <item x="140"/>
        <item x="11"/>
        <item x="28"/>
        <item x="56"/>
        <item x="82"/>
        <item x="113"/>
        <item x="141"/>
        <item x="29"/>
        <item x="57"/>
        <item x="83"/>
        <item x="114"/>
        <item x="142"/>
        <item x="30"/>
        <item x="58"/>
        <item x="84"/>
        <item x="96"/>
        <item x="31"/>
        <item x="59"/>
        <item x="85"/>
        <item x="115"/>
        <item x="15"/>
        <item x="32"/>
        <item x="60"/>
        <item x="86"/>
        <item x="116"/>
        <item x="12"/>
        <item x="33"/>
        <item x="61"/>
        <item x="87"/>
        <item x="117"/>
        <item x="13"/>
        <item x="34"/>
        <item x="62"/>
        <item x="88"/>
        <item x="118"/>
        <item x="14"/>
        <item x="35"/>
        <item x="63"/>
        <item x="89"/>
        <item x="119"/>
        <item x="36"/>
        <item x="64"/>
        <item x="90"/>
        <item x="120"/>
        <item x="37"/>
        <item x="65"/>
        <item x="91"/>
        <item x="121"/>
        <item x="0"/>
        <item x="38"/>
        <item x="67"/>
        <item x="92"/>
        <item x="122"/>
        <item x="1"/>
        <item x="39"/>
        <item x="93"/>
        <item x="123"/>
        <item x="40"/>
        <item x="66"/>
        <item x="94"/>
        <item x="124"/>
        <item x="41"/>
        <item x="95"/>
        <item x="2"/>
        <item x="14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sd="0" x="3"/>
        <item sd="0" x="5"/>
        <item sd="0" x="2"/>
        <item sd="0" x="4"/>
        <item sd="0" x="1"/>
        <item sd="0" x="0"/>
        <item x="6"/>
        <item t="default"/>
      </items>
    </pivotField>
    <pivotField axis="axisCol" compact="0" outline="0" showAll="0">
      <items count="11">
        <item h="1" x="0"/>
        <item h="1" x="1"/>
        <item h="1" x="2"/>
        <item h="1" x="3"/>
        <item h="1" x="4"/>
        <item h="1" x="5"/>
        <item x="6"/>
        <item h="1" x="8"/>
        <item x="7"/>
        <item h="1"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85">
        <item m="1" x="83"/>
        <item x="5"/>
        <item x="12"/>
        <item x="16"/>
        <item x="18"/>
        <item x="65"/>
        <item x="32"/>
        <item x="39"/>
        <item x="52"/>
        <item x="67"/>
        <item x="44"/>
        <item x="29"/>
        <item x="27"/>
        <item x="13"/>
        <item x="14"/>
        <item x="2"/>
        <item x="66"/>
        <item x="47"/>
        <item x="42"/>
        <item x="69"/>
        <item x="58"/>
        <item x="41"/>
        <item x="50"/>
        <item x="48"/>
        <item x="19"/>
        <item x="22"/>
        <item x="46"/>
        <item x="20"/>
        <item x="17"/>
        <item x="7"/>
        <item x="74"/>
        <item x="73"/>
        <item x="75"/>
        <item x="64"/>
        <item x="62"/>
        <item x="37"/>
        <item x="11"/>
        <item x="3"/>
        <item x="60"/>
        <item x="70"/>
        <item x="21"/>
        <item x="1"/>
        <item x="24"/>
        <item x="28"/>
        <item x="10"/>
        <item x="55"/>
        <item x="45"/>
        <item x="33"/>
        <item x="25"/>
        <item x="34"/>
        <item x="71"/>
        <item x="8"/>
        <item x="54"/>
        <item x="57"/>
        <item x="53"/>
        <item x="35"/>
        <item x="23"/>
        <item x="72"/>
        <item x="51"/>
        <item x="30"/>
        <item x="31"/>
        <item x="49"/>
        <item x="26"/>
        <item x="4"/>
        <item x="63"/>
        <item x="61"/>
        <item x="38"/>
        <item x="40"/>
        <item x="15"/>
        <item x="36"/>
        <item x="0"/>
        <item x="59"/>
        <item x="6"/>
        <item x="68"/>
        <item x="43"/>
        <item x="56"/>
        <item x="9"/>
        <item x="76"/>
        <item x="82"/>
        <item x="77"/>
        <item x="78"/>
        <item x="79"/>
        <item x="80"/>
        <item x="81"/>
        <item t="default"/>
      </items>
    </pivotField>
  </pivotFields>
  <rowFields count="3">
    <field x="0"/>
    <field x="6"/>
    <field x="21"/>
  </rowFields>
  <rowItems count="20">
    <i>
      <x/>
      <x/>
    </i>
    <i r="1">
      <x v="2"/>
    </i>
    <i r="1">
      <x v="3"/>
    </i>
    <i r="1">
      <x v="5"/>
    </i>
    <i t="default">
      <x/>
    </i>
    <i>
      <x v="1"/>
      <x/>
    </i>
    <i r="1">
      <x v="2"/>
    </i>
    <i r="1">
      <x v="3"/>
    </i>
    <i r="1">
      <x v="5"/>
    </i>
    <i t="default">
      <x v="1"/>
    </i>
    <i>
      <x v="2"/>
      <x/>
    </i>
    <i r="1">
      <x v="2"/>
    </i>
    <i r="1">
      <x v="3"/>
    </i>
    <i r="1">
      <x v="5"/>
    </i>
    <i t="default">
      <x v="2"/>
    </i>
    <i>
      <x v="3"/>
      <x/>
    </i>
    <i r="1">
      <x v="2"/>
    </i>
    <i r="1">
      <x v="5"/>
    </i>
    <i t="default">
      <x v="3"/>
    </i>
    <i t="grand">
      <x/>
    </i>
  </rowItems>
  <colFields count="2">
    <field x="-2"/>
    <field x="7"/>
  </colFields>
  <colItems count="6">
    <i>
      <x/>
      <x v="6"/>
    </i>
    <i r="1">
      <x v="8"/>
    </i>
    <i i="1">
      <x v="1"/>
      <x v="6"/>
    </i>
    <i r="1" i="1">
      <x v="8"/>
    </i>
    <i t="grand">
      <x/>
    </i>
    <i t="grand" i="1">
      <x/>
    </i>
  </colItems>
  <pageFields count="1">
    <pageField fld="1" hier="-1"/>
  </pageFields>
  <dataFields count="2">
    <dataField name="Sum of Qty" fld="15" baseField="0" baseItem="0"/>
    <dataField name="Sum of Net Sale Amt" fld="19" baseField="0" baseItem="0" numFmtId="1"/>
  </dataFields>
  <formats count="33">
    <format dxfId="391">
      <pivotArea outline="0" fieldPosition="0">
        <references count="1">
          <reference field="4294967294" count="1" selected="0">
            <x v="1"/>
          </reference>
        </references>
      </pivotArea>
    </format>
    <format dxfId="390">
      <pivotArea outline="0" collapsedLevelsAreSubtotals="1" fieldPosition="0"/>
    </format>
    <format dxfId="389">
      <pivotArea field="0" type="button" dataOnly="0" labelOnly="1" outline="0" axis="axisRow" fieldPosition="0"/>
    </format>
    <format dxfId="388">
      <pivotArea field="7" type="button" dataOnly="0" labelOnly="1" outline="0" axis="axisCol" fieldPosition="1"/>
    </format>
    <format dxfId="387">
      <pivotArea field="6" type="button" dataOnly="0" labelOnly="1" outline="0" axis="axisRow" fieldPosition="1"/>
    </format>
    <format dxfId="386">
      <pivotArea dataOnly="0" labelOnly="1" outline="0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385">
      <pivotArea dataOnly="0" labelOnly="1" outline="0" fieldPosition="0">
        <references count="1">
          <reference field="0" count="5" defaultSubtotal="1">
            <x v="0"/>
            <x v="1"/>
            <x v="2"/>
            <x v="3"/>
            <x v="4"/>
          </reference>
        </references>
      </pivotArea>
    </format>
    <format dxfId="384">
      <pivotArea dataOnly="0" labelOnly="1" grandRow="1" outline="0" fieldPosition="0"/>
    </format>
    <format dxfId="383">
      <pivotArea dataOnly="0" labelOnly="1" outline="0" fieldPosition="0">
        <references count="2">
          <reference field="0" count="1" selected="0">
            <x v="1"/>
          </reference>
          <reference field="7" count="0"/>
        </references>
      </pivotArea>
    </format>
    <format dxfId="382">
      <pivotArea dataOnly="0" labelOnly="1" outline="0" fieldPosition="0">
        <references count="2">
          <reference field="0" count="1" selected="0">
            <x v="1"/>
          </reference>
          <reference field="7" count="0" defaultSubtotal="1"/>
        </references>
      </pivotArea>
    </format>
    <format dxfId="381">
      <pivotArea dataOnly="0" labelOnly="1" outline="0" fieldPosition="0">
        <references count="2">
          <reference field="0" count="1" selected="0">
            <x v="2"/>
          </reference>
          <reference field="7" count="0"/>
        </references>
      </pivotArea>
    </format>
    <format dxfId="380">
      <pivotArea dataOnly="0" labelOnly="1" outline="0" fieldPosition="0">
        <references count="2">
          <reference field="0" count="1" selected="0">
            <x v="2"/>
          </reference>
          <reference field="7" count="0" defaultSubtotal="1"/>
        </references>
      </pivotArea>
    </format>
    <format dxfId="379">
      <pivotArea dataOnly="0" labelOnly="1" outline="0" fieldPosition="0">
        <references count="2">
          <reference field="0" count="1" selected="0">
            <x v="3"/>
          </reference>
          <reference field="7" count="0"/>
        </references>
      </pivotArea>
    </format>
    <format dxfId="378">
      <pivotArea dataOnly="0" labelOnly="1" outline="0" fieldPosition="0">
        <references count="2">
          <reference field="0" count="1" selected="0">
            <x v="3"/>
          </reference>
          <reference field="7" count="0" defaultSubtotal="1"/>
        </references>
      </pivotArea>
    </format>
    <format dxfId="377">
      <pivotArea dataOnly="0" labelOnly="1" outline="0" fieldPosition="0">
        <references count="2">
          <reference field="0" count="1" selected="0">
            <x v="0"/>
          </reference>
          <reference field="7" count="0"/>
        </references>
      </pivotArea>
    </format>
    <format dxfId="376">
      <pivotArea dataOnly="0" labelOnly="1" outline="0" fieldPosition="0">
        <references count="2">
          <reference field="0" count="1" selected="0">
            <x v="0"/>
          </reference>
          <reference field="7" count="0" defaultSubtotal="1"/>
        </references>
      </pivotArea>
    </format>
    <format dxfId="375">
      <pivotArea dataOnly="0" labelOnly="1" outline="0" fieldPosition="0">
        <references count="2">
          <reference field="0" count="1" selected="0">
            <x v="4"/>
          </reference>
          <reference field="7" count="1">
            <x v="8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4"/>
          </reference>
          <reference field="7" count="1" defaultSubtotal="1">
            <x v="8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1"/>
          </reference>
          <reference field="6" count="4">
            <x v="0"/>
            <x v="2"/>
            <x v="3"/>
            <x v="5"/>
          </reference>
          <reference field="7" count="1" selected="0">
            <x v="6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1"/>
          </reference>
          <reference field="6" count="3">
            <x v="0"/>
            <x v="2"/>
            <x v="5"/>
          </reference>
          <reference field="7" count="1" selected="0">
            <x v="8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2"/>
          </reference>
          <reference field="6" count="3">
            <x v="0"/>
            <x v="2"/>
            <x v="5"/>
          </reference>
          <reference field="7" count="1" selected="0">
            <x v="6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2"/>
          </reference>
          <reference field="6" count="2">
            <x v="2"/>
            <x v="5"/>
          </reference>
          <reference field="7" count="1" selected="0">
            <x v="8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3"/>
          </reference>
          <reference field="6" count="3">
            <x v="0"/>
            <x v="2"/>
            <x v="5"/>
          </reference>
          <reference field="7" count="1" selected="0">
            <x v="6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3"/>
          </reference>
          <reference field="6" count="1">
            <x v="2"/>
          </reference>
          <reference field="7" count="1" selected="0">
            <x v="8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0"/>
          </reference>
          <reference field="6" count="3">
            <x v="0"/>
            <x v="2"/>
            <x v="5"/>
          </reference>
          <reference field="7" count="1" selected="0">
            <x v="6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0"/>
          </reference>
          <reference field="6" count="1">
            <x v="5"/>
          </reference>
          <reference field="7" count="1" selected="0">
            <x v="8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4"/>
          </reference>
          <reference field="6" count="1">
            <x v="0"/>
          </reference>
          <reference field="7" count="1" selected="0">
            <x v="8"/>
          </reference>
        </references>
      </pivotArea>
    </format>
    <format dxfId="3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3">
      <pivotArea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7" count="1" selected="0" defaultSubtotal="1">
            <x v="6"/>
          </reference>
        </references>
      </pivotArea>
    </format>
    <format dxfId="362">
      <pivotArea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7" count="1" selected="0" defaultSubtotal="1">
            <x v="8"/>
          </reference>
        </references>
      </pivotArea>
    </format>
    <format dxfId="361">
      <pivotArea outline="0" fieldPosition="0">
        <references count="2">
          <reference field="4294967294" count="1" selected="0">
            <x v="1"/>
          </reference>
          <reference field="0" count="1" selected="0" defaultSubtotal="1">
            <x v="1"/>
          </reference>
        </references>
      </pivotArea>
    </format>
    <format dxfId="360">
      <pivotArea outline="0" fieldPosition="0">
        <references count="2">
          <reference field="4294967294" count="1" selected="0">
            <x v="1"/>
          </reference>
          <reference field="0" count="3" selected="0" defaultSubtotal="1">
            <x v="0"/>
            <x v="2"/>
            <x v="3"/>
          </reference>
        </references>
      </pivotArea>
    </format>
    <format dxfId="359">
      <pivotArea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7" count="1" selected="0" defaultSubtotal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A25BC-F34F-8941-BEC7-E6D498CEDD61}" name="PivotTable18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25" firstHeaderRow="1" firstDataRow="2" firstDataCol="3"/>
  <pivotFields count="22">
    <pivotField axis="axisRow" compact="0" outline="0" showAll="0">
      <items count="7">
        <item x="0"/>
        <item x="3"/>
        <item x="1"/>
        <item x="2"/>
        <item m="1" x="5"/>
        <item x="4"/>
        <item t="default"/>
      </items>
    </pivotField>
    <pivotField axis="axisRow" compact="0" outline="0" showAll="0" sortType="ascending">
      <items count="145">
        <item x="22"/>
        <item x="42"/>
        <item x="69"/>
        <item x="97"/>
        <item x="125"/>
        <item x="3"/>
        <item x="21"/>
        <item x="43"/>
        <item x="70"/>
        <item x="98"/>
        <item x="130"/>
        <item x="44"/>
        <item x="71"/>
        <item x="131"/>
        <item x="4"/>
        <item x="23"/>
        <item x="45"/>
        <item x="68"/>
        <item x="99"/>
        <item x="132"/>
        <item x="5"/>
        <item x="46"/>
        <item x="72"/>
        <item x="100"/>
        <item x="133"/>
        <item x="24"/>
        <item x="47"/>
        <item x="101"/>
        <item x="134"/>
        <item x="20"/>
        <item x="73"/>
        <item x="102"/>
        <item x="135"/>
        <item x="19"/>
        <item x="48"/>
        <item x="74"/>
        <item x="103"/>
        <item x="126"/>
        <item x="6"/>
        <item x="49"/>
        <item x="75"/>
        <item x="104"/>
        <item x="7"/>
        <item x="18"/>
        <item x="50"/>
        <item x="76"/>
        <item x="105"/>
        <item x="136"/>
        <item x="8"/>
        <item x="51"/>
        <item x="106"/>
        <item x="137"/>
        <item x="9"/>
        <item x="52"/>
        <item x="107"/>
        <item x="138"/>
        <item x="17"/>
        <item x="77"/>
        <item x="108"/>
        <item x="127"/>
        <item x="25"/>
        <item x="53"/>
        <item x="78"/>
        <item x="109"/>
        <item x="128"/>
        <item x="10"/>
        <item x="26"/>
        <item x="79"/>
        <item x="110"/>
        <item x="129"/>
        <item x="16"/>
        <item x="54"/>
        <item x="80"/>
        <item x="111"/>
        <item x="139"/>
        <item x="27"/>
        <item x="55"/>
        <item x="81"/>
        <item x="112"/>
        <item x="140"/>
        <item x="11"/>
        <item x="28"/>
        <item x="56"/>
        <item x="82"/>
        <item x="113"/>
        <item x="141"/>
        <item x="29"/>
        <item x="57"/>
        <item x="83"/>
        <item x="114"/>
        <item x="142"/>
        <item x="30"/>
        <item x="58"/>
        <item x="84"/>
        <item x="96"/>
        <item x="31"/>
        <item x="59"/>
        <item x="85"/>
        <item x="115"/>
        <item x="15"/>
        <item x="32"/>
        <item x="60"/>
        <item x="86"/>
        <item x="116"/>
        <item x="12"/>
        <item x="33"/>
        <item x="61"/>
        <item x="87"/>
        <item x="117"/>
        <item x="13"/>
        <item x="34"/>
        <item x="62"/>
        <item x="88"/>
        <item x="118"/>
        <item x="14"/>
        <item x="35"/>
        <item x="63"/>
        <item x="89"/>
        <item x="119"/>
        <item x="36"/>
        <item x="64"/>
        <item x="90"/>
        <item x="120"/>
        <item x="37"/>
        <item x="65"/>
        <item x="91"/>
        <item x="121"/>
        <item x="0"/>
        <item x="38"/>
        <item x="67"/>
        <item x="92"/>
        <item x="122"/>
        <item x="1"/>
        <item x="39"/>
        <item x="93"/>
        <item x="123"/>
        <item x="40"/>
        <item x="66"/>
        <item x="94"/>
        <item x="124"/>
        <item x="41"/>
        <item x="95"/>
        <item x="2"/>
        <item x="14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h="1" x="1"/>
        <item h="1" x="2"/>
        <item h="1" x="3"/>
        <item h="1" x="4"/>
        <item h="1" x="5"/>
        <item x="6"/>
        <item h="1" x="0"/>
        <item h="1" x="8"/>
        <item x="7"/>
        <item h="1"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3">
    <field x="0"/>
    <field x="7"/>
    <field x="1"/>
  </rowFields>
  <rowItems count="121">
    <i>
      <x/>
      <x v="5"/>
      <x v="9"/>
    </i>
    <i r="2">
      <x v="18"/>
    </i>
    <i r="2">
      <x v="31"/>
    </i>
    <i r="2">
      <x v="36"/>
    </i>
    <i r="2">
      <x v="50"/>
    </i>
    <i r="2">
      <x v="54"/>
    </i>
    <i r="2">
      <x v="58"/>
    </i>
    <i r="2">
      <x v="63"/>
    </i>
    <i r="2">
      <x v="68"/>
    </i>
    <i r="2">
      <x v="73"/>
    </i>
    <i r="2">
      <x v="78"/>
    </i>
    <i r="2">
      <x v="84"/>
    </i>
    <i r="2">
      <x v="89"/>
    </i>
    <i r="2">
      <x v="94"/>
    </i>
    <i r="2">
      <x v="98"/>
    </i>
    <i r="2">
      <x v="103"/>
    </i>
    <i r="2">
      <x v="108"/>
    </i>
    <i r="2">
      <x v="113"/>
    </i>
    <i r="2">
      <x v="122"/>
    </i>
    <i r="2">
      <x v="126"/>
    </i>
    <i r="2">
      <x v="131"/>
    </i>
    <i r="2">
      <x v="135"/>
    </i>
    <i r="2">
      <x v="139"/>
    </i>
    <i t="default" r="1">
      <x v="5"/>
    </i>
    <i r="1">
      <x v="8"/>
      <x v="4"/>
    </i>
    <i r="2">
      <x v="10"/>
    </i>
    <i r="2">
      <x v="13"/>
    </i>
    <i r="2">
      <x v="19"/>
    </i>
    <i r="2">
      <x v="24"/>
    </i>
    <i r="2">
      <x v="28"/>
    </i>
    <i r="2">
      <x v="32"/>
    </i>
    <i r="2">
      <x v="37"/>
    </i>
    <i r="2">
      <x v="47"/>
    </i>
    <i r="2">
      <x v="51"/>
    </i>
    <i r="2">
      <x v="55"/>
    </i>
    <i r="2">
      <x v="59"/>
    </i>
    <i r="2">
      <x v="64"/>
    </i>
    <i r="2">
      <x v="69"/>
    </i>
    <i r="2">
      <x v="74"/>
    </i>
    <i r="2">
      <x v="79"/>
    </i>
    <i r="2">
      <x v="85"/>
    </i>
    <i r="2">
      <x v="90"/>
    </i>
    <i t="default" r="1">
      <x v="8"/>
    </i>
    <i t="default">
      <x/>
    </i>
    <i>
      <x v="1"/>
      <x v="5"/>
      <x v="31"/>
    </i>
    <i r="2">
      <x v="84"/>
    </i>
    <i r="2">
      <x v="94"/>
    </i>
    <i r="2">
      <x v="103"/>
    </i>
    <i r="2">
      <x v="118"/>
    </i>
    <i r="2">
      <x v="122"/>
    </i>
    <i r="2">
      <x v="126"/>
    </i>
    <i r="2">
      <x v="131"/>
    </i>
    <i r="2">
      <x v="135"/>
    </i>
    <i r="2">
      <x v="139"/>
    </i>
    <i t="default" r="1">
      <x v="5"/>
    </i>
    <i r="1">
      <x v="8"/>
      <x v="10"/>
    </i>
    <i r="2">
      <x v="19"/>
    </i>
    <i r="2">
      <x v="24"/>
    </i>
    <i r="2">
      <x v="32"/>
    </i>
    <i r="2">
      <x v="37"/>
    </i>
    <i r="2">
      <x v="55"/>
    </i>
    <i r="2">
      <x v="59"/>
    </i>
    <i r="2">
      <x v="69"/>
    </i>
    <i r="2">
      <x v="90"/>
    </i>
    <i t="default" r="1">
      <x v="8"/>
    </i>
    <i t="default">
      <x v="1"/>
    </i>
    <i>
      <x v="2"/>
      <x v="5"/>
      <x v="3"/>
    </i>
    <i r="2">
      <x v="9"/>
    </i>
    <i r="2">
      <x v="54"/>
    </i>
    <i r="2">
      <x v="58"/>
    </i>
    <i r="2">
      <x v="63"/>
    </i>
    <i r="2">
      <x v="68"/>
    </i>
    <i r="2">
      <x v="84"/>
    </i>
    <i r="2">
      <x v="89"/>
    </i>
    <i r="2">
      <x v="94"/>
    </i>
    <i r="2">
      <x v="98"/>
    </i>
    <i r="2">
      <x v="122"/>
    </i>
    <i r="2">
      <x v="126"/>
    </i>
    <i r="2">
      <x v="131"/>
    </i>
    <i t="default" r="1">
      <x v="5"/>
    </i>
    <i r="1">
      <x v="8"/>
      <x v="13"/>
    </i>
    <i r="2">
      <x v="19"/>
    </i>
    <i r="2">
      <x v="24"/>
    </i>
    <i r="2">
      <x v="32"/>
    </i>
    <i r="2">
      <x v="37"/>
    </i>
    <i r="2">
      <x v="51"/>
    </i>
    <i r="2">
      <x v="55"/>
    </i>
    <i r="2">
      <x v="59"/>
    </i>
    <i r="2">
      <x v="69"/>
    </i>
    <i r="2">
      <x v="79"/>
    </i>
    <i r="2">
      <x v="85"/>
    </i>
    <i r="2">
      <x v="90"/>
    </i>
    <i t="default" r="1">
      <x v="8"/>
    </i>
    <i t="default">
      <x v="2"/>
    </i>
    <i>
      <x v="3"/>
      <x v="5"/>
      <x v="18"/>
    </i>
    <i r="2">
      <x v="23"/>
    </i>
    <i r="2">
      <x v="27"/>
    </i>
    <i r="2">
      <x v="41"/>
    </i>
    <i r="2">
      <x v="46"/>
    </i>
    <i r="2">
      <x v="58"/>
    </i>
    <i r="2">
      <x v="63"/>
    </i>
    <i r="2">
      <x v="68"/>
    </i>
    <i r="2">
      <x v="78"/>
    </i>
    <i r="2">
      <x v="94"/>
    </i>
    <i r="2">
      <x v="98"/>
    </i>
    <i r="2">
      <x v="103"/>
    </i>
    <i r="2">
      <x v="118"/>
    </i>
    <i r="2">
      <x v="126"/>
    </i>
    <i r="2">
      <x v="131"/>
    </i>
    <i t="default" r="1">
      <x v="5"/>
    </i>
    <i r="1">
      <x v="8"/>
      <x v="13"/>
    </i>
    <i r="2">
      <x v="37"/>
    </i>
    <i r="2">
      <x v="47"/>
    </i>
    <i r="2">
      <x v="69"/>
    </i>
    <i r="2">
      <x v="74"/>
    </i>
    <i r="2">
      <x v="79"/>
    </i>
    <i r="2">
      <x v="85"/>
    </i>
    <i r="2">
      <x v="90"/>
    </i>
    <i t="default" r="1">
      <x v="8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15" baseField="0" baseItem="0"/>
    <dataField name="Sum of Net Sale Amt" fld="19" baseField="0" baseItem="0" numFmtId="1"/>
  </dataFields>
  <formats count="25">
    <format dxfId="346">
      <pivotArea outline="0" fieldPosition="0">
        <references count="1">
          <reference field="4294967294" count="1" selected="0">
            <x v="1"/>
          </reference>
        </references>
      </pivotArea>
    </format>
    <format dxfId="345">
      <pivotArea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7" count="1" selected="0">
            <x v="5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0"/>
          </reference>
          <reference field="1" count="1">
            <x v="9"/>
          </reference>
          <reference field="7" count="1" selected="0">
            <x v="5"/>
          </reference>
        </references>
      </pivotArea>
    </format>
    <format dxfId="343">
      <pivotArea outline="0" fieldPosition="0">
        <references count="3">
          <reference field="0" count="1" selected="0">
            <x v="2"/>
          </reference>
          <reference field="1" count="2" selected="0">
            <x v="3"/>
            <x v="9"/>
          </reference>
          <reference field="7" count="1" selected="0">
            <x v="5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2"/>
          </reference>
          <reference field="1" count="2">
            <x v="3"/>
            <x v="9"/>
          </reference>
          <reference field="7" count="1" selected="0">
            <x v="5"/>
          </reference>
        </references>
      </pivotArea>
    </format>
    <format dxfId="341">
      <pivotArea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7" count="1" selected="0" defaultSubtotal="1">
            <x v="5"/>
          </reference>
        </references>
      </pivotArea>
    </format>
    <format dxfId="340">
      <pivotArea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7" count="1" selected="0" defaultSubtotal="1">
            <x v="8"/>
          </reference>
        </references>
      </pivotArea>
    </format>
    <format dxfId="339">
      <pivotArea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7" count="1" selected="0" defaultSubtotal="1">
            <x v="5"/>
          </reference>
        </references>
      </pivotArea>
    </format>
    <format dxfId="338">
      <pivotArea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7" count="1" selected="0" defaultSubtotal="1">
            <x v="8"/>
          </reference>
        </references>
      </pivotArea>
    </format>
    <format dxfId="337">
      <pivotArea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7" count="1" selected="0" defaultSubtotal="1">
            <x v="5"/>
          </reference>
        </references>
      </pivotArea>
    </format>
    <format dxfId="336">
      <pivotArea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7" count="1" selected="0" defaultSubtotal="1">
            <x v="8"/>
          </reference>
        </references>
      </pivotArea>
    </format>
    <format dxfId="335">
      <pivotArea outline="0" fieldPosition="0">
        <references count="3">
          <reference field="0" count="1" selected="0">
            <x v="3"/>
          </reference>
          <reference field="1" count="1" selected="0">
            <x v="18"/>
          </reference>
          <reference field="7" count="1" selected="0">
            <x v="5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3"/>
          </reference>
          <reference field="1" count="1">
            <x v="18"/>
          </reference>
          <reference field="7" count="1" selected="0">
            <x v="5"/>
          </reference>
        </references>
      </pivotArea>
    </format>
    <format dxfId="333">
      <pivotArea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7" count="1" selected="0" defaultSubtotal="1">
            <x v="8"/>
          </reference>
        </references>
      </pivotArea>
    </format>
    <format dxfId="332">
      <pivotArea outline="0" fieldPosition="0">
        <references count="3">
          <reference field="0" count="1" selected="0">
            <x v="1"/>
          </reference>
          <reference field="1" count="1" selected="0">
            <x v="31"/>
          </reference>
          <reference field="7" count="1" selected="0">
            <x v="5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1"/>
          </reference>
          <reference field="1" count="1">
            <x v="31"/>
          </reference>
          <reference field="7" count="1" selected="0">
            <x v="5"/>
          </reference>
        </references>
      </pivotArea>
    </format>
    <format dxfId="330">
      <pivotArea outline="0" fieldPosition="0">
        <references count="3">
          <reference field="0" count="1" selected="0">
            <x v="1"/>
          </reference>
          <reference field="1" count="1" selected="0">
            <x v="31"/>
          </reference>
          <reference field="7" count="1" selected="0">
            <x v="5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1"/>
          </reference>
          <reference field="1" count="1">
            <x v="31"/>
          </reference>
          <reference field="7" count="1" selected="0">
            <x v="5"/>
          </reference>
        </references>
      </pivotArea>
    </format>
    <format dxfId="328">
      <pivotArea dataOnly="0" outline="0" fieldPosition="0">
        <references count="1">
          <reference field="1" count="8">
            <x v="18"/>
            <x v="23"/>
            <x v="27"/>
            <x v="41"/>
            <x v="46"/>
            <x v="58"/>
            <x v="63"/>
            <x v="68"/>
          </reference>
        </references>
      </pivotArea>
    </format>
    <format dxfId="327">
      <pivotArea outline="0" fieldPosition="0">
        <references count="3">
          <reference field="0" count="1" selected="0">
            <x v="0"/>
          </reference>
          <reference field="1" count="11" selected="0">
            <x v="9"/>
            <x v="18"/>
            <x v="31"/>
            <x v="36"/>
            <x v="50"/>
            <x v="54"/>
            <x v="58"/>
            <x v="63"/>
            <x v="68"/>
            <x v="73"/>
            <x v="78"/>
          </reference>
          <reference field="7" count="1" selected="0">
            <x v="5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0"/>
          </reference>
          <reference field="1" count="11">
            <x v="9"/>
            <x v="18"/>
            <x v="31"/>
            <x v="36"/>
            <x v="50"/>
            <x v="54"/>
            <x v="58"/>
            <x v="63"/>
            <x v="68"/>
            <x v="73"/>
            <x v="78"/>
          </reference>
          <reference field="7" count="1" selected="0">
            <x v="5"/>
          </reference>
        </references>
      </pivotArea>
    </format>
    <format dxfId="325">
      <pivotArea outline="0" fieldPosition="0">
        <references count="3">
          <reference field="0" count="1" selected="0">
            <x v="3"/>
          </reference>
          <reference field="1" count="9" selected="0">
            <x v="18"/>
            <x v="23"/>
            <x v="27"/>
            <x v="41"/>
            <x v="46"/>
            <x v="58"/>
            <x v="63"/>
            <x v="68"/>
            <x v="78"/>
          </reference>
          <reference field="7" count="1" selected="0">
            <x v="5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3"/>
          </reference>
          <reference field="1" count="9">
            <x v="18"/>
            <x v="23"/>
            <x v="27"/>
            <x v="41"/>
            <x v="46"/>
            <x v="58"/>
            <x v="63"/>
            <x v="68"/>
            <x v="78"/>
          </reference>
          <reference field="7" count="1" selected="0">
            <x v="5"/>
          </reference>
        </references>
      </pivotArea>
    </format>
    <format dxfId="183">
      <pivotArea outline="0" fieldPosition="0">
        <references count="3">
          <reference field="0" count="1" selected="0">
            <x v="2"/>
          </reference>
          <reference field="1" count="8" selected="0">
            <x v="3"/>
            <x v="9"/>
            <x v="54"/>
            <x v="58"/>
            <x v="63"/>
            <x v="68"/>
            <x v="84"/>
            <x v="89"/>
          </reference>
          <reference field="7" count="1" selected="0">
            <x v="5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2"/>
          </reference>
          <reference field="1" count="8">
            <x v="3"/>
            <x v="9"/>
            <x v="54"/>
            <x v="58"/>
            <x v="63"/>
            <x v="68"/>
            <x v="84"/>
            <x v="89"/>
          </reference>
          <reference field="7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9724FC-3681-0E4E-A7D5-AC299EB8E20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eed839e-1243-433a-a013-6839bd50d82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6217-E3C8-5841-A0C6-750D9088A6EF}">
  <dimension ref="A1:D99"/>
  <sheetViews>
    <sheetView workbookViewId="0">
      <selection activeCell="B14" sqref="B14"/>
    </sheetView>
  </sheetViews>
  <sheetFormatPr baseColWidth="10" defaultRowHeight="15" x14ac:dyDescent="0.2"/>
  <cols>
    <col min="1" max="1" width="10" bestFit="1" customWidth="1"/>
    <col min="2" max="2" width="56.5" bestFit="1" customWidth="1"/>
    <col min="3" max="3" width="9.5" bestFit="1" customWidth="1"/>
    <col min="4" max="5" width="16.83203125" bestFit="1" customWidth="1"/>
  </cols>
  <sheetData>
    <row r="1" spans="1:4" x14ac:dyDescent="0.2">
      <c r="A1" s="58" t="s">
        <v>411</v>
      </c>
      <c r="B1" t="s">
        <v>955</v>
      </c>
    </row>
    <row r="2" spans="1:4" x14ac:dyDescent="0.2">
      <c r="A2" s="58" t="s">
        <v>1</v>
      </c>
      <c r="B2" t="s">
        <v>955</v>
      </c>
    </row>
    <row r="4" spans="1:4" x14ac:dyDescent="0.2">
      <c r="C4" s="58" t="s">
        <v>732</v>
      </c>
    </row>
    <row r="5" spans="1:4" x14ac:dyDescent="0.2">
      <c r="A5" s="58" t="s">
        <v>6</v>
      </c>
      <c r="B5" s="58" t="s">
        <v>410</v>
      </c>
      <c r="C5" t="s">
        <v>730</v>
      </c>
      <c r="D5" t="s">
        <v>731</v>
      </c>
    </row>
    <row r="6" spans="1:4" x14ac:dyDescent="0.2">
      <c r="A6" t="s">
        <v>65</v>
      </c>
      <c r="B6" t="s">
        <v>526</v>
      </c>
      <c r="C6" s="185">
        <v>14</v>
      </c>
      <c r="D6" s="155">
        <v>82838.880000000019</v>
      </c>
    </row>
    <row r="7" spans="1:4" x14ac:dyDescent="0.2">
      <c r="B7" t="s">
        <v>391</v>
      </c>
      <c r="C7" s="185">
        <v>14</v>
      </c>
      <c r="D7" s="155">
        <v>80038.090000000011</v>
      </c>
    </row>
    <row r="8" spans="1:4" x14ac:dyDescent="0.2">
      <c r="B8" t="s">
        <v>525</v>
      </c>
      <c r="C8" s="185">
        <v>12</v>
      </c>
      <c r="D8" s="155">
        <v>69479.160000000018</v>
      </c>
    </row>
    <row r="9" spans="1:4" x14ac:dyDescent="0.2">
      <c r="B9" t="s">
        <v>385</v>
      </c>
      <c r="C9" s="185">
        <v>11</v>
      </c>
      <c r="D9" s="155">
        <v>67591.550000000017</v>
      </c>
    </row>
    <row r="10" spans="1:4" x14ac:dyDescent="0.2">
      <c r="B10" t="s">
        <v>1142</v>
      </c>
      <c r="C10" s="185">
        <v>6</v>
      </c>
      <c r="D10" s="155">
        <v>33480.370000000003</v>
      </c>
    </row>
    <row r="11" spans="1:4" x14ac:dyDescent="0.2">
      <c r="B11" t="s">
        <v>389</v>
      </c>
      <c r="C11" s="185">
        <v>6</v>
      </c>
      <c r="D11" s="155">
        <v>32545.349999999995</v>
      </c>
    </row>
    <row r="12" spans="1:4" x14ac:dyDescent="0.2">
      <c r="B12" t="s">
        <v>380</v>
      </c>
      <c r="C12" s="185">
        <v>5</v>
      </c>
      <c r="D12" s="155">
        <v>25495.749999999996</v>
      </c>
    </row>
    <row r="13" spans="1:4" x14ac:dyDescent="0.2">
      <c r="B13" t="s">
        <v>1144</v>
      </c>
      <c r="C13" s="185">
        <v>5</v>
      </c>
      <c r="D13" s="155">
        <v>24496.5</v>
      </c>
    </row>
    <row r="14" spans="1:4" x14ac:dyDescent="0.2">
      <c r="B14" t="s">
        <v>394</v>
      </c>
      <c r="C14" s="185">
        <v>5</v>
      </c>
      <c r="D14" s="155">
        <v>23696.05</v>
      </c>
    </row>
    <row r="15" spans="1:4" x14ac:dyDescent="0.2">
      <c r="B15" t="s">
        <v>511</v>
      </c>
      <c r="C15" s="185">
        <v>4</v>
      </c>
      <c r="D15" s="155">
        <v>21696.899999999998</v>
      </c>
    </row>
    <row r="16" spans="1:4" x14ac:dyDescent="0.2">
      <c r="B16" t="s">
        <v>510</v>
      </c>
      <c r="C16" s="185">
        <v>4</v>
      </c>
      <c r="D16" s="155">
        <v>18854.690000000002</v>
      </c>
    </row>
    <row r="17" spans="1:4" x14ac:dyDescent="0.2">
      <c r="B17" t="s">
        <v>393</v>
      </c>
      <c r="C17" s="185">
        <v>3</v>
      </c>
      <c r="D17" s="155">
        <v>14397.599999999999</v>
      </c>
    </row>
    <row r="18" spans="1:4" x14ac:dyDescent="0.2">
      <c r="B18" t="s">
        <v>728</v>
      </c>
      <c r="C18" s="185">
        <v>3</v>
      </c>
      <c r="D18" s="155">
        <v>14697.900000000001</v>
      </c>
    </row>
    <row r="19" spans="1:4" x14ac:dyDescent="0.2">
      <c r="B19" t="s">
        <v>376</v>
      </c>
      <c r="C19" s="185">
        <v>2</v>
      </c>
      <c r="D19" s="155">
        <v>10198.299999999999</v>
      </c>
    </row>
    <row r="20" spans="1:4" x14ac:dyDescent="0.2">
      <c r="B20" t="s">
        <v>387</v>
      </c>
      <c r="C20" s="185">
        <v>2</v>
      </c>
      <c r="D20" s="155">
        <v>13431.65</v>
      </c>
    </row>
    <row r="21" spans="1:4" x14ac:dyDescent="0.2">
      <c r="A21" t="s">
        <v>779</v>
      </c>
      <c r="C21" s="185">
        <v>96</v>
      </c>
      <c r="D21" s="155">
        <v>532938.74000000011</v>
      </c>
    </row>
    <row r="22" spans="1:4" x14ac:dyDescent="0.2">
      <c r="A22" t="s">
        <v>359</v>
      </c>
      <c r="B22" t="s">
        <v>358</v>
      </c>
      <c r="C22" s="185">
        <v>1</v>
      </c>
      <c r="D22" s="155">
        <v>3995</v>
      </c>
    </row>
    <row r="23" spans="1:4" x14ac:dyDescent="0.2">
      <c r="B23" t="s">
        <v>361</v>
      </c>
      <c r="C23" s="185">
        <v>1</v>
      </c>
      <c r="D23" s="155">
        <v>3995</v>
      </c>
    </row>
    <row r="24" spans="1:4" x14ac:dyDescent="0.2">
      <c r="A24" t="s">
        <v>1227</v>
      </c>
      <c r="C24" s="185">
        <v>2</v>
      </c>
      <c r="D24" s="155">
        <v>7990</v>
      </c>
    </row>
    <row r="25" spans="1:4" x14ac:dyDescent="0.2">
      <c r="A25" t="s">
        <v>34</v>
      </c>
      <c r="B25" t="s">
        <v>407</v>
      </c>
      <c r="C25" s="185">
        <v>12</v>
      </c>
      <c r="D25" s="155">
        <v>59721.779999999992</v>
      </c>
    </row>
    <row r="26" spans="1:4" x14ac:dyDescent="0.2">
      <c r="B26" t="s">
        <v>507</v>
      </c>
      <c r="C26" s="185">
        <v>11</v>
      </c>
      <c r="D26" s="155">
        <v>46490.499999999993</v>
      </c>
    </row>
    <row r="27" spans="1:4" x14ac:dyDescent="0.2">
      <c r="B27" t="s">
        <v>521</v>
      </c>
      <c r="C27" s="185">
        <v>10</v>
      </c>
      <c r="D27" s="155">
        <v>48449.03</v>
      </c>
    </row>
    <row r="28" spans="1:4" x14ac:dyDescent="0.2">
      <c r="B28" t="s">
        <v>514</v>
      </c>
      <c r="C28" s="185">
        <v>7</v>
      </c>
      <c r="D28" s="155">
        <v>27994.399999999998</v>
      </c>
    </row>
    <row r="29" spans="1:4" x14ac:dyDescent="0.2">
      <c r="B29" t="s">
        <v>493</v>
      </c>
      <c r="C29" s="185">
        <v>7</v>
      </c>
      <c r="D29" s="155">
        <v>33148.799999999996</v>
      </c>
    </row>
    <row r="30" spans="1:4" x14ac:dyDescent="0.2">
      <c r="B30" t="s">
        <v>727</v>
      </c>
      <c r="C30" s="185">
        <v>6</v>
      </c>
      <c r="D30" s="155">
        <v>23995.200000000001</v>
      </c>
    </row>
    <row r="31" spans="1:4" x14ac:dyDescent="0.2">
      <c r="B31" t="s">
        <v>501</v>
      </c>
      <c r="C31" s="185">
        <v>6</v>
      </c>
      <c r="D31" s="155">
        <v>28221.79</v>
      </c>
    </row>
    <row r="32" spans="1:4" x14ac:dyDescent="0.2">
      <c r="B32" t="s">
        <v>1145</v>
      </c>
      <c r="C32" s="185">
        <v>5</v>
      </c>
      <c r="D32" s="155">
        <v>27996</v>
      </c>
    </row>
    <row r="33" spans="2:4" x14ac:dyDescent="0.2">
      <c r="B33" t="s">
        <v>400</v>
      </c>
      <c r="C33" s="185">
        <v>5</v>
      </c>
      <c r="D33" s="155">
        <v>24595.9</v>
      </c>
    </row>
    <row r="34" spans="2:4" x14ac:dyDescent="0.2">
      <c r="B34" t="s">
        <v>402</v>
      </c>
      <c r="C34" s="185">
        <v>5</v>
      </c>
      <c r="D34" s="155">
        <v>22796.2</v>
      </c>
    </row>
    <row r="35" spans="2:4" x14ac:dyDescent="0.2">
      <c r="B35" t="s">
        <v>491</v>
      </c>
      <c r="C35" s="185">
        <v>4</v>
      </c>
      <c r="D35" s="155">
        <v>16746.650000000001</v>
      </c>
    </row>
    <row r="36" spans="2:4" x14ac:dyDescent="0.2">
      <c r="B36" t="s">
        <v>490</v>
      </c>
      <c r="C36" s="185">
        <v>4</v>
      </c>
      <c r="D36" s="155">
        <v>16246.75</v>
      </c>
    </row>
    <row r="37" spans="2:4" x14ac:dyDescent="0.2">
      <c r="B37" t="s">
        <v>406</v>
      </c>
      <c r="C37" s="185">
        <v>4</v>
      </c>
      <c r="D37" s="155">
        <v>21296.449999999997</v>
      </c>
    </row>
    <row r="38" spans="2:4" x14ac:dyDescent="0.2">
      <c r="B38" t="s">
        <v>408</v>
      </c>
      <c r="C38" s="185">
        <v>4</v>
      </c>
      <c r="D38" s="155">
        <v>19796.7</v>
      </c>
    </row>
    <row r="39" spans="2:4" x14ac:dyDescent="0.2">
      <c r="B39" t="s">
        <v>404</v>
      </c>
      <c r="C39" s="185">
        <v>3</v>
      </c>
      <c r="D39" s="155">
        <v>14397.599999999999</v>
      </c>
    </row>
    <row r="40" spans="2:4" x14ac:dyDescent="0.2">
      <c r="B40" t="s">
        <v>1146</v>
      </c>
      <c r="C40" s="185">
        <v>3</v>
      </c>
      <c r="D40" s="155">
        <v>16797.599999999999</v>
      </c>
    </row>
    <row r="41" spans="2:4" x14ac:dyDescent="0.2">
      <c r="B41" t="s">
        <v>496</v>
      </c>
      <c r="C41" s="185">
        <v>3</v>
      </c>
      <c r="D41" s="155">
        <v>12997.400000000001</v>
      </c>
    </row>
    <row r="42" spans="2:4" x14ac:dyDescent="0.2">
      <c r="B42" t="s">
        <v>500</v>
      </c>
      <c r="C42" s="185">
        <v>3</v>
      </c>
      <c r="D42" s="155">
        <v>14301.490000000002</v>
      </c>
    </row>
    <row r="43" spans="2:4" x14ac:dyDescent="0.2">
      <c r="B43" t="s">
        <v>516</v>
      </c>
      <c r="C43" s="185">
        <v>2</v>
      </c>
      <c r="D43" s="155">
        <v>7498.5</v>
      </c>
    </row>
    <row r="44" spans="2:4" x14ac:dyDescent="0.2">
      <c r="B44" t="s">
        <v>497</v>
      </c>
      <c r="C44" s="185">
        <v>2</v>
      </c>
      <c r="D44" s="155">
        <v>7998.4</v>
      </c>
    </row>
    <row r="45" spans="2:4" x14ac:dyDescent="0.2">
      <c r="B45" t="s">
        <v>504</v>
      </c>
      <c r="C45" s="185">
        <v>2</v>
      </c>
      <c r="D45" s="155">
        <v>11198.4</v>
      </c>
    </row>
    <row r="46" spans="2:4" x14ac:dyDescent="0.2">
      <c r="B46" t="s">
        <v>494</v>
      </c>
      <c r="C46" s="185">
        <v>2</v>
      </c>
      <c r="D46" s="155">
        <v>11098.15</v>
      </c>
    </row>
    <row r="47" spans="2:4" x14ac:dyDescent="0.2">
      <c r="B47" t="s">
        <v>495</v>
      </c>
      <c r="C47" s="185">
        <v>1</v>
      </c>
      <c r="D47" s="155">
        <v>3999.2</v>
      </c>
    </row>
    <row r="48" spans="2:4" x14ac:dyDescent="0.2">
      <c r="B48" t="s">
        <v>393</v>
      </c>
      <c r="C48" s="185">
        <v>1</v>
      </c>
      <c r="D48" s="155">
        <v>5999</v>
      </c>
    </row>
    <row r="49" spans="1:4" x14ac:dyDescent="0.2">
      <c r="B49" t="s">
        <v>503</v>
      </c>
      <c r="C49" s="185">
        <v>1</v>
      </c>
      <c r="D49" s="155">
        <v>5599.2</v>
      </c>
    </row>
    <row r="50" spans="1:4" x14ac:dyDescent="0.2">
      <c r="B50" t="s">
        <v>523</v>
      </c>
      <c r="C50" s="185">
        <v>1</v>
      </c>
      <c r="D50" s="155">
        <v>5999</v>
      </c>
    </row>
    <row r="51" spans="1:4" x14ac:dyDescent="0.2">
      <c r="B51" t="s">
        <v>394</v>
      </c>
      <c r="C51" s="185">
        <v>1</v>
      </c>
      <c r="D51" s="155">
        <v>5099.1499999999996</v>
      </c>
    </row>
    <row r="52" spans="1:4" x14ac:dyDescent="0.2">
      <c r="B52" t="s">
        <v>505</v>
      </c>
      <c r="C52" s="185">
        <v>1</v>
      </c>
      <c r="D52" s="155">
        <v>5599.2</v>
      </c>
    </row>
    <row r="53" spans="1:4" x14ac:dyDescent="0.2">
      <c r="B53" t="s">
        <v>498</v>
      </c>
      <c r="C53" s="185">
        <v>1</v>
      </c>
      <c r="D53" s="155">
        <v>3599.2</v>
      </c>
    </row>
    <row r="54" spans="1:4" x14ac:dyDescent="0.2">
      <c r="B54" t="s">
        <v>509</v>
      </c>
      <c r="C54" s="185">
        <v>1</v>
      </c>
      <c r="D54" s="155">
        <v>3999.2</v>
      </c>
    </row>
    <row r="55" spans="1:4" x14ac:dyDescent="0.2">
      <c r="B55" t="s">
        <v>512</v>
      </c>
      <c r="C55" s="185">
        <v>1</v>
      </c>
      <c r="D55" s="155">
        <v>6999</v>
      </c>
    </row>
    <row r="56" spans="1:4" x14ac:dyDescent="0.2">
      <c r="B56" t="s">
        <v>522</v>
      </c>
      <c r="C56" s="185">
        <v>1</v>
      </c>
      <c r="D56" s="155">
        <v>6999</v>
      </c>
    </row>
    <row r="57" spans="1:4" x14ac:dyDescent="0.2">
      <c r="A57" t="s">
        <v>778</v>
      </c>
      <c r="C57" s="185">
        <v>120</v>
      </c>
      <c r="D57" s="155">
        <v>567674.83999999985</v>
      </c>
    </row>
    <row r="58" spans="1:4" x14ac:dyDescent="0.2">
      <c r="A58" t="s">
        <v>294</v>
      </c>
      <c r="B58" t="s">
        <v>396</v>
      </c>
      <c r="C58" s="185">
        <v>3</v>
      </c>
      <c r="D58" s="155">
        <v>9498.1</v>
      </c>
    </row>
    <row r="59" spans="1:4" x14ac:dyDescent="0.2">
      <c r="B59" t="s">
        <v>399</v>
      </c>
      <c r="C59" s="185">
        <v>3</v>
      </c>
      <c r="D59" s="155">
        <v>8998.2000000000007</v>
      </c>
    </row>
    <row r="60" spans="1:4" x14ac:dyDescent="0.2">
      <c r="B60" t="s">
        <v>364</v>
      </c>
      <c r="C60" s="185">
        <v>2</v>
      </c>
      <c r="D60" s="155">
        <v>5540.75</v>
      </c>
    </row>
    <row r="61" spans="1:4" x14ac:dyDescent="0.2">
      <c r="B61" t="s">
        <v>366</v>
      </c>
      <c r="C61" s="185">
        <v>1</v>
      </c>
      <c r="D61" s="155">
        <v>1797</v>
      </c>
    </row>
    <row r="62" spans="1:4" x14ac:dyDescent="0.2">
      <c r="A62" t="s">
        <v>1226</v>
      </c>
      <c r="C62" s="185">
        <v>9</v>
      </c>
      <c r="D62" s="155">
        <v>25834.050000000003</v>
      </c>
    </row>
    <row r="63" spans="1:4" x14ac:dyDescent="0.2">
      <c r="A63" t="s">
        <v>160</v>
      </c>
      <c r="B63" t="s">
        <v>346</v>
      </c>
      <c r="C63" s="185">
        <v>3</v>
      </c>
      <c r="D63" s="155">
        <v>11539.5</v>
      </c>
    </row>
    <row r="64" spans="1:4" x14ac:dyDescent="0.2">
      <c r="B64" t="s">
        <v>344</v>
      </c>
      <c r="C64" s="185">
        <v>3</v>
      </c>
      <c r="D64" s="155">
        <v>9341.5</v>
      </c>
    </row>
    <row r="65" spans="1:4" x14ac:dyDescent="0.2">
      <c r="B65" t="s">
        <v>345</v>
      </c>
      <c r="C65" s="185">
        <v>2</v>
      </c>
      <c r="D65" s="155">
        <v>7143.5</v>
      </c>
    </row>
    <row r="66" spans="1:4" x14ac:dyDescent="0.2">
      <c r="B66" t="s">
        <v>375</v>
      </c>
      <c r="C66" s="185">
        <v>1</v>
      </c>
      <c r="D66" s="155">
        <v>2096.5</v>
      </c>
    </row>
    <row r="67" spans="1:4" x14ac:dyDescent="0.2">
      <c r="B67" t="s">
        <v>351</v>
      </c>
      <c r="C67" s="185">
        <v>1</v>
      </c>
      <c r="D67" s="155">
        <v>3297</v>
      </c>
    </row>
    <row r="68" spans="1:4" x14ac:dyDescent="0.2">
      <c r="B68" t="s">
        <v>349</v>
      </c>
      <c r="C68" s="185">
        <v>1</v>
      </c>
      <c r="D68" s="155">
        <v>3297</v>
      </c>
    </row>
    <row r="69" spans="1:4" x14ac:dyDescent="0.2">
      <c r="B69" t="s">
        <v>353</v>
      </c>
      <c r="C69" s="185">
        <v>1</v>
      </c>
      <c r="D69" s="155">
        <v>4196.5</v>
      </c>
    </row>
    <row r="70" spans="1:4" x14ac:dyDescent="0.2">
      <c r="A70" t="s">
        <v>1228</v>
      </c>
      <c r="C70" s="185">
        <v>12</v>
      </c>
      <c r="D70" s="155">
        <v>40911.5</v>
      </c>
    </row>
    <row r="71" spans="1:4" x14ac:dyDescent="0.2">
      <c r="A71" t="s">
        <v>26</v>
      </c>
      <c r="B71" t="s">
        <v>338</v>
      </c>
      <c r="C71" s="185">
        <v>32</v>
      </c>
      <c r="D71" s="155">
        <v>97478</v>
      </c>
    </row>
    <row r="72" spans="1:4" x14ac:dyDescent="0.2">
      <c r="B72" t="s">
        <v>332</v>
      </c>
      <c r="C72" s="185">
        <v>25</v>
      </c>
      <c r="D72" s="155">
        <v>54059.75</v>
      </c>
    </row>
    <row r="73" spans="1:4" x14ac:dyDescent="0.2">
      <c r="B73" t="s">
        <v>340</v>
      </c>
      <c r="C73" s="185">
        <v>19</v>
      </c>
      <c r="D73" s="155">
        <v>38785.25</v>
      </c>
    </row>
    <row r="74" spans="1:4" x14ac:dyDescent="0.2">
      <c r="B74" t="s">
        <v>339</v>
      </c>
      <c r="C74" s="185">
        <v>18</v>
      </c>
      <c r="D74" s="155">
        <v>40133</v>
      </c>
    </row>
    <row r="75" spans="1:4" x14ac:dyDescent="0.2">
      <c r="B75" t="s">
        <v>322</v>
      </c>
      <c r="C75" s="185">
        <v>17</v>
      </c>
      <c r="D75" s="155">
        <v>48059.85</v>
      </c>
    </row>
    <row r="76" spans="1:4" x14ac:dyDescent="0.2">
      <c r="B76" t="s">
        <v>316</v>
      </c>
      <c r="C76" s="185">
        <v>16</v>
      </c>
      <c r="D76" s="155">
        <v>37920.75</v>
      </c>
    </row>
    <row r="77" spans="1:4" x14ac:dyDescent="0.2">
      <c r="B77" t="s">
        <v>331</v>
      </c>
      <c r="C77" s="185">
        <v>14</v>
      </c>
      <c r="D77" s="155">
        <v>26505.75</v>
      </c>
    </row>
    <row r="78" spans="1:4" x14ac:dyDescent="0.2">
      <c r="B78" t="s">
        <v>330</v>
      </c>
      <c r="C78" s="185">
        <v>13</v>
      </c>
      <c r="D78" s="155">
        <v>30336.6</v>
      </c>
    </row>
    <row r="79" spans="1:4" x14ac:dyDescent="0.2">
      <c r="B79" t="s">
        <v>724</v>
      </c>
      <c r="C79" s="185">
        <v>11</v>
      </c>
      <c r="D79" s="155">
        <v>29232.690000000006</v>
      </c>
    </row>
    <row r="80" spans="1:4" x14ac:dyDescent="0.2">
      <c r="B80" t="s">
        <v>334</v>
      </c>
      <c r="C80" s="185">
        <v>10</v>
      </c>
      <c r="D80" s="155">
        <v>25863</v>
      </c>
    </row>
    <row r="81" spans="1:4" x14ac:dyDescent="0.2">
      <c r="B81" t="s">
        <v>725</v>
      </c>
      <c r="C81" s="185">
        <v>9</v>
      </c>
      <c r="D81" s="155">
        <v>21994.500000000004</v>
      </c>
    </row>
    <row r="82" spans="1:4" x14ac:dyDescent="0.2">
      <c r="B82" t="s">
        <v>333</v>
      </c>
      <c r="C82" s="185">
        <v>9</v>
      </c>
      <c r="D82" s="155">
        <v>20271</v>
      </c>
    </row>
    <row r="83" spans="1:4" x14ac:dyDescent="0.2">
      <c r="B83" t="s">
        <v>341</v>
      </c>
      <c r="C83" s="185">
        <v>8</v>
      </c>
      <c r="D83" s="155">
        <v>14046.85</v>
      </c>
    </row>
    <row r="84" spans="1:4" x14ac:dyDescent="0.2">
      <c r="B84" t="s">
        <v>367</v>
      </c>
      <c r="C84" s="185">
        <v>8</v>
      </c>
      <c r="D84" s="155">
        <v>12750.869999999999</v>
      </c>
    </row>
    <row r="85" spans="1:4" x14ac:dyDescent="0.2">
      <c r="B85" t="s">
        <v>327</v>
      </c>
      <c r="C85" s="185">
        <v>8</v>
      </c>
      <c r="D85" s="155">
        <v>22193.25</v>
      </c>
    </row>
    <row r="86" spans="1:4" x14ac:dyDescent="0.2">
      <c r="B86" t="s">
        <v>336</v>
      </c>
      <c r="C86" s="185">
        <v>7</v>
      </c>
      <c r="D86" s="155">
        <v>23598.75</v>
      </c>
    </row>
    <row r="87" spans="1:4" x14ac:dyDescent="0.2">
      <c r="B87" t="s">
        <v>151</v>
      </c>
      <c r="C87" s="185">
        <v>7</v>
      </c>
      <c r="D87" s="155">
        <v>26745.25</v>
      </c>
    </row>
    <row r="88" spans="1:4" x14ac:dyDescent="0.2">
      <c r="B88" t="s">
        <v>1151</v>
      </c>
      <c r="C88" s="185">
        <v>6</v>
      </c>
      <c r="D88" s="155">
        <v>14396.4</v>
      </c>
    </row>
    <row r="89" spans="1:4" x14ac:dyDescent="0.2">
      <c r="B89" t="s">
        <v>722</v>
      </c>
      <c r="C89" s="185">
        <v>6</v>
      </c>
      <c r="D89" s="155">
        <v>16395.900000000001</v>
      </c>
    </row>
    <row r="90" spans="1:4" x14ac:dyDescent="0.2">
      <c r="B90" t="s">
        <v>329</v>
      </c>
      <c r="C90" s="185">
        <v>6</v>
      </c>
      <c r="D90" s="155">
        <v>15028.5</v>
      </c>
    </row>
    <row r="91" spans="1:4" x14ac:dyDescent="0.2">
      <c r="B91" t="s">
        <v>152</v>
      </c>
      <c r="C91" s="185">
        <v>5</v>
      </c>
      <c r="D91" s="155">
        <v>7763.37</v>
      </c>
    </row>
    <row r="92" spans="1:4" x14ac:dyDescent="0.2">
      <c r="B92" t="s">
        <v>335</v>
      </c>
      <c r="C92" s="185">
        <v>5</v>
      </c>
      <c r="D92" s="155">
        <v>8233.5</v>
      </c>
    </row>
    <row r="93" spans="1:4" x14ac:dyDescent="0.2">
      <c r="B93" t="s">
        <v>325</v>
      </c>
      <c r="C93" s="185">
        <v>4</v>
      </c>
      <c r="D93" s="155">
        <v>12586</v>
      </c>
    </row>
    <row r="94" spans="1:4" x14ac:dyDescent="0.2">
      <c r="B94" t="s">
        <v>720</v>
      </c>
      <c r="C94" s="185">
        <v>2</v>
      </c>
      <c r="D94" s="155">
        <v>4798.8</v>
      </c>
    </row>
    <row r="95" spans="1:4" x14ac:dyDescent="0.2">
      <c r="B95" t="s">
        <v>387</v>
      </c>
      <c r="C95" s="185">
        <v>1</v>
      </c>
      <c r="D95" s="155">
        <v>1746.5</v>
      </c>
    </row>
    <row r="96" spans="1:4" x14ac:dyDescent="0.2">
      <c r="A96" t="s">
        <v>777</v>
      </c>
      <c r="C96" s="185">
        <v>266</v>
      </c>
      <c r="D96" s="155">
        <v>650924.07999999996</v>
      </c>
    </row>
    <row r="97" spans="1:4" x14ac:dyDescent="0.2">
      <c r="A97" t="s">
        <v>1197</v>
      </c>
      <c r="B97" t="s">
        <v>1260</v>
      </c>
      <c r="C97" s="185"/>
      <c r="D97" s="155"/>
    </row>
    <row r="98" spans="1:4" x14ac:dyDescent="0.2">
      <c r="A98" t="s">
        <v>1229</v>
      </c>
      <c r="C98" s="185"/>
      <c r="D98" s="155"/>
    </row>
    <row r="99" spans="1:4" x14ac:dyDescent="0.2">
      <c r="A99" t="s">
        <v>729</v>
      </c>
      <c r="C99" s="185">
        <v>505</v>
      </c>
      <c r="D99" s="155">
        <v>1826273.2100000002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3F1D-D65D-4443-BCD4-5D47CF3D5B1F}">
  <dimension ref="A2:H55"/>
  <sheetViews>
    <sheetView workbookViewId="0">
      <selection activeCell="H1" sqref="H1"/>
    </sheetView>
  </sheetViews>
  <sheetFormatPr baseColWidth="10" defaultRowHeight="15" x14ac:dyDescent="0.2"/>
  <cols>
    <col min="1" max="1" width="10" bestFit="1" customWidth="1"/>
    <col min="2" max="2" width="10.5" bestFit="1" customWidth="1"/>
    <col min="3" max="3" width="9.5" bestFit="1" customWidth="1"/>
    <col min="4" max="4" width="16.83203125" bestFit="1" customWidth="1"/>
    <col min="5" max="5" width="3.1640625" bestFit="1" customWidth="1"/>
    <col min="6" max="6" width="9.1640625" bestFit="1" customWidth="1"/>
    <col min="7" max="7" width="21" bestFit="1" customWidth="1"/>
  </cols>
  <sheetData>
    <row r="2" spans="1:4" x14ac:dyDescent="0.2">
      <c r="A2" s="58" t="s">
        <v>0</v>
      </c>
      <c r="B2" t="s">
        <v>955</v>
      </c>
    </row>
    <row r="4" spans="1:4" x14ac:dyDescent="0.2">
      <c r="C4" s="58" t="s">
        <v>732</v>
      </c>
    </row>
    <row r="5" spans="1:4" x14ac:dyDescent="0.2">
      <c r="A5" s="58" t="s">
        <v>411</v>
      </c>
      <c r="B5" s="58" t="s">
        <v>1</v>
      </c>
      <c r="C5" t="s">
        <v>730</v>
      </c>
      <c r="D5" t="s">
        <v>731</v>
      </c>
    </row>
    <row r="6" spans="1:4" x14ac:dyDescent="0.2">
      <c r="A6" t="s">
        <v>925</v>
      </c>
      <c r="B6" s="48" t="s">
        <v>923</v>
      </c>
      <c r="C6" s="186">
        <v>1</v>
      </c>
      <c r="D6" s="171">
        <v>5999</v>
      </c>
    </row>
    <row r="7" spans="1:4" x14ac:dyDescent="0.2">
      <c r="B7" s="48" t="s">
        <v>926</v>
      </c>
      <c r="C7" s="186">
        <v>4</v>
      </c>
      <c r="D7" s="171">
        <v>20992</v>
      </c>
    </row>
    <row r="8" spans="1:4" x14ac:dyDescent="0.2">
      <c r="B8" s="48" t="s">
        <v>933</v>
      </c>
      <c r="C8" s="186">
        <v>3</v>
      </c>
      <c r="D8" s="171">
        <v>14993</v>
      </c>
    </row>
    <row r="9" spans="1:4" x14ac:dyDescent="0.2">
      <c r="B9" s="48" t="s">
        <v>942</v>
      </c>
      <c r="C9" s="186">
        <v>2</v>
      </c>
      <c r="D9" s="171">
        <v>11494</v>
      </c>
    </row>
    <row r="10" spans="1:4" x14ac:dyDescent="0.2">
      <c r="B10" s="48" t="s">
        <v>944</v>
      </c>
      <c r="C10" s="186">
        <v>2</v>
      </c>
      <c r="D10" s="171">
        <v>14998</v>
      </c>
    </row>
    <row r="11" spans="1:4" x14ac:dyDescent="0.2">
      <c r="B11" s="48" t="s">
        <v>949</v>
      </c>
      <c r="C11" s="186">
        <v>2</v>
      </c>
      <c r="D11" s="171">
        <v>9494</v>
      </c>
    </row>
    <row r="12" spans="1:4" x14ac:dyDescent="0.2">
      <c r="B12" s="48" t="s">
        <v>953</v>
      </c>
      <c r="C12" s="186">
        <v>2</v>
      </c>
      <c r="D12" s="171">
        <v>7994</v>
      </c>
    </row>
    <row r="13" spans="1:4" x14ac:dyDescent="0.2">
      <c r="B13" s="48" t="s">
        <v>960</v>
      </c>
      <c r="C13" s="186">
        <v>1</v>
      </c>
      <c r="D13" s="171">
        <v>5999</v>
      </c>
    </row>
    <row r="14" spans="1:4" x14ac:dyDescent="0.2">
      <c r="B14" s="48" t="s">
        <v>964</v>
      </c>
      <c r="C14" s="186">
        <v>1</v>
      </c>
      <c r="D14" s="171">
        <v>4999</v>
      </c>
    </row>
    <row r="15" spans="1:4" x14ac:dyDescent="0.2">
      <c r="B15" s="48" t="s">
        <v>967</v>
      </c>
      <c r="C15" s="186">
        <v>1</v>
      </c>
      <c r="D15" s="171">
        <v>4999</v>
      </c>
    </row>
    <row r="16" spans="1:4" x14ac:dyDescent="0.2">
      <c r="B16" s="48" t="s">
        <v>971</v>
      </c>
      <c r="C16" s="186">
        <v>6</v>
      </c>
      <c r="D16" s="171">
        <v>12586.8</v>
      </c>
    </row>
    <row r="17" spans="2:4" x14ac:dyDescent="0.2">
      <c r="B17" s="48" t="s">
        <v>978</v>
      </c>
      <c r="C17" s="186">
        <v>10</v>
      </c>
      <c r="D17" s="171">
        <v>20472.2</v>
      </c>
    </row>
    <row r="18" spans="2:4" x14ac:dyDescent="0.2">
      <c r="B18" s="48" t="s">
        <v>988</v>
      </c>
      <c r="C18" s="186">
        <v>12</v>
      </c>
      <c r="D18" s="171">
        <v>42312.260000000009</v>
      </c>
    </row>
    <row r="19" spans="2:4" x14ac:dyDescent="0.2">
      <c r="B19" t="s">
        <v>1014</v>
      </c>
      <c r="C19" s="185">
        <v>6</v>
      </c>
      <c r="D19" s="155">
        <v>20391.3</v>
      </c>
    </row>
    <row r="20" spans="2:4" x14ac:dyDescent="0.2">
      <c r="B20" t="s">
        <v>1031</v>
      </c>
      <c r="C20" s="185">
        <v>1</v>
      </c>
      <c r="D20" s="155">
        <v>2097</v>
      </c>
    </row>
    <row r="21" spans="2:4" x14ac:dyDescent="0.2">
      <c r="B21" t="s">
        <v>1033</v>
      </c>
      <c r="C21" s="185">
        <v>2</v>
      </c>
      <c r="D21" s="155">
        <v>3894</v>
      </c>
    </row>
    <row r="22" spans="2:4" x14ac:dyDescent="0.2">
      <c r="B22" t="s">
        <v>1036</v>
      </c>
      <c r="C22" s="185">
        <v>3</v>
      </c>
      <c r="D22" s="155">
        <v>10693.3</v>
      </c>
    </row>
    <row r="23" spans="2:4" x14ac:dyDescent="0.2">
      <c r="B23" t="s">
        <v>1044</v>
      </c>
      <c r="C23" s="185">
        <v>12</v>
      </c>
      <c r="D23" s="155">
        <v>37166.06</v>
      </c>
    </row>
    <row r="24" spans="2:4" x14ac:dyDescent="0.2">
      <c r="B24" t="s">
        <v>1058</v>
      </c>
      <c r="C24" s="185">
        <v>11</v>
      </c>
      <c r="D24" s="155">
        <v>43033.399999999994</v>
      </c>
    </row>
    <row r="25" spans="2:4" x14ac:dyDescent="0.2">
      <c r="B25" t="s">
        <v>1082</v>
      </c>
      <c r="C25" s="185">
        <v>8</v>
      </c>
      <c r="D25" s="155">
        <v>30385.199999999997</v>
      </c>
    </row>
    <row r="26" spans="2:4" x14ac:dyDescent="0.2">
      <c r="B26" t="s">
        <v>1095</v>
      </c>
      <c r="C26" s="185">
        <v>7</v>
      </c>
      <c r="D26" s="155">
        <v>26990.400000000001</v>
      </c>
    </row>
    <row r="27" spans="2:4" x14ac:dyDescent="0.2">
      <c r="B27" t="s">
        <v>1113</v>
      </c>
      <c r="C27" s="185">
        <v>3</v>
      </c>
      <c r="D27" s="155">
        <v>10695.6</v>
      </c>
    </row>
    <row r="28" spans="2:4" x14ac:dyDescent="0.2">
      <c r="B28" t="s">
        <v>1119</v>
      </c>
      <c r="C28" s="185">
        <v>4</v>
      </c>
      <c r="D28" s="155">
        <v>13328.869999999999</v>
      </c>
    </row>
    <row r="29" spans="2:4" x14ac:dyDescent="0.2">
      <c r="B29" t="s">
        <v>1122</v>
      </c>
      <c r="C29" s="185">
        <v>4</v>
      </c>
      <c r="D29" s="155">
        <v>16494.7</v>
      </c>
    </row>
    <row r="30" spans="2:4" x14ac:dyDescent="0.2">
      <c r="B30" t="s">
        <v>1128</v>
      </c>
      <c r="C30" s="185">
        <v>5</v>
      </c>
      <c r="D30" s="155">
        <v>19794.2</v>
      </c>
    </row>
    <row r="31" spans="2:4" x14ac:dyDescent="0.2">
      <c r="B31" t="s">
        <v>1134</v>
      </c>
      <c r="C31" s="185">
        <v>11</v>
      </c>
      <c r="D31" s="155">
        <v>50275.45</v>
      </c>
    </row>
    <row r="32" spans="2:4" x14ac:dyDescent="0.2">
      <c r="B32" t="s">
        <v>1164</v>
      </c>
      <c r="C32" s="185">
        <v>11</v>
      </c>
      <c r="D32" s="155">
        <v>38580.6</v>
      </c>
    </row>
    <row r="33" spans="1:8" x14ac:dyDescent="0.2">
      <c r="B33" t="s">
        <v>1179</v>
      </c>
      <c r="C33" s="185">
        <v>2</v>
      </c>
      <c r="D33" s="155">
        <v>5396.2</v>
      </c>
    </row>
    <row r="34" spans="1:8" x14ac:dyDescent="0.2">
      <c r="B34" t="s">
        <v>1182</v>
      </c>
      <c r="C34" s="185">
        <v>8</v>
      </c>
      <c r="D34" s="155">
        <v>28487.5</v>
      </c>
    </row>
    <row r="35" spans="1:8" x14ac:dyDescent="0.2">
      <c r="A35" t="s">
        <v>954</v>
      </c>
      <c r="C35" s="185">
        <v>145</v>
      </c>
      <c r="D35" s="155">
        <v>535036.04</v>
      </c>
    </row>
    <row r="36" spans="1:8" x14ac:dyDescent="0.2">
      <c r="A36" t="s">
        <v>1206</v>
      </c>
      <c r="B36" t="s">
        <v>1205</v>
      </c>
      <c r="C36" s="185">
        <v>-2</v>
      </c>
      <c r="D36" s="155">
        <v>-4494</v>
      </c>
    </row>
    <row r="37" spans="1:8" x14ac:dyDescent="0.2">
      <c r="B37" t="s">
        <v>1208</v>
      </c>
      <c r="C37" s="185">
        <v>2</v>
      </c>
      <c r="D37" s="155">
        <v>7696.3</v>
      </c>
    </row>
    <row r="38" spans="1:8" x14ac:dyDescent="0.2">
      <c r="B38" t="s">
        <v>1211</v>
      </c>
      <c r="C38" s="185">
        <v>9</v>
      </c>
      <c r="D38" s="155">
        <v>34986.240000000005</v>
      </c>
    </row>
    <row r="39" spans="1:8" x14ac:dyDescent="0.2">
      <c r="B39" t="s">
        <v>1230</v>
      </c>
      <c r="C39" s="185">
        <v>7</v>
      </c>
      <c r="D39" s="155">
        <v>22283.4</v>
      </c>
    </row>
    <row r="40" spans="1:8" x14ac:dyDescent="0.2">
      <c r="B40" t="s">
        <v>1245</v>
      </c>
      <c r="C40" s="185">
        <v>8</v>
      </c>
      <c r="D40" s="155">
        <v>30687.5</v>
      </c>
    </row>
    <row r="41" spans="1:8" x14ac:dyDescent="0.2">
      <c r="B41" t="s">
        <v>1256</v>
      </c>
      <c r="C41" s="185">
        <v>1</v>
      </c>
      <c r="D41" s="155">
        <v>1797</v>
      </c>
    </row>
    <row r="42" spans="1:8" x14ac:dyDescent="0.2">
      <c r="B42" t="s">
        <v>1258</v>
      </c>
      <c r="C42" s="185">
        <v>4</v>
      </c>
      <c r="D42" s="155">
        <v>14892.400000000001</v>
      </c>
    </row>
    <row r="43" spans="1:8" x14ac:dyDescent="0.2">
      <c r="B43" t="s">
        <v>1261</v>
      </c>
      <c r="C43" s="185">
        <v>4</v>
      </c>
      <c r="D43" s="155">
        <v>13794.599999999999</v>
      </c>
    </row>
    <row r="44" spans="1:8" x14ac:dyDescent="0.2">
      <c r="B44" t="s">
        <v>1271</v>
      </c>
      <c r="C44" s="185">
        <v>5</v>
      </c>
      <c r="D44" s="155">
        <v>16094</v>
      </c>
    </row>
    <row r="45" spans="1:8" x14ac:dyDescent="0.2">
      <c r="B45" t="s">
        <v>1280</v>
      </c>
      <c r="C45" s="185">
        <v>9</v>
      </c>
      <c r="D45" s="155">
        <v>29031.280000000002</v>
      </c>
      <c r="G45" s="156"/>
      <c r="H45" s="156"/>
    </row>
    <row r="46" spans="1:8" x14ac:dyDescent="0.2">
      <c r="B46" t="s">
        <v>1291</v>
      </c>
      <c r="C46" s="185">
        <v>20</v>
      </c>
      <c r="D46" s="155">
        <v>64167.499999999993</v>
      </c>
    </row>
    <row r="47" spans="1:8" x14ac:dyDescent="0.2">
      <c r="B47" t="s">
        <v>1321</v>
      </c>
      <c r="C47" s="185">
        <v>1</v>
      </c>
      <c r="D47" s="155">
        <v>5901.4</v>
      </c>
    </row>
    <row r="48" spans="1:8" x14ac:dyDescent="0.2">
      <c r="B48" t="s">
        <v>1322</v>
      </c>
      <c r="C48" s="185">
        <v>3</v>
      </c>
      <c r="D48" s="155">
        <v>10996</v>
      </c>
    </row>
    <row r="49" spans="1:8" x14ac:dyDescent="0.2">
      <c r="B49" t="s">
        <v>1332</v>
      </c>
      <c r="C49" s="185">
        <v>8</v>
      </c>
      <c r="D49" s="155">
        <v>20281.730000000003</v>
      </c>
      <c r="F49" s="155"/>
      <c r="G49" s="156"/>
      <c r="H49" s="156"/>
    </row>
    <row r="50" spans="1:8" x14ac:dyDescent="0.2">
      <c r="B50" t="s">
        <v>1338</v>
      </c>
      <c r="C50" s="185">
        <v>7</v>
      </c>
      <c r="D50" s="155">
        <v>24135.3</v>
      </c>
    </row>
    <row r="51" spans="1:8" x14ac:dyDescent="0.2">
      <c r="B51" t="s">
        <v>1345</v>
      </c>
      <c r="C51" s="185">
        <v>3</v>
      </c>
      <c r="D51" s="155">
        <v>9493.2999999999993</v>
      </c>
    </row>
    <row r="52" spans="1:8" x14ac:dyDescent="0.2">
      <c r="B52" t="s">
        <v>1352</v>
      </c>
      <c r="C52" s="185">
        <v>15</v>
      </c>
      <c r="D52" s="155">
        <v>58432.470000000008</v>
      </c>
    </row>
    <row r="53" spans="1:8" x14ac:dyDescent="0.2">
      <c r="B53" t="s">
        <v>1368</v>
      </c>
      <c r="C53" s="185">
        <v>7</v>
      </c>
      <c r="D53" s="155">
        <v>17786</v>
      </c>
    </row>
    <row r="54" spans="1:8" x14ac:dyDescent="0.2">
      <c r="A54" t="s">
        <v>1207</v>
      </c>
      <c r="C54" s="185">
        <v>111</v>
      </c>
      <c r="D54" s="155">
        <v>377962.42</v>
      </c>
      <c r="E54">
        <f>SUM(C6:C23)</f>
        <v>71</v>
      </c>
      <c r="F54">
        <f>SUM(D6:D23)</f>
        <v>251573.91999999998</v>
      </c>
      <c r="G54" s="156">
        <f>C54/E54-1</f>
        <v>0.56338028169014076</v>
      </c>
      <c r="H54" s="156">
        <f>D54/F54-1</f>
        <v>0.50239110635951456</v>
      </c>
    </row>
    <row r="55" spans="1:8" x14ac:dyDescent="0.2">
      <c r="A55" t="s">
        <v>729</v>
      </c>
      <c r="C55" s="185">
        <v>256</v>
      </c>
      <c r="D55" s="155">
        <v>912998.4600000002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D2D4-9134-CE4E-9687-B2A8A8284DA1}">
  <dimension ref="A1:AD30"/>
  <sheetViews>
    <sheetView topLeftCell="A5" zoomScale="84" zoomScaleNormal="84" workbookViewId="0">
      <selection activeCell="I17" sqref="I17"/>
    </sheetView>
  </sheetViews>
  <sheetFormatPr baseColWidth="10" defaultRowHeight="15" x14ac:dyDescent="0.2"/>
  <cols>
    <col min="1" max="1" width="10" bestFit="1" customWidth="1"/>
    <col min="2" max="17" width="9.5" bestFit="1" customWidth="1"/>
    <col min="18" max="18" width="8.6640625" bestFit="1" customWidth="1"/>
    <col min="19" max="19" width="10.33203125" bestFit="1" customWidth="1"/>
    <col min="20" max="20" width="7.1640625" bestFit="1" customWidth="1"/>
    <col min="21" max="21" width="6.5" bestFit="1" customWidth="1"/>
    <col min="22" max="22" width="7.1640625" bestFit="1" customWidth="1"/>
    <col min="23" max="23" width="6.5" bestFit="1" customWidth="1"/>
  </cols>
  <sheetData>
    <row r="1" spans="1:19" x14ac:dyDescent="0.2">
      <c r="A1" s="58" t="s">
        <v>10</v>
      </c>
      <c r="B1" t="s">
        <v>955</v>
      </c>
    </row>
    <row r="2" spans="1:19" x14ac:dyDescent="0.2">
      <c r="A2" s="58" t="s">
        <v>1</v>
      </c>
      <c r="B2" t="s">
        <v>955</v>
      </c>
    </row>
    <row r="3" spans="1:19" x14ac:dyDescent="0.2">
      <c r="A3" s="58" t="s">
        <v>410</v>
      </c>
      <c r="B3" t="s">
        <v>955</v>
      </c>
    </row>
    <row r="5" spans="1:19" x14ac:dyDescent="0.2">
      <c r="B5" s="58" t="s">
        <v>732</v>
      </c>
      <c r="C5" s="58" t="s">
        <v>411</v>
      </c>
    </row>
    <row r="6" spans="1:19" x14ac:dyDescent="0.2">
      <c r="B6" t="s">
        <v>1201</v>
      </c>
      <c r="J6" t="s">
        <v>1199</v>
      </c>
      <c r="R6" t="s">
        <v>1202</v>
      </c>
      <c r="S6" t="s">
        <v>1200</v>
      </c>
    </row>
    <row r="7" spans="1:19" x14ac:dyDescent="0.2">
      <c r="A7" s="58" t="s">
        <v>6</v>
      </c>
      <c r="B7" t="s">
        <v>1196</v>
      </c>
      <c r="C7" t="s">
        <v>1192</v>
      </c>
      <c r="D7" t="s">
        <v>1193</v>
      </c>
      <c r="E7" t="s">
        <v>1194</v>
      </c>
      <c r="F7" t="s">
        <v>1195</v>
      </c>
      <c r="G7" t="s">
        <v>941</v>
      </c>
      <c r="H7" t="s">
        <v>925</v>
      </c>
      <c r="I7" t="s">
        <v>1206</v>
      </c>
      <c r="J7" s="155" t="s">
        <v>1196</v>
      </c>
      <c r="K7" s="155" t="s">
        <v>1192</v>
      </c>
      <c r="L7" s="155" t="s">
        <v>1193</v>
      </c>
      <c r="M7" s="155" t="s">
        <v>1194</v>
      </c>
      <c r="N7" s="155" t="s">
        <v>1195</v>
      </c>
      <c r="O7" s="155" t="s">
        <v>941</v>
      </c>
      <c r="P7" s="155" t="s">
        <v>925</v>
      </c>
      <c r="Q7" t="s">
        <v>1206</v>
      </c>
    </row>
    <row r="8" spans="1:19" x14ac:dyDescent="0.2">
      <c r="A8" t="s">
        <v>65</v>
      </c>
      <c r="B8" s="185"/>
      <c r="C8" s="185"/>
      <c r="D8" s="185"/>
      <c r="E8" s="185">
        <v>9</v>
      </c>
      <c r="F8" s="185">
        <v>15</v>
      </c>
      <c r="G8" s="185">
        <v>17</v>
      </c>
      <c r="H8" s="185">
        <v>34</v>
      </c>
      <c r="I8" s="185">
        <v>21</v>
      </c>
      <c r="J8" s="155"/>
      <c r="K8" s="155"/>
      <c r="L8" s="155"/>
      <c r="M8" s="155">
        <v>51591.9</v>
      </c>
      <c r="N8" s="155">
        <v>85437.85000000002</v>
      </c>
      <c r="O8" s="155">
        <v>98736.60000000002</v>
      </c>
      <c r="P8" s="155">
        <v>187947.42999999993</v>
      </c>
      <c r="Q8" s="155">
        <v>109224.96000000002</v>
      </c>
      <c r="R8" s="155">
        <v>96</v>
      </c>
      <c r="S8" s="155">
        <v>532938.74</v>
      </c>
    </row>
    <row r="9" spans="1:19" x14ac:dyDescent="0.2">
      <c r="A9" t="s">
        <v>359</v>
      </c>
      <c r="B9" s="185"/>
      <c r="C9" s="185"/>
      <c r="D9" s="185"/>
      <c r="E9" s="185"/>
      <c r="F9" s="185">
        <v>0</v>
      </c>
      <c r="G9" s="185">
        <v>2</v>
      </c>
      <c r="H9" s="185"/>
      <c r="I9" s="185"/>
      <c r="J9" s="155"/>
      <c r="K9" s="155"/>
      <c r="L9" s="155"/>
      <c r="M9" s="155"/>
      <c r="N9" s="155">
        <v>0</v>
      </c>
      <c r="O9" s="155">
        <v>7990</v>
      </c>
      <c r="P9" s="155"/>
      <c r="Q9" s="155"/>
      <c r="R9" s="155">
        <v>2</v>
      </c>
      <c r="S9" s="155">
        <v>7990</v>
      </c>
    </row>
    <row r="10" spans="1:19" x14ac:dyDescent="0.2">
      <c r="A10" t="s">
        <v>34</v>
      </c>
      <c r="B10" s="185"/>
      <c r="C10" s="185"/>
      <c r="D10" s="185"/>
      <c r="E10" s="185">
        <v>14</v>
      </c>
      <c r="F10" s="185">
        <v>10</v>
      </c>
      <c r="G10" s="185">
        <v>25</v>
      </c>
      <c r="H10" s="185">
        <v>38</v>
      </c>
      <c r="I10" s="185">
        <v>33</v>
      </c>
      <c r="J10" s="155"/>
      <c r="K10" s="155"/>
      <c r="L10" s="155"/>
      <c r="M10" s="155">
        <v>68688.550000000017</v>
      </c>
      <c r="N10" s="155">
        <v>47491.80000000001</v>
      </c>
      <c r="O10" s="155">
        <v>116079.50000000003</v>
      </c>
      <c r="P10" s="155">
        <v>186785.43000000011</v>
      </c>
      <c r="Q10" s="155">
        <v>148629.56</v>
      </c>
      <c r="R10" s="155">
        <v>120</v>
      </c>
      <c r="S10" s="155">
        <v>567674.84000000008</v>
      </c>
    </row>
    <row r="11" spans="1:19" x14ac:dyDescent="0.2">
      <c r="A11" t="s">
        <v>294</v>
      </c>
      <c r="B11" s="185"/>
      <c r="C11" s="185"/>
      <c r="D11" s="185"/>
      <c r="E11" s="185">
        <v>1</v>
      </c>
      <c r="F11" s="185">
        <v>1</v>
      </c>
      <c r="G11" s="185">
        <v>1</v>
      </c>
      <c r="H11" s="185">
        <v>2</v>
      </c>
      <c r="I11" s="185">
        <v>4</v>
      </c>
      <c r="J11" s="155"/>
      <c r="K11" s="155"/>
      <c r="L11" s="155"/>
      <c r="M11" s="155">
        <v>2995</v>
      </c>
      <c r="N11" s="155">
        <v>2545.75</v>
      </c>
      <c r="O11" s="155">
        <v>3499.3</v>
      </c>
      <c r="P11" s="155">
        <v>5998.8</v>
      </c>
      <c r="Q11" s="155">
        <v>10795.2</v>
      </c>
      <c r="R11" s="155">
        <v>9</v>
      </c>
      <c r="S11" s="155">
        <v>25834.05</v>
      </c>
    </row>
    <row r="12" spans="1:19" x14ac:dyDescent="0.2">
      <c r="A12" t="s">
        <v>160</v>
      </c>
      <c r="B12" s="185">
        <v>3</v>
      </c>
      <c r="C12" s="185">
        <v>5</v>
      </c>
      <c r="D12" s="185">
        <v>3</v>
      </c>
      <c r="E12" s="185"/>
      <c r="F12" s="185"/>
      <c r="G12" s="185">
        <v>1</v>
      </c>
      <c r="H12" s="185"/>
      <c r="I12" s="185"/>
      <c r="J12" s="155">
        <v>11340</v>
      </c>
      <c r="K12" s="155">
        <v>16485</v>
      </c>
      <c r="L12" s="155">
        <v>10990</v>
      </c>
      <c r="M12" s="155"/>
      <c r="N12" s="155"/>
      <c r="O12" s="155">
        <v>2096.5</v>
      </c>
      <c r="P12" s="155"/>
      <c r="Q12" s="155"/>
      <c r="R12" s="155">
        <v>12</v>
      </c>
      <c r="S12" s="155">
        <v>40911.5</v>
      </c>
    </row>
    <row r="13" spans="1:19" x14ac:dyDescent="0.2">
      <c r="A13" t="s">
        <v>26</v>
      </c>
      <c r="B13" s="185">
        <v>1</v>
      </c>
      <c r="C13" s="185">
        <v>12</v>
      </c>
      <c r="D13" s="185">
        <v>4</v>
      </c>
      <c r="E13" s="185">
        <v>29</v>
      </c>
      <c r="F13" s="185">
        <v>28</v>
      </c>
      <c r="G13" s="185">
        <v>68</v>
      </c>
      <c r="H13" s="185">
        <v>71</v>
      </c>
      <c r="I13" s="185">
        <v>53</v>
      </c>
      <c r="J13" s="155">
        <v>2796.5</v>
      </c>
      <c r="K13" s="155">
        <v>31602.5</v>
      </c>
      <c r="L13" s="155">
        <v>9004.85</v>
      </c>
      <c r="M13" s="155">
        <v>83149.5</v>
      </c>
      <c r="N13" s="155">
        <v>79484</v>
      </c>
      <c r="O13" s="155">
        <v>181269.64999999997</v>
      </c>
      <c r="P13" s="155">
        <v>154304.37999999995</v>
      </c>
      <c r="Q13" s="155">
        <v>109312.69999999998</v>
      </c>
      <c r="R13" s="155">
        <v>266</v>
      </c>
      <c r="S13" s="155">
        <v>650924.07999999984</v>
      </c>
    </row>
    <row r="14" spans="1:19" x14ac:dyDescent="0.2">
      <c r="A14" t="s">
        <v>729</v>
      </c>
      <c r="B14" s="185">
        <v>4</v>
      </c>
      <c r="C14" s="185">
        <v>17</v>
      </c>
      <c r="D14" s="185">
        <v>7</v>
      </c>
      <c r="E14" s="185">
        <v>53</v>
      </c>
      <c r="F14" s="185">
        <v>54</v>
      </c>
      <c r="G14" s="185">
        <v>114</v>
      </c>
      <c r="H14" s="185">
        <v>145</v>
      </c>
      <c r="I14" s="185">
        <v>111</v>
      </c>
      <c r="J14" s="155">
        <v>14136.5</v>
      </c>
      <c r="K14" s="155">
        <v>48087.5</v>
      </c>
      <c r="L14" s="155">
        <v>19994.849999999999</v>
      </c>
      <c r="M14" s="155">
        <v>206424.95</v>
      </c>
      <c r="N14" s="155">
        <v>214959.40000000002</v>
      </c>
      <c r="O14" s="155">
        <v>409671.55</v>
      </c>
      <c r="P14" s="155">
        <v>535036.04</v>
      </c>
      <c r="Q14" s="155">
        <v>377962.42000000004</v>
      </c>
      <c r="R14" s="155">
        <v>505</v>
      </c>
      <c r="S14" s="155">
        <v>1826273.21</v>
      </c>
    </row>
    <row r="16" spans="1:19" x14ac:dyDescent="0.2">
      <c r="K16" s="156"/>
      <c r="L16" s="156"/>
      <c r="M16" s="156"/>
      <c r="N16" s="156"/>
      <c r="O16" s="156"/>
      <c r="P16" s="156"/>
    </row>
    <row r="20" spans="1:30" x14ac:dyDescent="0.2">
      <c r="A20" s="157"/>
      <c r="B20" s="157" t="s">
        <v>732</v>
      </c>
      <c r="C20" s="157" t="s">
        <v>411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</row>
    <row r="21" spans="1:30" x14ac:dyDescent="0.2">
      <c r="A21" s="157"/>
      <c r="B21" s="173" t="s">
        <v>730</v>
      </c>
      <c r="C21" s="174"/>
      <c r="D21" s="174"/>
      <c r="E21" s="174"/>
      <c r="F21" s="174"/>
      <c r="G21" s="174"/>
      <c r="H21" s="174"/>
      <c r="I21" s="175"/>
      <c r="J21" s="173" t="s">
        <v>731</v>
      </c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5"/>
    </row>
    <row r="22" spans="1:30" x14ac:dyDescent="0.2">
      <c r="A22" s="161" t="s">
        <v>6</v>
      </c>
      <c r="B22" s="161" t="s">
        <v>1196</v>
      </c>
      <c r="C22" s="161" t="s">
        <v>1192</v>
      </c>
      <c r="D22" s="161" t="s">
        <v>1193</v>
      </c>
      <c r="E22" s="161" t="s">
        <v>1194</v>
      </c>
      <c r="F22" s="161" t="s">
        <v>1195</v>
      </c>
      <c r="G22" s="161" t="s">
        <v>941</v>
      </c>
      <c r="H22" s="161" t="s">
        <v>925</v>
      </c>
      <c r="I22" s="161" t="s">
        <v>1197</v>
      </c>
      <c r="J22" s="161" t="s">
        <v>1196</v>
      </c>
      <c r="K22" s="161"/>
      <c r="L22" s="161" t="s">
        <v>1192</v>
      </c>
      <c r="M22" s="161" t="s">
        <v>1198</v>
      </c>
      <c r="N22" s="161" t="s">
        <v>1193</v>
      </c>
      <c r="O22" s="161" t="s">
        <v>1198</v>
      </c>
      <c r="P22" s="161" t="s">
        <v>1194</v>
      </c>
      <c r="Q22" s="161" t="s">
        <v>1198</v>
      </c>
      <c r="R22" s="161" t="s">
        <v>1195</v>
      </c>
      <c r="S22" s="161" t="s">
        <v>1198</v>
      </c>
      <c r="T22" s="161" t="s">
        <v>941</v>
      </c>
      <c r="U22" s="161" t="s">
        <v>1198</v>
      </c>
      <c r="V22" s="161" t="s">
        <v>925</v>
      </c>
      <c r="W22" s="161" t="s">
        <v>1198</v>
      </c>
      <c r="X22" s="161" t="s">
        <v>1196</v>
      </c>
      <c r="Y22" s="161" t="s">
        <v>1192</v>
      </c>
      <c r="Z22" s="161" t="s">
        <v>1193</v>
      </c>
      <c r="AA22" s="161" t="s">
        <v>1194</v>
      </c>
      <c r="AB22" s="161" t="s">
        <v>1195</v>
      </c>
      <c r="AC22" s="161" t="s">
        <v>941</v>
      </c>
      <c r="AD22" s="161" t="s">
        <v>925</v>
      </c>
    </row>
    <row r="23" spans="1:30" x14ac:dyDescent="0.2">
      <c r="A23" s="157" t="s">
        <v>65</v>
      </c>
      <c r="B23" s="157"/>
      <c r="C23" s="157"/>
      <c r="D23" s="157"/>
      <c r="E23" s="157">
        <v>9</v>
      </c>
      <c r="F23" s="157">
        <v>15</v>
      </c>
      <c r="G23" s="157">
        <v>17</v>
      </c>
      <c r="H23" s="157">
        <v>34</v>
      </c>
      <c r="I23" s="157"/>
      <c r="J23" s="157"/>
      <c r="K23" s="157"/>
      <c r="L23" s="157"/>
      <c r="M23" s="157"/>
      <c r="N23" s="157"/>
      <c r="O23" s="157"/>
      <c r="P23" s="158">
        <v>51591.9</v>
      </c>
      <c r="Q23" s="167">
        <f>P23/P29</f>
        <v>0.24993054376421067</v>
      </c>
      <c r="R23" s="158">
        <v>85437.85000000002</v>
      </c>
      <c r="S23" s="167">
        <f>R23/R29</f>
        <v>0.39746040415073736</v>
      </c>
      <c r="T23" s="158">
        <v>98736.60000000002</v>
      </c>
      <c r="U23" s="167">
        <f>T23/T29</f>
        <v>0.24101405137847631</v>
      </c>
      <c r="V23" s="158">
        <v>187947.42999999993</v>
      </c>
      <c r="W23" s="167">
        <f>V23/V29</f>
        <v>0.35127994368379356</v>
      </c>
      <c r="X23" s="1"/>
      <c r="Y23" s="1"/>
      <c r="Z23" s="1"/>
      <c r="AA23" s="1">
        <f>P23/E23</f>
        <v>5732.4333333333334</v>
      </c>
      <c r="AB23" s="1">
        <f>R23/F23</f>
        <v>5695.8566666666684</v>
      </c>
      <c r="AC23" s="1">
        <f>T23/G23</f>
        <v>5808.0352941176479</v>
      </c>
      <c r="AD23" s="1">
        <f>V23/H23</f>
        <v>5527.8655882352923</v>
      </c>
    </row>
    <row r="24" spans="1:30" x14ac:dyDescent="0.2">
      <c r="A24" s="157" t="s">
        <v>359</v>
      </c>
      <c r="B24" s="157"/>
      <c r="C24" s="157"/>
      <c r="D24" s="157"/>
      <c r="E24" s="157"/>
      <c r="F24" s="157">
        <v>0</v>
      </c>
      <c r="G24" s="157">
        <v>2</v>
      </c>
      <c r="H24" s="157"/>
      <c r="I24" s="157"/>
      <c r="J24" s="157"/>
      <c r="K24" s="157"/>
      <c r="L24" s="157"/>
      <c r="M24" s="157"/>
      <c r="N24" s="157"/>
      <c r="O24" s="157"/>
      <c r="P24" s="158"/>
      <c r="Q24" s="167"/>
      <c r="R24" s="158">
        <v>0</v>
      </c>
      <c r="S24" s="167"/>
      <c r="T24" s="158">
        <v>7990</v>
      </c>
      <c r="U24" s="167">
        <f>T24/T29</f>
        <v>1.9503429027473349E-2</v>
      </c>
      <c r="V24" s="158"/>
      <c r="W24" s="167"/>
      <c r="X24" s="1"/>
      <c r="Y24" s="1"/>
      <c r="Z24" s="1"/>
      <c r="AA24" s="1"/>
      <c r="AB24" s="1"/>
      <c r="AC24" s="1">
        <f t="shared" ref="AC24:AC29" si="0">T24/G24</f>
        <v>3995</v>
      </c>
      <c r="AD24" s="1"/>
    </row>
    <row r="25" spans="1:30" x14ac:dyDescent="0.2">
      <c r="A25" s="157" t="s">
        <v>34</v>
      </c>
      <c r="B25" s="157"/>
      <c r="C25" s="157"/>
      <c r="D25" s="157"/>
      <c r="E25" s="157">
        <v>16</v>
      </c>
      <c r="F25" s="157">
        <v>11</v>
      </c>
      <c r="G25" s="157">
        <v>25</v>
      </c>
      <c r="H25" s="157">
        <v>38</v>
      </c>
      <c r="I25" s="157"/>
      <c r="J25" s="157"/>
      <c r="K25" s="157"/>
      <c r="L25" s="157"/>
      <c r="M25" s="157"/>
      <c r="N25" s="157"/>
      <c r="O25" s="157"/>
      <c r="P25" s="158">
        <v>75655.800000000017</v>
      </c>
      <c r="Q25" s="167">
        <f>P25/P29</f>
        <v>0.36650511481291392</v>
      </c>
      <c r="R25" s="158">
        <v>51312.55000000001</v>
      </c>
      <c r="S25" s="167">
        <f>R25/R29</f>
        <v>0.23870810022729877</v>
      </c>
      <c r="T25" s="158">
        <v>116079.50000000003</v>
      </c>
      <c r="U25" s="167">
        <f>T25/T29</f>
        <v>0.28334772087541843</v>
      </c>
      <c r="V25" s="158">
        <v>186785.43000000011</v>
      </c>
      <c r="W25" s="167">
        <f>V25/V29</f>
        <v>0.34910812737026109</v>
      </c>
      <c r="X25" s="1"/>
      <c r="Y25" s="1"/>
      <c r="Z25" s="1"/>
      <c r="AA25" s="1">
        <f t="shared" ref="AA25:AA29" si="1">P25/E25</f>
        <v>4728.4875000000011</v>
      </c>
      <c r="AB25" s="1">
        <f t="shared" ref="AB25:AB29" si="2">R25/F25</f>
        <v>4664.7772727272741</v>
      </c>
      <c r="AC25" s="1">
        <f t="shared" si="0"/>
        <v>4643.1800000000012</v>
      </c>
      <c r="AD25" s="1">
        <f t="shared" ref="AD25:AD29" si="3">V25/H25</f>
        <v>4915.4060526315816</v>
      </c>
    </row>
    <row r="26" spans="1:30" x14ac:dyDescent="0.2">
      <c r="A26" s="157" t="s">
        <v>294</v>
      </c>
      <c r="B26" s="157"/>
      <c r="C26" s="157"/>
      <c r="D26" s="157"/>
      <c r="E26" s="157">
        <v>1</v>
      </c>
      <c r="F26" s="157">
        <v>1</v>
      </c>
      <c r="G26" s="157">
        <v>1</v>
      </c>
      <c r="H26" s="157">
        <v>2</v>
      </c>
      <c r="I26" s="157"/>
      <c r="J26" s="157"/>
      <c r="K26" s="157"/>
      <c r="L26" s="157"/>
      <c r="M26" s="157"/>
      <c r="N26" s="157"/>
      <c r="O26" s="157"/>
      <c r="P26" s="158">
        <v>2995</v>
      </c>
      <c r="Q26" s="167">
        <f>P26/P29</f>
        <v>1.4508905052417354E-2</v>
      </c>
      <c r="R26" s="158">
        <v>2545.75</v>
      </c>
      <c r="S26" s="167">
        <f>R26/R29</f>
        <v>1.184293406103664E-2</v>
      </c>
      <c r="T26" s="158">
        <v>3499.3</v>
      </c>
      <c r="U26" s="167">
        <f>T26/T29</f>
        <v>8.5417208004802871E-3</v>
      </c>
      <c r="V26" s="158">
        <v>5998.8</v>
      </c>
      <c r="W26" s="167">
        <f>V26/V29</f>
        <v>1.1211954992788896E-2</v>
      </c>
      <c r="X26" s="1"/>
      <c r="Y26" s="1"/>
      <c r="Z26" s="1"/>
      <c r="AA26" s="1">
        <f t="shared" si="1"/>
        <v>2995</v>
      </c>
      <c r="AB26" s="1">
        <f t="shared" si="2"/>
        <v>2545.75</v>
      </c>
      <c r="AC26" s="1">
        <f t="shared" si="0"/>
        <v>3499.3</v>
      </c>
      <c r="AD26" s="1">
        <f t="shared" si="3"/>
        <v>2999.4</v>
      </c>
    </row>
    <row r="27" spans="1:30" x14ac:dyDescent="0.2">
      <c r="A27" s="157" t="s">
        <v>160</v>
      </c>
      <c r="B27" s="157">
        <v>3</v>
      </c>
      <c r="C27" s="157">
        <v>5</v>
      </c>
      <c r="D27" s="157">
        <v>3</v>
      </c>
      <c r="E27" s="157"/>
      <c r="F27" s="157"/>
      <c r="G27" s="157">
        <v>1</v>
      </c>
      <c r="H27" s="157"/>
      <c r="I27" s="157"/>
      <c r="J27" s="157">
        <v>11340</v>
      </c>
      <c r="K27" s="159">
        <f>J27/J29</f>
        <v>0.8021787571180985</v>
      </c>
      <c r="L27" s="157">
        <v>16485</v>
      </c>
      <c r="M27" s="159">
        <f>L27/L29</f>
        <v>0.34281258123212893</v>
      </c>
      <c r="N27" s="157">
        <v>10990</v>
      </c>
      <c r="O27" s="160">
        <v>0.8</v>
      </c>
      <c r="P27" s="158"/>
      <c r="Q27" s="167"/>
      <c r="R27" s="158"/>
      <c r="S27" s="167"/>
      <c r="T27" s="158">
        <v>2096.5</v>
      </c>
      <c r="U27" s="167">
        <f>T27/T29</f>
        <v>5.1175142623401601E-3</v>
      </c>
      <c r="V27" s="158"/>
      <c r="W27" s="167"/>
      <c r="X27" s="1">
        <f t="shared" ref="X27:X29" si="4">J27/B27</f>
        <v>3780</v>
      </c>
      <c r="Y27" s="1">
        <f t="shared" ref="Y27:Y29" si="5">L27/C27</f>
        <v>3297</v>
      </c>
      <c r="Z27" s="1">
        <f t="shared" ref="Z27:Z29" si="6">N27/D27</f>
        <v>3663.3333333333335</v>
      </c>
      <c r="AA27" s="1"/>
      <c r="AB27" s="1"/>
      <c r="AC27" s="1">
        <f t="shared" si="0"/>
        <v>2096.5</v>
      </c>
      <c r="AD27" s="1"/>
    </row>
    <row r="28" spans="1:30" x14ac:dyDescent="0.2">
      <c r="A28" s="157" t="s">
        <v>26</v>
      </c>
      <c r="B28" s="157">
        <v>1</v>
      </c>
      <c r="C28" s="157">
        <v>12</v>
      </c>
      <c r="D28" s="157">
        <v>4</v>
      </c>
      <c r="E28" s="157">
        <v>27</v>
      </c>
      <c r="F28" s="157">
        <v>27</v>
      </c>
      <c r="G28" s="157">
        <v>68</v>
      </c>
      <c r="H28" s="157">
        <v>71</v>
      </c>
      <c r="I28" s="157"/>
      <c r="J28" s="157">
        <v>2796.5</v>
      </c>
      <c r="K28" s="159">
        <f>J28/J29</f>
        <v>0.19782124288190145</v>
      </c>
      <c r="L28" s="157">
        <v>31602.5</v>
      </c>
      <c r="M28" s="159">
        <f>L28/L29</f>
        <v>0.65718741876787112</v>
      </c>
      <c r="N28" s="157">
        <v>9004.85</v>
      </c>
      <c r="O28" s="160">
        <v>0.2</v>
      </c>
      <c r="P28" s="158">
        <v>76182.25</v>
      </c>
      <c r="Q28" s="167">
        <f>P28/P29</f>
        <v>0.36905543637045812</v>
      </c>
      <c r="R28" s="158">
        <v>75663.25</v>
      </c>
      <c r="S28" s="167">
        <f>R28/R29</f>
        <v>0.35198856156092728</v>
      </c>
      <c r="T28" s="158">
        <v>181269.64999999997</v>
      </c>
      <c r="U28" s="167">
        <f>T28/T29</f>
        <v>0.44247556365581153</v>
      </c>
      <c r="V28" s="158">
        <v>154304.37999999995</v>
      </c>
      <c r="W28" s="167">
        <f>V28/V29</f>
        <v>0.28839997395315636</v>
      </c>
      <c r="X28" s="1">
        <f t="shared" si="4"/>
        <v>2796.5</v>
      </c>
      <c r="Y28" s="1">
        <f t="shared" si="5"/>
        <v>2633.5416666666665</v>
      </c>
      <c r="Z28" s="1">
        <f t="shared" si="6"/>
        <v>2251.2125000000001</v>
      </c>
      <c r="AA28" s="1">
        <f t="shared" si="1"/>
        <v>2821.5648148148148</v>
      </c>
      <c r="AB28" s="1">
        <f t="shared" si="2"/>
        <v>2802.3425925925926</v>
      </c>
      <c r="AC28" s="1">
        <f t="shared" si="0"/>
        <v>2665.7301470588231</v>
      </c>
      <c r="AD28" s="1">
        <f t="shared" si="3"/>
        <v>2173.3011267605625</v>
      </c>
    </row>
    <row r="29" spans="1:30" x14ac:dyDescent="0.2">
      <c r="A29" s="162" t="s">
        <v>729</v>
      </c>
      <c r="B29" s="162">
        <v>4</v>
      </c>
      <c r="C29" s="162">
        <v>17</v>
      </c>
      <c r="D29" s="162">
        <v>7</v>
      </c>
      <c r="E29" s="162">
        <v>53</v>
      </c>
      <c r="F29" s="162">
        <v>54</v>
      </c>
      <c r="G29" s="162">
        <v>114</v>
      </c>
      <c r="H29" s="162">
        <v>145</v>
      </c>
      <c r="I29" s="162"/>
      <c r="J29" s="162">
        <v>14136.5</v>
      </c>
      <c r="K29" s="162"/>
      <c r="L29" s="162">
        <v>48087.5</v>
      </c>
      <c r="M29" s="162"/>
      <c r="N29" s="162">
        <v>19994.849999999999</v>
      </c>
      <c r="O29" s="162"/>
      <c r="P29" s="163">
        <v>206424.95</v>
      </c>
      <c r="Q29" s="162"/>
      <c r="R29" s="163">
        <v>214959.40000000002</v>
      </c>
      <c r="S29" s="162"/>
      <c r="T29" s="163">
        <v>409671.55</v>
      </c>
      <c r="U29" s="162"/>
      <c r="V29" s="163">
        <v>535036.04</v>
      </c>
      <c r="W29" s="163"/>
      <c r="X29" s="1">
        <f t="shared" si="4"/>
        <v>3534.125</v>
      </c>
      <c r="Y29" s="1">
        <f t="shared" si="5"/>
        <v>2828.6764705882351</v>
      </c>
      <c r="Z29" s="1">
        <f t="shared" si="6"/>
        <v>2856.4071428571428</v>
      </c>
      <c r="AA29" s="1">
        <f t="shared" si="1"/>
        <v>3894.8103773584908</v>
      </c>
      <c r="AB29" s="1">
        <f t="shared" si="2"/>
        <v>3980.7296296296299</v>
      </c>
      <c r="AC29" s="1">
        <f t="shared" si="0"/>
        <v>3593.610087719298</v>
      </c>
      <c r="AD29" s="1">
        <f t="shared" si="3"/>
        <v>3689.9037241379315</v>
      </c>
    </row>
    <row r="30" spans="1:30" x14ac:dyDescent="0.2">
      <c r="A30" s="164" t="s">
        <v>1203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6">
        <f>L29/J29-1</f>
        <v>2.401655289498815</v>
      </c>
      <c r="M30" s="165"/>
      <c r="N30" s="166">
        <f>N29/L29-1</f>
        <v>-0.5841985963088121</v>
      </c>
      <c r="O30" s="165"/>
      <c r="P30" s="166">
        <f>P29/N29-1</f>
        <v>9.3239059057707365</v>
      </c>
      <c r="Q30" s="165"/>
      <c r="R30" s="166">
        <f>R29/P29-1</f>
        <v>4.134408171105286E-2</v>
      </c>
      <c r="S30" s="165"/>
      <c r="T30" s="166">
        <f>T29/R29-1</f>
        <v>0.90580895741242284</v>
      </c>
      <c r="U30" s="165"/>
      <c r="V30" s="166">
        <f>V29/T29-1</f>
        <v>0.30601219440305294</v>
      </c>
      <c r="W30" s="165"/>
    </row>
  </sheetData>
  <mergeCells count="2">
    <mergeCell ref="B21:I21"/>
    <mergeCell ref="J21:W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1C51-F11E-D440-8F49-3191BBD0F55D}">
  <dimension ref="A2:M2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H20" sqref="H20"/>
    </sheetView>
  </sheetViews>
  <sheetFormatPr baseColWidth="10" defaultRowHeight="15" x14ac:dyDescent="0.2"/>
  <cols>
    <col min="1" max="1" width="28.1640625" bestFit="1" customWidth="1"/>
    <col min="2" max="2" width="11.6640625" bestFit="1" customWidth="1"/>
    <col min="3" max="3" width="12.5" bestFit="1" customWidth="1"/>
    <col min="4" max="7" width="17.83203125" bestFit="1" customWidth="1"/>
    <col min="8" max="8" width="13.6640625" bestFit="1" customWidth="1"/>
    <col min="9" max="9" width="21" bestFit="1" customWidth="1"/>
    <col min="10" max="10" width="13.6640625" bestFit="1" customWidth="1"/>
    <col min="11" max="11" width="21" bestFit="1" customWidth="1"/>
    <col min="12" max="12" width="13.6640625" bestFit="1" customWidth="1"/>
    <col min="13" max="13" width="21" bestFit="1" customWidth="1"/>
    <col min="14" max="14" width="13.6640625" bestFit="1" customWidth="1"/>
    <col min="15" max="15" width="21" bestFit="1" customWidth="1"/>
    <col min="16" max="16" width="13.6640625" bestFit="1" customWidth="1"/>
    <col min="17" max="17" width="21" bestFit="1" customWidth="1"/>
    <col min="18" max="18" width="13.6640625" bestFit="1" customWidth="1"/>
    <col min="19" max="19" width="21" bestFit="1" customWidth="1"/>
    <col min="20" max="20" width="13.6640625" bestFit="1" customWidth="1"/>
    <col min="21" max="21" width="21" bestFit="1" customWidth="1"/>
    <col min="22" max="22" width="13.6640625" bestFit="1" customWidth="1"/>
    <col min="23" max="23" width="21" bestFit="1" customWidth="1"/>
  </cols>
  <sheetData>
    <row r="2" spans="1:13" x14ac:dyDescent="0.2">
      <c r="A2" s="58" t="s">
        <v>1</v>
      </c>
      <c r="B2" t="s">
        <v>955</v>
      </c>
    </row>
    <row r="4" spans="1:13" x14ac:dyDescent="0.2">
      <c r="D4" s="58" t="s">
        <v>732</v>
      </c>
      <c r="E4" s="168" t="s">
        <v>411</v>
      </c>
    </row>
    <row r="5" spans="1:13" x14ac:dyDescent="0.2">
      <c r="D5" s="155" t="s">
        <v>730</v>
      </c>
      <c r="E5" s="155"/>
      <c r="F5" s="155" t="s">
        <v>731</v>
      </c>
      <c r="G5" s="155"/>
      <c r="H5" t="s">
        <v>1243</v>
      </c>
      <c r="I5" t="s">
        <v>1244</v>
      </c>
    </row>
    <row r="6" spans="1:13" x14ac:dyDescent="0.2">
      <c r="A6" s="168" t="s">
        <v>0</v>
      </c>
      <c r="B6" s="168" t="s">
        <v>6</v>
      </c>
      <c r="C6" s="58" t="s">
        <v>410</v>
      </c>
      <c r="D6" s="155" t="s">
        <v>925</v>
      </c>
      <c r="E6" s="155" t="s">
        <v>1206</v>
      </c>
      <c r="F6" s="155" t="s">
        <v>925</v>
      </c>
      <c r="G6" s="155" t="s">
        <v>1206</v>
      </c>
    </row>
    <row r="7" spans="1:13" x14ac:dyDescent="0.2">
      <c r="A7" s="155" t="s">
        <v>962</v>
      </c>
      <c r="B7" s="155" t="s">
        <v>65</v>
      </c>
      <c r="D7" s="155">
        <v>1</v>
      </c>
      <c r="E7" s="155">
        <v>4</v>
      </c>
      <c r="F7" s="155">
        <v>5599.3</v>
      </c>
      <c r="G7" s="155">
        <v>21697.200000000001</v>
      </c>
      <c r="H7" s="155">
        <v>5</v>
      </c>
      <c r="I7" s="155">
        <v>27296.5</v>
      </c>
      <c r="L7" s="1">
        <f>H7/E7</f>
        <v>1.25</v>
      </c>
      <c r="M7" s="155">
        <v>20</v>
      </c>
    </row>
    <row r="8" spans="1:13" x14ac:dyDescent="0.2">
      <c r="A8" s="155"/>
      <c r="B8" s="155" t="s">
        <v>34</v>
      </c>
      <c r="D8" s="155">
        <v>9</v>
      </c>
      <c r="E8" s="155">
        <v>8</v>
      </c>
      <c r="F8" s="155">
        <v>43992.799999999996</v>
      </c>
      <c r="G8" s="155">
        <v>39993.599999999999</v>
      </c>
      <c r="H8" s="155">
        <v>17</v>
      </c>
      <c r="I8" s="155">
        <v>83986.4</v>
      </c>
      <c r="L8" s="1">
        <f t="shared" ref="L8:L10" si="0">H8/E8</f>
        <v>2.125</v>
      </c>
      <c r="M8" s="155">
        <v>25</v>
      </c>
    </row>
    <row r="9" spans="1:13" x14ac:dyDescent="0.2">
      <c r="A9" s="155"/>
      <c r="B9" t="s">
        <v>294</v>
      </c>
      <c r="D9" s="155"/>
      <c r="E9" s="155">
        <v>1</v>
      </c>
      <c r="F9" s="155"/>
      <c r="G9" s="155">
        <v>2999.4</v>
      </c>
      <c r="H9" s="155">
        <v>1</v>
      </c>
      <c r="I9" s="155">
        <v>2999.4</v>
      </c>
      <c r="L9" s="1">
        <f t="shared" si="0"/>
        <v>1</v>
      </c>
      <c r="M9" s="155">
        <v>6</v>
      </c>
    </row>
    <row r="10" spans="1:13" x14ac:dyDescent="0.2">
      <c r="A10" s="155"/>
      <c r="B10" s="155" t="s">
        <v>26</v>
      </c>
      <c r="D10" s="155">
        <v>8</v>
      </c>
      <c r="E10" s="155">
        <v>6</v>
      </c>
      <c r="F10" s="155">
        <v>18474</v>
      </c>
      <c r="G10" s="155">
        <v>11682</v>
      </c>
      <c r="H10" s="155">
        <v>14</v>
      </c>
      <c r="I10" s="155">
        <v>30156</v>
      </c>
      <c r="L10" s="1">
        <f t="shared" si="0"/>
        <v>2.3333333333333335</v>
      </c>
      <c r="M10" s="155">
        <v>50</v>
      </c>
    </row>
    <row r="11" spans="1:13" x14ac:dyDescent="0.2">
      <c r="A11" s="155" t="s">
        <v>966</v>
      </c>
      <c r="B11" s="155"/>
      <c r="C11" s="155"/>
      <c r="D11" s="155">
        <v>18</v>
      </c>
      <c r="E11" s="155">
        <v>19</v>
      </c>
      <c r="F11" s="187">
        <v>68066.100000000006</v>
      </c>
      <c r="G11" s="187">
        <v>76372.200000000012</v>
      </c>
      <c r="H11" s="155">
        <v>37</v>
      </c>
      <c r="I11" s="187">
        <v>144438.29999999999</v>
      </c>
    </row>
    <row r="12" spans="1:13" x14ac:dyDescent="0.2">
      <c r="A12" s="155" t="s">
        <v>62</v>
      </c>
      <c r="B12" s="155" t="s">
        <v>65</v>
      </c>
      <c r="D12" s="155">
        <v>15</v>
      </c>
      <c r="E12" s="155">
        <v>7</v>
      </c>
      <c r="F12" s="155">
        <v>80089.200000000012</v>
      </c>
      <c r="G12" s="155">
        <v>34852.129999999997</v>
      </c>
      <c r="H12" s="155">
        <v>22</v>
      </c>
      <c r="I12" s="155">
        <v>114941.33000000002</v>
      </c>
    </row>
    <row r="13" spans="1:13" x14ac:dyDescent="0.2">
      <c r="A13" s="155"/>
      <c r="B13" s="155" t="s">
        <v>34</v>
      </c>
      <c r="D13" s="155">
        <v>14</v>
      </c>
      <c r="E13" s="155">
        <v>12</v>
      </c>
      <c r="F13" s="155">
        <v>66575.399999999994</v>
      </c>
      <c r="G13" s="155">
        <v>51589.229999999989</v>
      </c>
      <c r="H13" s="155">
        <v>26</v>
      </c>
      <c r="I13" s="155">
        <v>118164.62999999998</v>
      </c>
    </row>
    <row r="14" spans="1:13" x14ac:dyDescent="0.2">
      <c r="A14" s="155"/>
      <c r="B14" s="155" t="s">
        <v>294</v>
      </c>
      <c r="D14" s="155">
        <v>2</v>
      </c>
      <c r="E14" s="155">
        <v>2</v>
      </c>
      <c r="F14" s="155">
        <v>5998.8</v>
      </c>
      <c r="G14" s="155">
        <v>4796.3999999999996</v>
      </c>
      <c r="H14" s="155">
        <v>4</v>
      </c>
      <c r="I14" s="155">
        <v>10795.2</v>
      </c>
    </row>
    <row r="15" spans="1:13" x14ac:dyDescent="0.2">
      <c r="A15" s="155"/>
      <c r="B15" s="155" t="s">
        <v>26</v>
      </c>
      <c r="D15" s="155">
        <v>32</v>
      </c>
      <c r="E15" s="155">
        <v>30</v>
      </c>
      <c r="F15" s="155">
        <v>67388.060000000027</v>
      </c>
      <c r="G15" s="155">
        <v>62624.400000000009</v>
      </c>
      <c r="H15" s="155">
        <v>62</v>
      </c>
      <c r="I15" s="155">
        <v>130012.46000000004</v>
      </c>
    </row>
    <row r="16" spans="1:13" x14ac:dyDescent="0.2">
      <c r="A16" s="155" t="s">
        <v>958</v>
      </c>
      <c r="B16" s="155"/>
      <c r="C16" s="155"/>
      <c r="D16" s="155">
        <v>63</v>
      </c>
      <c r="E16" s="155">
        <v>51</v>
      </c>
      <c r="F16" s="187">
        <v>220051.46000000002</v>
      </c>
      <c r="G16" s="187">
        <v>153862.15999999997</v>
      </c>
      <c r="H16" s="155">
        <v>114</v>
      </c>
      <c r="I16" s="187">
        <v>373913.62000000005</v>
      </c>
    </row>
    <row r="17" spans="1:9" x14ac:dyDescent="0.2">
      <c r="A17" s="155" t="s">
        <v>20</v>
      </c>
      <c r="B17" s="155" t="s">
        <v>65</v>
      </c>
      <c r="D17" s="155">
        <v>11</v>
      </c>
      <c r="E17" s="155">
        <v>6</v>
      </c>
      <c r="F17" s="155">
        <v>57864.73000000001</v>
      </c>
      <c r="G17" s="155">
        <v>30978.43</v>
      </c>
      <c r="H17" s="155">
        <v>17</v>
      </c>
      <c r="I17" s="155">
        <v>88843.16</v>
      </c>
    </row>
    <row r="18" spans="1:9" x14ac:dyDescent="0.2">
      <c r="A18" s="155"/>
      <c r="B18" s="155" t="s">
        <v>34</v>
      </c>
      <c r="D18" s="155">
        <v>9</v>
      </c>
      <c r="E18" s="155">
        <v>9</v>
      </c>
      <c r="F18" s="155">
        <v>44222.83</v>
      </c>
      <c r="G18" s="155">
        <v>39849.93</v>
      </c>
      <c r="H18" s="155">
        <v>18</v>
      </c>
      <c r="I18" s="155">
        <v>84072.760000000009</v>
      </c>
    </row>
    <row r="19" spans="1:9" x14ac:dyDescent="0.2">
      <c r="A19" s="155"/>
      <c r="B19" t="s">
        <v>294</v>
      </c>
      <c r="D19" s="155"/>
      <c r="E19" s="155">
        <v>1</v>
      </c>
      <c r="F19" s="155"/>
      <c r="G19" s="155">
        <v>2999.4</v>
      </c>
      <c r="H19" s="155">
        <v>1</v>
      </c>
      <c r="I19" s="155">
        <v>2999.4</v>
      </c>
    </row>
    <row r="20" spans="1:9" x14ac:dyDescent="0.2">
      <c r="A20" s="155"/>
      <c r="B20" s="155" t="s">
        <v>26</v>
      </c>
      <c r="D20" s="155">
        <v>18</v>
      </c>
      <c r="E20" s="155">
        <v>10</v>
      </c>
      <c r="F20" s="155">
        <v>38185.320000000007</v>
      </c>
      <c r="G20" s="155">
        <v>20373</v>
      </c>
      <c r="H20" s="155">
        <v>28</v>
      </c>
      <c r="I20" s="155">
        <v>58558.320000000007</v>
      </c>
    </row>
    <row r="21" spans="1:9" x14ac:dyDescent="0.2">
      <c r="A21" s="155" t="s">
        <v>959</v>
      </c>
      <c r="B21" s="155"/>
      <c r="C21" s="155"/>
      <c r="D21" s="155">
        <v>38</v>
      </c>
      <c r="E21" s="155">
        <v>26</v>
      </c>
      <c r="F21" s="187">
        <v>140272.88</v>
      </c>
      <c r="G21" s="187">
        <v>94200.76</v>
      </c>
      <c r="H21" s="155">
        <v>64</v>
      </c>
      <c r="I21" s="187">
        <v>234473.64</v>
      </c>
    </row>
    <row r="22" spans="1:9" x14ac:dyDescent="0.2">
      <c r="A22" s="155" t="s">
        <v>575</v>
      </c>
      <c r="B22" s="155" t="s">
        <v>65</v>
      </c>
      <c r="D22" s="155">
        <v>7</v>
      </c>
      <c r="E22" s="155">
        <v>4</v>
      </c>
      <c r="F22" s="155">
        <v>44394.2</v>
      </c>
      <c r="G22" s="155">
        <v>21697.200000000001</v>
      </c>
      <c r="H22" s="155">
        <v>11</v>
      </c>
      <c r="I22" s="155">
        <v>66091.399999999994</v>
      </c>
    </row>
    <row r="23" spans="1:9" x14ac:dyDescent="0.2">
      <c r="A23" s="155"/>
      <c r="B23" s="155" t="s">
        <v>34</v>
      </c>
      <c r="D23" s="155">
        <v>6</v>
      </c>
      <c r="E23" s="155">
        <v>4</v>
      </c>
      <c r="F23" s="155">
        <v>31994.399999999998</v>
      </c>
      <c r="G23" s="155">
        <v>17196.8</v>
      </c>
      <c r="H23" s="155">
        <v>10</v>
      </c>
      <c r="I23" s="155">
        <v>49191.199999999997</v>
      </c>
    </row>
    <row r="24" spans="1:9" x14ac:dyDescent="0.2">
      <c r="A24" s="155"/>
      <c r="B24" s="155" t="s">
        <v>26</v>
      </c>
      <c r="D24" s="155">
        <v>13</v>
      </c>
      <c r="E24" s="155">
        <v>7</v>
      </c>
      <c r="F24" s="155">
        <v>30257</v>
      </c>
      <c r="G24" s="155">
        <v>14633.3</v>
      </c>
      <c r="H24" s="155">
        <v>20</v>
      </c>
      <c r="I24" s="155">
        <v>44890.3</v>
      </c>
    </row>
    <row r="25" spans="1:9" x14ac:dyDescent="0.2">
      <c r="A25" s="155" t="s">
        <v>957</v>
      </c>
      <c r="B25" s="155"/>
      <c r="C25" s="155"/>
      <c r="D25" s="155">
        <v>26</v>
      </c>
      <c r="E25" s="155">
        <v>15</v>
      </c>
      <c r="F25" s="187">
        <v>106645.59999999999</v>
      </c>
      <c r="G25" s="187">
        <v>53527.3</v>
      </c>
      <c r="H25" s="155">
        <v>41</v>
      </c>
      <c r="I25" s="187">
        <v>160172.9</v>
      </c>
    </row>
    <row r="26" spans="1:9" x14ac:dyDescent="0.2">
      <c r="A26" s="155" t="s">
        <v>729</v>
      </c>
      <c r="B26" s="155"/>
      <c r="C26" s="155"/>
      <c r="D26" s="155">
        <v>145</v>
      </c>
      <c r="E26" s="155">
        <v>111</v>
      </c>
      <c r="F26" s="155">
        <v>535036.04</v>
      </c>
      <c r="G26" s="155">
        <v>377962.42</v>
      </c>
      <c r="H26" s="155">
        <v>256</v>
      </c>
      <c r="I26" s="155">
        <v>912998.46000000008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82B8-947F-EA4E-96C6-26F8A424D3EB}">
  <dimension ref="A3:I125"/>
  <sheetViews>
    <sheetView tabSelected="1" topLeftCell="A35" workbookViewId="0">
      <selection activeCell="K1" sqref="K1"/>
    </sheetView>
  </sheetViews>
  <sheetFormatPr baseColWidth="10" defaultRowHeight="15" x14ac:dyDescent="0.2"/>
  <cols>
    <col min="1" max="1" width="27.1640625" bestFit="1" customWidth="1"/>
    <col min="2" max="2" width="9" bestFit="1" customWidth="1"/>
    <col min="3" max="3" width="10.5" bestFit="1" customWidth="1"/>
    <col min="4" max="4" width="9.5" bestFit="1" customWidth="1"/>
    <col min="5" max="5" width="16.83203125" bestFit="1" customWidth="1"/>
    <col min="6" max="6" width="4.1640625" bestFit="1" customWidth="1"/>
    <col min="7" max="7" width="7.1640625" bestFit="1" customWidth="1"/>
  </cols>
  <sheetData>
    <row r="3" spans="1:5" x14ac:dyDescent="0.2">
      <c r="D3" s="58" t="s">
        <v>732</v>
      </c>
    </row>
    <row r="4" spans="1:5" x14ac:dyDescent="0.2">
      <c r="A4" s="58" t="s">
        <v>0</v>
      </c>
      <c r="B4" s="58" t="s">
        <v>411</v>
      </c>
      <c r="C4" s="58" t="s">
        <v>1</v>
      </c>
      <c r="D4" t="s">
        <v>730</v>
      </c>
      <c r="E4" t="s">
        <v>731</v>
      </c>
    </row>
    <row r="5" spans="1:5" x14ac:dyDescent="0.2">
      <c r="A5" t="s">
        <v>62</v>
      </c>
      <c r="B5" t="s">
        <v>925</v>
      </c>
      <c r="C5" s="48" t="s">
        <v>926</v>
      </c>
      <c r="D5" s="186">
        <v>3</v>
      </c>
      <c r="E5" s="170">
        <v>15993</v>
      </c>
    </row>
    <row r="6" spans="1:5" x14ac:dyDescent="0.2">
      <c r="C6" s="48" t="s">
        <v>933</v>
      </c>
      <c r="D6" s="186">
        <v>1</v>
      </c>
      <c r="E6" s="170">
        <v>4999</v>
      </c>
    </row>
    <row r="7" spans="1:5" x14ac:dyDescent="0.2">
      <c r="C7" s="48" t="s">
        <v>949</v>
      </c>
      <c r="D7" s="186">
        <v>1</v>
      </c>
      <c r="E7" s="170">
        <v>5999</v>
      </c>
    </row>
    <row r="8" spans="1:5" x14ac:dyDescent="0.2">
      <c r="C8" s="48" t="s">
        <v>953</v>
      </c>
      <c r="D8" s="186">
        <v>2</v>
      </c>
      <c r="E8" s="170">
        <v>7994</v>
      </c>
    </row>
    <row r="9" spans="1:5" x14ac:dyDescent="0.2">
      <c r="C9" s="48" t="s">
        <v>967</v>
      </c>
      <c r="D9" s="186">
        <v>1</v>
      </c>
      <c r="E9" s="170">
        <v>4999</v>
      </c>
    </row>
    <row r="10" spans="1:5" x14ac:dyDescent="0.2">
      <c r="C10" s="48" t="s">
        <v>971</v>
      </c>
      <c r="D10" s="186">
        <v>2</v>
      </c>
      <c r="E10" s="170">
        <v>4796.3999999999996</v>
      </c>
    </row>
    <row r="11" spans="1:5" x14ac:dyDescent="0.2">
      <c r="C11" s="48" t="s">
        <v>978</v>
      </c>
      <c r="D11" s="186">
        <v>2</v>
      </c>
      <c r="E11" s="170">
        <v>2994</v>
      </c>
    </row>
    <row r="12" spans="1:5" x14ac:dyDescent="0.2">
      <c r="C12" s="48" t="s">
        <v>988</v>
      </c>
      <c r="D12" s="186">
        <v>4</v>
      </c>
      <c r="E12" s="170">
        <v>10892.7</v>
      </c>
    </row>
    <row r="13" spans="1:5" x14ac:dyDescent="0.2">
      <c r="C13" s="48" t="s">
        <v>1014</v>
      </c>
      <c r="D13" s="186">
        <v>4</v>
      </c>
      <c r="E13" s="170">
        <v>13395</v>
      </c>
    </row>
    <row r="14" spans="1:5" x14ac:dyDescent="0.2">
      <c r="C14" s="48" t="s">
        <v>1031</v>
      </c>
      <c r="D14" s="186">
        <v>1</v>
      </c>
      <c r="E14" s="170">
        <v>2097</v>
      </c>
    </row>
    <row r="15" spans="1:5" x14ac:dyDescent="0.2">
      <c r="C15" s="48" t="s">
        <v>1033</v>
      </c>
      <c r="D15" s="186">
        <v>1</v>
      </c>
      <c r="E15" s="170">
        <v>2097</v>
      </c>
    </row>
    <row r="16" spans="1:5" x14ac:dyDescent="0.2">
      <c r="C16" t="s">
        <v>1036</v>
      </c>
      <c r="D16" s="185">
        <v>1</v>
      </c>
      <c r="E16" s="1">
        <v>5599.3</v>
      </c>
    </row>
    <row r="17" spans="2:5" x14ac:dyDescent="0.2">
      <c r="C17" t="s">
        <v>1044</v>
      </c>
      <c r="D17" s="185">
        <v>9</v>
      </c>
      <c r="E17" s="1">
        <v>24747.94</v>
      </c>
    </row>
    <row r="18" spans="2:5" x14ac:dyDescent="0.2">
      <c r="C18" t="s">
        <v>1058</v>
      </c>
      <c r="D18" s="185">
        <v>5</v>
      </c>
      <c r="E18" s="1">
        <v>18250.75</v>
      </c>
    </row>
    <row r="19" spans="2:5" x14ac:dyDescent="0.2">
      <c r="C19" t="s">
        <v>1082</v>
      </c>
      <c r="D19" s="185">
        <v>2</v>
      </c>
      <c r="E19" s="1">
        <v>10498.6</v>
      </c>
    </row>
    <row r="20" spans="2:5" x14ac:dyDescent="0.2">
      <c r="C20" t="s">
        <v>1095</v>
      </c>
      <c r="D20" s="185">
        <v>5</v>
      </c>
      <c r="E20" s="1">
        <v>15791.900000000001</v>
      </c>
    </row>
    <row r="21" spans="2:5" x14ac:dyDescent="0.2">
      <c r="C21" t="s">
        <v>1113</v>
      </c>
      <c r="D21" s="185">
        <v>3</v>
      </c>
      <c r="E21" s="1">
        <v>10695.6</v>
      </c>
    </row>
    <row r="22" spans="2:5" x14ac:dyDescent="0.2">
      <c r="C22" t="s">
        <v>1119</v>
      </c>
      <c r="D22" s="185">
        <v>4</v>
      </c>
      <c r="E22" s="1">
        <v>13328.869999999999</v>
      </c>
    </row>
    <row r="23" spans="2:5" x14ac:dyDescent="0.2">
      <c r="C23" t="s">
        <v>1128</v>
      </c>
      <c r="D23" s="185">
        <v>1</v>
      </c>
      <c r="E23" s="1">
        <v>5599.3</v>
      </c>
    </row>
    <row r="24" spans="2:5" x14ac:dyDescent="0.2">
      <c r="C24" t="s">
        <v>1134</v>
      </c>
      <c r="D24" s="185">
        <v>2</v>
      </c>
      <c r="E24" s="1">
        <v>9098.6</v>
      </c>
    </row>
    <row r="25" spans="2:5" x14ac:dyDescent="0.2">
      <c r="C25" t="s">
        <v>1164</v>
      </c>
      <c r="D25" s="185">
        <v>3</v>
      </c>
      <c r="E25" s="1">
        <v>10093.299999999999</v>
      </c>
    </row>
    <row r="26" spans="2:5" x14ac:dyDescent="0.2">
      <c r="C26" t="s">
        <v>1179</v>
      </c>
      <c r="D26" s="185">
        <v>1</v>
      </c>
      <c r="E26" s="1">
        <v>2999.2</v>
      </c>
    </row>
    <row r="27" spans="2:5" x14ac:dyDescent="0.2">
      <c r="C27" t="s">
        <v>1182</v>
      </c>
      <c r="D27" s="185">
        <v>5</v>
      </c>
      <c r="E27" s="1">
        <v>17092</v>
      </c>
    </row>
    <row r="28" spans="2:5" x14ac:dyDescent="0.2">
      <c r="B28" t="s">
        <v>954</v>
      </c>
      <c r="D28" s="185">
        <v>63</v>
      </c>
      <c r="E28" s="188">
        <v>220051.46</v>
      </c>
    </row>
    <row r="29" spans="2:5" x14ac:dyDescent="0.2">
      <c r="B29" t="s">
        <v>1206</v>
      </c>
      <c r="C29" t="s">
        <v>1205</v>
      </c>
      <c r="D29" s="185">
        <v>-2</v>
      </c>
      <c r="E29" s="1">
        <v>-4494</v>
      </c>
    </row>
    <row r="30" spans="2:5" x14ac:dyDescent="0.2">
      <c r="C30" t="s">
        <v>1208</v>
      </c>
      <c r="D30" s="185">
        <v>1</v>
      </c>
      <c r="E30" s="1">
        <v>5599.3</v>
      </c>
    </row>
    <row r="31" spans="2:5" x14ac:dyDescent="0.2">
      <c r="C31" t="s">
        <v>1211</v>
      </c>
      <c r="D31" s="185">
        <v>4</v>
      </c>
      <c r="E31" s="1">
        <v>16194.24</v>
      </c>
    </row>
    <row r="32" spans="2:5" x14ac:dyDescent="0.2">
      <c r="C32" t="s">
        <v>1230</v>
      </c>
      <c r="D32" s="185">
        <v>3</v>
      </c>
      <c r="E32" s="1">
        <v>6291</v>
      </c>
    </row>
    <row r="33" spans="1:9" x14ac:dyDescent="0.2">
      <c r="C33" t="s">
        <v>1245</v>
      </c>
      <c r="D33" s="185">
        <v>1</v>
      </c>
      <c r="E33" s="1">
        <v>2399.4</v>
      </c>
    </row>
    <row r="34" spans="1:9" x14ac:dyDescent="0.2">
      <c r="C34" t="s">
        <v>1256</v>
      </c>
      <c r="D34" s="185">
        <v>1</v>
      </c>
      <c r="E34" s="1">
        <v>1797</v>
      </c>
    </row>
    <row r="35" spans="1:9" x14ac:dyDescent="0.2">
      <c r="C35" t="s">
        <v>1258</v>
      </c>
      <c r="D35" s="185">
        <v>2</v>
      </c>
      <c r="E35" s="1">
        <v>4494</v>
      </c>
    </row>
    <row r="36" spans="1:9" x14ac:dyDescent="0.2">
      <c r="C36" t="s">
        <v>1261</v>
      </c>
      <c r="D36" s="185">
        <v>2</v>
      </c>
      <c r="E36" s="1">
        <v>7998.3999999999987</v>
      </c>
      <c r="H36" s="156"/>
      <c r="I36" s="156"/>
    </row>
    <row r="37" spans="1:9" x14ac:dyDescent="0.2">
      <c r="C37" t="s">
        <v>1271</v>
      </c>
      <c r="D37" s="185">
        <v>2</v>
      </c>
      <c r="E37" s="1">
        <v>7998.4</v>
      </c>
    </row>
    <row r="38" spans="1:9" x14ac:dyDescent="0.2">
      <c r="C38" t="s">
        <v>1280</v>
      </c>
      <c r="D38" s="185">
        <v>7</v>
      </c>
      <c r="E38" s="1">
        <v>18983.5</v>
      </c>
    </row>
    <row r="39" spans="1:9" x14ac:dyDescent="0.2">
      <c r="C39" t="s">
        <v>1291</v>
      </c>
      <c r="D39" s="185">
        <v>9</v>
      </c>
      <c r="E39" s="1">
        <v>19480.2</v>
      </c>
    </row>
    <row r="40" spans="1:9" x14ac:dyDescent="0.2">
      <c r="C40" t="s">
        <v>1321</v>
      </c>
      <c r="D40" s="185">
        <v>1</v>
      </c>
      <c r="E40" s="1">
        <v>3999.2</v>
      </c>
    </row>
    <row r="41" spans="1:9" x14ac:dyDescent="0.2">
      <c r="C41" t="s">
        <v>1322</v>
      </c>
      <c r="D41" s="185">
        <v>3</v>
      </c>
      <c r="E41" s="1">
        <v>10996</v>
      </c>
    </row>
    <row r="42" spans="1:9" x14ac:dyDescent="0.2">
      <c r="C42" t="s">
        <v>1332</v>
      </c>
      <c r="D42" s="185">
        <v>4</v>
      </c>
      <c r="E42" s="1">
        <v>11791.23</v>
      </c>
    </row>
    <row r="43" spans="1:9" x14ac:dyDescent="0.2">
      <c r="C43" t="s">
        <v>1338</v>
      </c>
      <c r="D43" s="185">
        <v>4</v>
      </c>
      <c r="E43" s="1">
        <v>11890.2</v>
      </c>
    </row>
    <row r="44" spans="1:9" x14ac:dyDescent="0.2">
      <c r="C44" t="s">
        <v>1345</v>
      </c>
      <c r="D44" s="185">
        <v>1</v>
      </c>
      <c r="E44" s="1">
        <v>1797</v>
      </c>
    </row>
    <row r="45" spans="1:9" x14ac:dyDescent="0.2">
      <c r="C45" t="s">
        <v>1368</v>
      </c>
      <c r="D45" s="185">
        <v>2</v>
      </c>
      <c r="E45" s="1">
        <v>6096.2</v>
      </c>
    </row>
    <row r="46" spans="1:9" x14ac:dyDescent="0.2">
      <c r="C46" t="s">
        <v>1352</v>
      </c>
      <c r="D46" s="185">
        <v>6</v>
      </c>
      <c r="E46" s="1">
        <v>20550.89</v>
      </c>
    </row>
    <row r="47" spans="1:9" x14ac:dyDescent="0.2">
      <c r="B47" t="s">
        <v>1207</v>
      </c>
      <c r="D47" s="185">
        <v>51</v>
      </c>
      <c r="E47" s="150">
        <v>153862.15999999997</v>
      </c>
      <c r="F47">
        <f>SUM(D5:D17)</f>
        <v>32</v>
      </c>
      <c r="G47" s="1">
        <f>SUM(E5:E17)</f>
        <v>106603.34000000001</v>
      </c>
      <c r="H47" s="156">
        <f>D47/F47-1</f>
        <v>0.59375</v>
      </c>
      <c r="I47" s="156">
        <f>E47/G47-1</f>
        <v>0.44331462785312326</v>
      </c>
    </row>
    <row r="48" spans="1:9" x14ac:dyDescent="0.2">
      <c r="A48" t="s">
        <v>958</v>
      </c>
      <c r="D48" s="185">
        <v>114</v>
      </c>
      <c r="E48" s="1">
        <v>373913.62</v>
      </c>
    </row>
    <row r="49" spans="1:5" x14ac:dyDescent="0.2">
      <c r="A49" t="s">
        <v>962</v>
      </c>
      <c r="B49" t="s">
        <v>925</v>
      </c>
      <c r="C49" s="48" t="s">
        <v>949</v>
      </c>
      <c r="D49" s="186">
        <v>1</v>
      </c>
      <c r="E49" s="170">
        <v>3495</v>
      </c>
    </row>
    <row r="50" spans="1:5" x14ac:dyDescent="0.2">
      <c r="C50" t="s">
        <v>1036</v>
      </c>
      <c r="D50" s="185">
        <v>1</v>
      </c>
      <c r="E50" s="1">
        <v>2397</v>
      </c>
    </row>
    <row r="51" spans="1:5" x14ac:dyDescent="0.2">
      <c r="C51" t="s">
        <v>1058</v>
      </c>
      <c r="D51" s="185">
        <v>2</v>
      </c>
      <c r="E51" s="1">
        <v>8798.4</v>
      </c>
    </row>
    <row r="52" spans="1:5" x14ac:dyDescent="0.2">
      <c r="C52" t="s">
        <v>1095</v>
      </c>
      <c r="D52" s="185">
        <v>1</v>
      </c>
      <c r="E52" s="1">
        <v>5599.2</v>
      </c>
    </row>
    <row r="53" spans="1:5" x14ac:dyDescent="0.2">
      <c r="C53" t="s">
        <v>1122</v>
      </c>
      <c r="D53" s="185">
        <v>1</v>
      </c>
      <c r="E53" s="1">
        <v>4799.2</v>
      </c>
    </row>
    <row r="54" spans="1:5" x14ac:dyDescent="0.2">
      <c r="C54" t="s">
        <v>1128</v>
      </c>
      <c r="D54" s="185">
        <v>1</v>
      </c>
      <c r="E54" s="1">
        <v>2097</v>
      </c>
    </row>
    <row r="55" spans="1:5" x14ac:dyDescent="0.2">
      <c r="C55" t="s">
        <v>1134</v>
      </c>
      <c r="D55" s="185">
        <v>2</v>
      </c>
      <c r="E55" s="1">
        <v>7696.2</v>
      </c>
    </row>
    <row r="56" spans="1:5" x14ac:dyDescent="0.2">
      <c r="C56" t="s">
        <v>1164</v>
      </c>
      <c r="D56" s="185">
        <v>5</v>
      </c>
      <c r="E56" s="1">
        <v>19391.600000000002</v>
      </c>
    </row>
    <row r="57" spans="1:5" x14ac:dyDescent="0.2">
      <c r="C57" t="s">
        <v>1179</v>
      </c>
      <c r="D57" s="185">
        <v>1</v>
      </c>
      <c r="E57" s="1">
        <v>2397</v>
      </c>
    </row>
    <row r="58" spans="1:5" x14ac:dyDescent="0.2">
      <c r="C58" t="s">
        <v>1182</v>
      </c>
      <c r="D58" s="185">
        <v>3</v>
      </c>
      <c r="E58" s="1">
        <v>11395.5</v>
      </c>
    </row>
    <row r="59" spans="1:5" x14ac:dyDescent="0.2">
      <c r="B59" t="s">
        <v>954</v>
      </c>
      <c r="D59" s="185">
        <v>18</v>
      </c>
      <c r="E59" s="1">
        <v>68066.100000000006</v>
      </c>
    </row>
    <row r="60" spans="1:5" x14ac:dyDescent="0.2">
      <c r="B60" t="s">
        <v>1206</v>
      </c>
      <c r="C60" t="s">
        <v>1208</v>
      </c>
      <c r="D60" s="185">
        <v>1</v>
      </c>
      <c r="E60" s="1">
        <v>2097</v>
      </c>
    </row>
    <row r="61" spans="1:5" x14ac:dyDescent="0.2">
      <c r="C61" t="s">
        <v>1230</v>
      </c>
      <c r="D61" s="185">
        <v>2</v>
      </c>
      <c r="E61" s="1">
        <v>11198.4</v>
      </c>
    </row>
    <row r="62" spans="1:5" x14ac:dyDescent="0.2">
      <c r="C62" t="s">
        <v>1245</v>
      </c>
      <c r="D62" s="185">
        <v>4</v>
      </c>
      <c r="E62" s="1">
        <v>21697.1</v>
      </c>
    </row>
    <row r="63" spans="1:5" x14ac:dyDescent="0.2">
      <c r="C63" t="s">
        <v>1258</v>
      </c>
      <c r="D63" s="185">
        <v>1</v>
      </c>
      <c r="E63" s="1">
        <v>5599.2</v>
      </c>
    </row>
    <row r="64" spans="1:5" x14ac:dyDescent="0.2">
      <c r="C64" t="s">
        <v>1261</v>
      </c>
      <c r="D64" s="185">
        <v>2</v>
      </c>
      <c r="E64" s="1">
        <v>5796.2</v>
      </c>
    </row>
    <row r="65" spans="1:9" x14ac:dyDescent="0.2">
      <c r="C65" t="s">
        <v>1291</v>
      </c>
      <c r="D65" s="185">
        <v>6</v>
      </c>
      <c r="E65" s="1">
        <v>22091.100000000002</v>
      </c>
    </row>
    <row r="66" spans="1:9" x14ac:dyDescent="0.2">
      <c r="C66" t="s">
        <v>1321</v>
      </c>
      <c r="D66" s="185">
        <v>1</v>
      </c>
      <c r="E66" s="1">
        <v>3999.2</v>
      </c>
    </row>
    <row r="67" spans="1:9" x14ac:dyDescent="0.2">
      <c r="C67" t="s">
        <v>1332</v>
      </c>
      <c r="D67" s="185">
        <v>1</v>
      </c>
      <c r="E67" s="1">
        <v>1797</v>
      </c>
    </row>
    <row r="68" spans="1:9" x14ac:dyDescent="0.2">
      <c r="C68" t="s">
        <v>1352</v>
      </c>
      <c r="D68" s="185">
        <v>1</v>
      </c>
      <c r="E68" s="1">
        <v>2097</v>
      </c>
    </row>
    <row r="69" spans="1:9" x14ac:dyDescent="0.2">
      <c r="B69" t="s">
        <v>1207</v>
      </c>
      <c r="D69" s="185">
        <v>19</v>
      </c>
      <c r="E69" s="1">
        <v>76372.2</v>
      </c>
      <c r="F69">
        <f>SUM(D49:D50)</f>
        <v>2</v>
      </c>
      <c r="G69">
        <f>SUM(E49:E50)</f>
        <v>5892</v>
      </c>
      <c r="H69" s="156">
        <f>D69/F69-1</f>
        <v>8.5</v>
      </c>
      <c r="I69" s="156">
        <f>E69/G69-1</f>
        <v>11.962016293279023</v>
      </c>
    </row>
    <row r="70" spans="1:9" x14ac:dyDescent="0.2">
      <c r="A70" t="s">
        <v>966</v>
      </c>
      <c r="D70" s="185">
        <v>37</v>
      </c>
      <c r="E70" s="1">
        <v>144438.30000000002</v>
      </c>
    </row>
    <row r="71" spans="1:9" x14ac:dyDescent="0.2">
      <c r="A71" t="s">
        <v>20</v>
      </c>
      <c r="B71" t="s">
        <v>925</v>
      </c>
      <c r="C71" s="48" t="s">
        <v>923</v>
      </c>
      <c r="D71" s="186">
        <v>1</v>
      </c>
      <c r="E71" s="170">
        <v>5999</v>
      </c>
    </row>
    <row r="72" spans="1:9" x14ac:dyDescent="0.2">
      <c r="C72" s="48" t="s">
        <v>926</v>
      </c>
      <c r="D72" s="186">
        <v>1</v>
      </c>
      <c r="E72" s="170">
        <v>4999</v>
      </c>
    </row>
    <row r="73" spans="1:9" x14ac:dyDescent="0.2">
      <c r="C73" s="48" t="s">
        <v>971</v>
      </c>
      <c r="D73" s="186">
        <v>4</v>
      </c>
      <c r="E73" s="170">
        <v>7790.4</v>
      </c>
    </row>
    <row r="74" spans="1:9" x14ac:dyDescent="0.2">
      <c r="C74" s="48" t="s">
        <v>978</v>
      </c>
      <c r="D74" s="186">
        <v>3</v>
      </c>
      <c r="E74" s="170">
        <v>7293.2</v>
      </c>
    </row>
    <row r="75" spans="1:9" x14ac:dyDescent="0.2">
      <c r="C75" s="48" t="s">
        <v>988</v>
      </c>
      <c r="D75" s="186">
        <v>4</v>
      </c>
      <c r="E75" s="170">
        <v>11822.859999999999</v>
      </c>
    </row>
    <row r="76" spans="1:9" x14ac:dyDescent="0.2">
      <c r="C76" s="48" t="s">
        <v>1014</v>
      </c>
      <c r="D76" s="186">
        <v>1</v>
      </c>
      <c r="E76" s="170">
        <v>4899.3</v>
      </c>
    </row>
    <row r="77" spans="1:9" x14ac:dyDescent="0.2">
      <c r="C77" s="48" t="s">
        <v>1036</v>
      </c>
      <c r="D77" s="186">
        <v>1</v>
      </c>
      <c r="E77" s="170">
        <v>2697</v>
      </c>
    </row>
    <row r="78" spans="1:9" x14ac:dyDescent="0.2">
      <c r="C78" s="48" t="s">
        <v>1044</v>
      </c>
      <c r="D78" s="186">
        <v>3</v>
      </c>
      <c r="E78" s="170">
        <v>12418.12</v>
      </c>
    </row>
    <row r="79" spans="1:9" x14ac:dyDescent="0.2">
      <c r="C79" t="s">
        <v>1058</v>
      </c>
      <c r="D79" s="185">
        <v>4</v>
      </c>
      <c r="E79" s="1">
        <v>17886.45</v>
      </c>
    </row>
    <row r="80" spans="1:9" x14ac:dyDescent="0.2">
      <c r="C80" t="s">
        <v>1082</v>
      </c>
      <c r="D80" s="185">
        <v>5</v>
      </c>
      <c r="E80" s="1">
        <v>17189.599999999999</v>
      </c>
    </row>
    <row r="81" spans="2:5" x14ac:dyDescent="0.2">
      <c r="C81" t="s">
        <v>1128</v>
      </c>
      <c r="D81" s="185">
        <v>3</v>
      </c>
      <c r="E81" s="1">
        <v>12097.9</v>
      </c>
    </row>
    <row r="82" spans="2:5" x14ac:dyDescent="0.2">
      <c r="C82" t="s">
        <v>1134</v>
      </c>
      <c r="D82" s="185">
        <v>6</v>
      </c>
      <c r="E82" s="1">
        <v>27881.350000000002</v>
      </c>
    </row>
    <row r="83" spans="2:5" x14ac:dyDescent="0.2">
      <c r="C83" t="s">
        <v>1164</v>
      </c>
      <c r="D83" s="185">
        <v>2</v>
      </c>
      <c r="E83" s="1">
        <v>7298.7000000000007</v>
      </c>
    </row>
    <row r="84" spans="2:5" x14ac:dyDescent="0.2">
      <c r="B84" t="s">
        <v>954</v>
      </c>
      <c r="D84" s="185">
        <v>38</v>
      </c>
      <c r="E84" s="188">
        <v>140272.88</v>
      </c>
    </row>
    <row r="85" spans="2:5" x14ac:dyDescent="0.2">
      <c r="B85" t="s">
        <v>1206</v>
      </c>
      <c r="C85" t="s">
        <v>1211</v>
      </c>
      <c r="D85" s="185">
        <v>4</v>
      </c>
      <c r="E85" s="1">
        <v>11793</v>
      </c>
    </row>
    <row r="86" spans="2:5" x14ac:dyDescent="0.2">
      <c r="C86" t="s">
        <v>1230</v>
      </c>
      <c r="D86" s="185">
        <v>2</v>
      </c>
      <c r="E86" s="1">
        <v>4794</v>
      </c>
    </row>
    <row r="87" spans="2:5" x14ac:dyDescent="0.2">
      <c r="C87" t="s">
        <v>1245</v>
      </c>
      <c r="D87" s="185">
        <v>3</v>
      </c>
      <c r="E87" s="1">
        <v>6591</v>
      </c>
    </row>
    <row r="88" spans="2:5" x14ac:dyDescent="0.2">
      <c r="C88" t="s">
        <v>1258</v>
      </c>
      <c r="D88" s="185">
        <v>1</v>
      </c>
      <c r="E88" s="1">
        <v>4799.2</v>
      </c>
    </row>
    <row r="89" spans="2:5" x14ac:dyDescent="0.2">
      <c r="C89" t="s">
        <v>1261</v>
      </c>
      <c r="D89" s="185">
        <v>-1</v>
      </c>
      <c r="E89" s="1">
        <v>-4799.2</v>
      </c>
    </row>
    <row r="90" spans="2:5" x14ac:dyDescent="0.2">
      <c r="C90" t="s">
        <v>1280</v>
      </c>
      <c r="D90" s="185">
        <v>2</v>
      </c>
      <c r="E90" s="1">
        <v>10047.779999999999</v>
      </c>
    </row>
    <row r="91" spans="2:5" x14ac:dyDescent="0.2">
      <c r="C91" t="s">
        <v>1291</v>
      </c>
      <c r="D91" s="185">
        <v>5</v>
      </c>
      <c r="E91" s="1">
        <v>22596.2</v>
      </c>
    </row>
    <row r="92" spans="2:5" x14ac:dyDescent="0.2">
      <c r="C92" t="s">
        <v>1321</v>
      </c>
      <c r="D92" s="185">
        <v>-1</v>
      </c>
      <c r="E92" s="1">
        <v>-2097</v>
      </c>
    </row>
    <row r="93" spans="2:5" x14ac:dyDescent="0.2">
      <c r="C93" t="s">
        <v>1332</v>
      </c>
      <c r="D93" s="185">
        <v>1</v>
      </c>
      <c r="E93" s="1">
        <v>1197</v>
      </c>
    </row>
    <row r="94" spans="2:5" x14ac:dyDescent="0.2">
      <c r="C94" t="s">
        <v>1345</v>
      </c>
      <c r="D94" s="185">
        <v>1</v>
      </c>
      <c r="E94" s="1">
        <v>5599.3</v>
      </c>
    </row>
    <row r="95" spans="2:5" x14ac:dyDescent="0.2">
      <c r="C95" t="s">
        <v>1368</v>
      </c>
      <c r="D95" s="185">
        <v>4</v>
      </c>
      <c r="E95" s="1">
        <v>9892.7999999999993</v>
      </c>
    </row>
    <row r="96" spans="2:5" x14ac:dyDescent="0.2">
      <c r="C96" t="s">
        <v>1352</v>
      </c>
      <c r="D96" s="185">
        <v>5</v>
      </c>
      <c r="E96" s="1">
        <v>23786.68</v>
      </c>
    </row>
    <row r="97" spans="1:9" x14ac:dyDescent="0.2">
      <c r="B97" t="s">
        <v>1207</v>
      </c>
      <c r="D97" s="185">
        <v>26</v>
      </c>
      <c r="E97" s="150">
        <v>94200.760000000009</v>
      </c>
      <c r="F97">
        <f>SUM(D71:D78)</f>
        <v>18</v>
      </c>
      <c r="G97">
        <f>SUM(E71:E78)</f>
        <v>57918.880000000005</v>
      </c>
      <c r="H97" s="156">
        <f>D97/F97-1</f>
        <v>0.44444444444444442</v>
      </c>
      <c r="I97" s="156">
        <f>E97/G97-1</f>
        <v>0.62642578723897979</v>
      </c>
    </row>
    <row r="98" spans="1:9" x14ac:dyDescent="0.2">
      <c r="A98" t="s">
        <v>959</v>
      </c>
      <c r="D98" s="185">
        <v>64</v>
      </c>
      <c r="E98" s="1">
        <v>234473.63999999998</v>
      </c>
    </row>
    <row r="99" spans="1:9" x14ac:dyDescent="0.2">
      <c r="A99" t="s">
        <v>575</v>
      </c>
      <c r="B99" t="s">
        <v>925</v>
      </c>
      <c r="C99" s="48" t="s">
        <v>933</v>
      </c>
      <c r="D99" s="186">
        <v>2</v>
      </c>
      <c r="E99" s="170">
        <v>9994</v>
      </c>
    </row>
    <row r="100" spans="1:9" x14ac:dyDescent="0.2">
      <c r="C100" s="48" t="s">
        <v>942</v>
      </c>
      <c r="D100" s="186">
        <v>2</v>
      </c>
      <c r="E100" s="170">
        <v>11494</v>
      </c>
    </row>
    <row r="101" spans="1:9" x14ac:dyDescent="0.2">
      <c r="C101" s="48" t="s">
        <v>944</v>
      </c>
      <c r="D101" s="186">
        <v>2</v>
      </c>
      <c r="E101" s="170">
        <v>14998</v>
      </c>
    </row>
    <row r="102" spans="1:9" x14ac:dyDescent="0.2">
      <c r="C102" s="48" t="s">
        <v>960</v>
      </c>
      <c r="D102" s="186">
        <v>1</v>
      </c>
      <c r="E102" s="170">
        <v>5999</v>
      </c>
    </row>
    <row r="103" spans="1:9" x14ac:dyDescent="0.2">
      <c r="C103" s="48" t="s">
        <v>964</v>
      </c>
      <c r="D103" s="186">
        <v>1</v>
      </c>
      <c r="E103" s="170">
        <v>4999</v>
      </c>
    </row>
    <row r="104" spans="1:9" x14ac:dyDescent="0.2">
      <c r="C104" s="48" t="s">
        <v>978</v>
      </c>
      <c r="D104" s="186">
        <v>5</v>
      </c>
      <c r="E104" s="170">
        <v>10185</v>
      </c>
    </row>
    <row r="105" spans="1:9" x14ac:dyDescent="0.2">
      <c r="C105" s="48" t="s">
        <v>988</v>
      </c>
      <c r="D105" s="186">
        <v>4</v>
      </c>
      <c r="E105" s="170">
        <v>19596.7</v>
      </c>
    </row>
    <row r="106" spans="1:9" x14ac:dyDescent="0.2">
      <c r="C106" s="48" t="s">
        <v>1014</v>
      </c>
      <c r="D106" s="186">
        <v>1</v>
      </c>
      <c r="E106" s="170">
        <v>2097</v>
      </c>
    </row>
    <row r="107" spans="1:9" x14ac:dyDescent="0.2">
      <c r="C107" s="48" t="s">
        <v>1033</v>
      </c>
      <c r="D107" s="186">
        <v>1</v>
      </c>
      <c r="E107" s="170">
        <v>1797</v>
      </c>
    </row>
    <row r="108" spans="1:9" x14ac:dyDescent="0.2">
      <c r="C108" t="s">
        <v>1058</v>
      </c>
      <c r="D108" s="185">
        <v>0</v>
      </c>
      <c r="E108" s="1">
        <v>-1902.1999999999998</v>
      </c>
    </row>
    <row r="109" spans="1:9" x14ac:dyDescent="0.2">
      <c r="C109" t="s">
        <v>1082</v>
      </c>
      <c r="D109" s="185">
        <v>1</v>
      </c>
      <c r="E109" s="1">
        <v>2697</v>
      </c>
    </row>
    <row r="110" spans="1:9" x14ac:dyDescent="0.2">
      <c r="C110" t="s">
        <v>1095</v>
      </c>
      <c r="D110" s="185">
        <v>1</v>
      </c>
      <c r="E110" s="1">
        <v>5599.3</v>
      </c>
    </row>
    <row r="111" spans="1:9" x14ac:dyDescent="0.2">
      <c r="C111" t="s">
        <v>1122</v>
      </c>
      <c r="D111" s="185">
        <v>3</v>
      </c>
      <c r="E111" s="1">
        <v>11695.5</v>
      </c>
    </row>
    <row r="112" spans="1:9" x14ac:dyDescent="0.2">
      <c r="C112" t="s">
        <v>1134</v>
      </c>
      <c r="D112" s="185">
        <v>1</v>
      </c>
      <c r="E112" s="1">
        <v>5599.3</v>
      </c>
    </row>
    <row r="113" spans="1:9" x14ac:dyDescent="0.2">
      <c r="C113" t="s">
        <v>1164</v>
      </c>
      <c r="D113" s="185">
        <v>1</v>
      </c>
      <c r="E113" s="1">
        <v>1797</v>
      </c>
      <c r="H113" s="156"/>
      <c r="I113" s="156"/>
    </row>
    <row r="114" spans="1:9" x14ac:dyDescent="0.2">
      <c r="B114" t="s">
        <v>954</v>
      </c>
      <c r="D114" s="185">
        <v>26</v>
      </c>
      <c r="E114" s="188">
        <v>106645.6</v>
      </c>
    </row>
    <row r="115" spans="1:9" x14ac:dyDescent="0.2">
      <c r="B115" t="s">
        <v>1206</v>
      </c>
      <c r="C115" t="s">
        <v>1211</v>
      </c>
      <c r="D115" s="185">
        <v>1</v>
      </c>
      <c r="E115" s="1">
        <v>6999</v>
      </c>
    </row>
    <row r="116" spans="1:9" x14ac:dyDescent="0.2">
      <c r="C116" t="s">
        <v>1261</v>
      </c>
      <c r="D116" s="185">
        <v>1</v>
      </c>
      <c r="E116" s="1">
        <v>4799.2</v>
      </c>
    </row>
    <row r="117" spans="1:9" x14ac:dyDescent="0.2">
      <c r="C117" t="s">
        <v>1271</v>
      </c>
      <c r="D117" s="185">
        <v>3</v>
      </c>
      <c r="E117" s="1">
        <v>8095.5999999999995</v>
      </c>
    </row>
    <row r="118" spans="1:9" x14ac:dyDescent="0.2">
      <c r="C118" t="s">
        <v>1332</v>
      </c>
      <c r="D118" s="185">
        <v>2</v>
      </c>
      <c r="E118" s="1">
        <v>5496.5</v>
      </c>
    </row>
    <row r="119" spans="1:9" x14ac:dyDescent="0.2">
      <c r="C119" t="s">
        <v>1338</v>
      </c>
      <c r="D119" s="185">
        <v>3</v>
      </c>
      <c r="E119" s="1">
        <v>12245.1</v>
      </c>
    </row>
    <row r="120" spans="1:9" x14ac:dyDescent="0.2">
      <c r="C120" t="s">
        <v>1345</v>
      </c>
      <c r="D120" s="185">
        <v>1</v>
      </c>
      <c r="E120" s="1">
        <v>2097</v>
      </c>
    </row>
    <row r="121" spans="1:9" x14ac:dyDescent="0.2">
      <c r="C121" t="s">
        <v>1368</v>
      </c>
      <c r="D121" s="185">
        <v>1</v>
      </c>
      <c r="E121" s="1">
        <v>1797</v>
      </c>
    </row>
    <row r="122" spans="1:9" x14ac:dyDescent="0.2">
      <c r="C122" t="s">
        <v>1352</v>
      </c>
      <c r="D122" s="185">
        <v>3</v>
      </c>
      <c r="E122" s="1">
        <v>11997.900000000001</v>
      </c>
    </row>
    <row r="123" spans="1:9" x14ac:dyDescent="0.2">
      <c r="B123" t="s">
        <v>1207</v>
      </c>
      <c r="D123" s="185">
        <v>15</v>
      </c>
      <c r="E123" s="169">
        <v>53527.3</v>
      </c>
      <c r="F123">
        <f>SUM(D99:D107)</f>
        <v>19</v>
      </c>
      <c r="G123">
        <f>SUM(E99:E107)</f>
        <v>81159.7</v>
      </c>
      <c r="H123" s="156">
        <f>D123/F123-1</f>
        <v>-0.21052631578947367</v>
      </c>
      <c r="I123" s="156">
        <f>E123/G123-1</f>
        <v>-0.34046946945343559</v>
      </c>
    </row>
    <row r="124" spans="1:9" x14ac:dyDescent="0.2">
      <c r="A124" t="s">
        <v>957</v>
      </c>
      <c r="D124" s="185">
        <v>41</v>
      </c>
      <c r="E124" s="1">
        <v>160172.90000000002</v>
      </c>
    </row>
    <row r="125" spans="1:9" x14ac:dyDescent="0.2">
      <c r="A125" t="s">
        <v>729</v>
      </c>
      <c r="D125" s="185">
        <v>256</v>
      </c>
      <c r="E125" s="1">
        <v>912998.46000000008</v>
      </c>
    </row>
  </sheetData>
  <sortState xmlns:xlrd2="http://schemas.microsoft.com/office/spreadsheetml/2017/richdata2" ref="A3:E129">
    <sortCondition ref="C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F9C0-2600-7144-9B24-7C90E0277404}">
  <dimension ref="A1:U42"/>
  <sheetViews>
    <sheetView topLeftCell="A15" workbookViewId="0">
      <selection activeCell="G26" sqref="G26"/>
    </sheetView>
  </sheetViews>
  <sheetFormatPr baseColWidth="10" defaultRowHeight="15" x14ac:dyDescent="0.2"/>
  <cols>
    <col min="1" max="1" width="22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962</v>
      </c>
      <c r="B2" t="s">
        <v>1208</v>
      </c>
      <c r="C2" t="s">
        <v>1209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8905202264644</v>
      </c>
      <c r="J2" t="s">
        <v>1176</v>
      </c>
      <c r="K2">
        <v>8905202264644</v>
      </c>
      <c r="L2" t="s">
        <v>251</v>
      </c>
      <c r="M2" t="s">
        <v>84</v>
      </c>
      <c r="N2">
        <v>3495</v>
      </c>
      <c r="O2">
        <v>3495</v>
      </c>
      <c r="P2">
        <v>1</v>
      </c>
      <c r="Q2">
        <v>3495</v>
      </c>
      <c r="R2">
        <v>1398</v>
      </c>
      <c r="S2">
        <v>0</v>
      </c>
      <c r="T2">
        <v>2097</v>
      </c>
      <c r="U2" t="s">
        <v>31</v>
      </c>
    </row>
    <row r="3" spans="1:21" x14ac:dyDescent="0.2">
      <c r="A3" t="s">
        <v>1204</v>
      </c>
      <c r="B3" t="s">
        <v>1208</v>
      </c>
      <c r="C3" t="s">
        <v>1210</v>
      </c>
      <c r="D3" t="s">
        <v>23</v>
      </c>
      <c r="E3" t="s">
        <v>24</v>
      </c>
      <c r="F3" t="s">
        <v>64</v>
      </c>
      <c r="G3" t="s">
        <v>65</v>
      </c>
      <c r="H3" t="s">
        <v>27</v>
      </c>
      <c r="I3">
        <v>8905302263192</v>
      </c>
      <c r="J3" t="s">
        <v>465</v>
      </c>
      <c r="K3" t="s">
        <v>464</v>
      </c>
      <c r="L3" t="s">
        <v>463</v>
      </c>
      <c r="M3" t="s">
        <v>38</v>
      </c>
      <c r="N3">
        <v>7999</v>
      </c>
      <c r="O3">
        <v>7999</v>
      </c>
      <c r="P3">
        <v>1</v>
      </c>
      <c r="Q3">
        <v>7999</v>
      </c>
      <c r="R3">
        <v>2399.6999999999998</v>
      </c>
      <c r="S3">
        <v>0</v>
      </c>
      <c r="T3">
        <v>5599.3</v>
      </c>
      <c r="U3" t="s">
        <v>45</v>
      </c>
    </row>
    <row r="4" spans="1:21" x14ac:dyDescent="0.2">
      <c r="A4" t="s">
        <v>20</v>
      </c>
      <c r="B4" t="s">
        <v>1211</v>
      </c>
      <c r="C4" t="s">
        <v>1212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8905202264880</v>
      </c>
      <c r="J4" t="s">
        <v>417</v>
      </c>
      <c r="K4">
        <v>8905202264880</v>
      </c>
      <c r="L4" t="s">
        <v>416</v>
      </c>
      <c r="M4" t="s">
        <v>54</v>
      </c>
      <c r="N4">
        <v>2995</v>
      </c>
      <c r="O4">
        <v>2995</v>
      </c>
      <c r="P4">
        <v>1</v>
      </c>
      <c r="Q4">
        <v>2995</v>
      </c>
      <c r="R4">
        <v>1198</v>
      </c>
      <c r="S4">
        <v>0</v>
      </c>
      <c r="T4">
        <v>1797</v>
      </c>
      <c r="U4" t="s">
        <v>50</v>
      </c>
    </row>
    <row r="5" spans="1:21" x14ac:dyDescent="0.2">
      <c r="A5" t="s">
        <v>20</v>
      </c>
      <c r="B5" t="s">
        <v>1211</v>
      </c>
      <c r="C5" t="s">
        <v>1213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8905202264941</v>
      </c>
      <c r="J5" t="s">
        <v>973</v>
      </c>
      <c r="K5">
        <v>8905202264941</v>
      </c>
      <c r="L5" t="s">
        <v>191</v>
      </c>
      <c r="M5" t="s">
        <v>61</v>
      </c>
      <c r="N5">
        <v>2495</v>
      </c>
      <c r="O5">
        <v>2495</v>
      </c>
      <c r="P5">
        <v>1</v>
      </c>
      <c r="Q5">
        <v>2495</v>
      </c>
      <c r="R5">
        <v>998</v>
      </c>
      <c r="S5">
        <v>299.39999999999998</v>
      </c>
      <c r="T5">
        <v>1197.5999999999999</v>
      </c>
      <c r="U5" t="s">
        <v>45</v>
      </c>
    </row>
    <row r="6" spans="1:21" x14ac:dyDescent="0.2">
      <c r="A6" t="s">
        <v>20</v>
      </c>
      <c r="B6" t="s">
        <v>1211</v>
      </c>
      <c r="C6" t="s">
        <v>1214</v>
      </c>
      <c r="D6" t="s">
        <v>23</v>
      </c>
      <c r="E6" t="s">
        <v>24</v>
      </c>
      <c r="F6" t="s">
        <v>25</v>
      </c>
      <c r="G6" t="s">
        <v>34</v>
      </c>
      <c r="H6" t="s">
        <v>27</v>
      </c>
      <c r="I6">
        <v>8905302263283</v>
      </c>
      <c r="J6" t="s">
        <v>1065</v>
      </c>
      <c r="K6" t="s">
        <v>1066</v>
      </c>
      <c r="L6" t="s">
        <v>802</v>
      </c>
      <c r="M6" t="s">
        <v>44</v>
      </c>
      <c r="N6">
        <v>5999</v>
      </c>
      <c r="O6">
        <v>5999</v>
      </c>
      <c r="P6">
        <v>1</v>
      </c>
      <c r="Q6">
        <v>5999</v>
      </c>
      <c r="R6">
        <v>1199.8</v>
      </c>
      <c r="S6">
        <v>0</v>
      </c>
      <c r="T6">
        <v>4799.2</v>
      </c>
      <c r="U6" t="s">
        <v>50</v>
      </c>
    </row>
    <row r="7" spans="1:21" x14ac:dyDescent="0.2">
      <c r="A7" t="s">
        <v>20</v>
      </c>
      <c r="B7" t="s">
        <v>1211</v>
      </c>
      <c r="C7" t="s">
        <v>1215</v>
      </c>
      <c r="D7" t="s">
        <v>23</v>
      </c>
      <c r="E7" t="s">
        <v>24</v>
      </c>
      <c r="F7" t="s">
        <v>25</v>
      </c>
      <c r="G7" t="s">
        <v>34</v>
      </c>
      <c r="H7" t="s">
        <v>27</v>
      </c>
      <c r="I7">
        <v>8905302263303</v>
      </c>
      <c r="J7" t="s">
        <v>969</v>
      </c>
      <c r="K7" t="s">
        <v>970</v>
      </c>
      <c r="L7" t="s">
        <v>667</v>
      </c>
      <c r="M7" t="s">
        <v>54</v>
      </c>
      <c r="N7">
        <v>4999</v>
      </c>
      <c r="O7">
        <v>4999</v>
      </c>
      <c r="P7">
        <v>1</v>
      </c>
      <c r="Q7">
        <v>4999</v>
      </c>
      <c r="R7">
        <v>999.8</v>
      </c>
      <c r="S7">
        <v>0</v>
      </c>
      <c r="T7">
        <v>3999.2</v>
      </c>
      <c r="U7" t="s">
        <v>50</v>
      </c>
    </row>
    <row r="8" spans="1:21" x14ac:dyDescent="0.2">
      <c r="A8" t="s">
        <v>1204</v>
      </c>
      <c r="B8" t="s">
        <v>1211</v>
      </c>
      <c r="C8" t="s">
        <v>1216</v>
      </c>
      <c r="D8" t="s">
        <v>23</v>
      </c>
      <c r="E8" t="s">
        <v>24</v>
      </c>
      <c r="F8" t="s">
        <v>64</v>
      </c>
      <c r="G8" t="s">
        <v>65</v>
      </c>
      <c r="H8" t="s">
        <v>27</v>
      </c>
      <c r="I8">
        <v>8905302263205</v>
      </c>
      <c r="J8" t="s">
        <v>461</v>
      </c>
      <c r="K8" t="s">
        <v>460</v>
      </c>
      <c r="L8" t="s">
        <v>459</v>
      </c>
      <c r="M8" t="s">
        <v>38</v>
      </c>
      <c r="N8">
        <v>6999</v>
      </c>
      <c r="O8">
        <v>6999</v>
      </c>
      <c r="P8">
        <v>1</v>
      </c>
      <c r="Q8">
        <v>6999</v>
      </c>
      <c r="R8">
        <v>2099.6999999999998</v>
      </c>
      <c r="S8">
        <v>100.46</v>
      </c>
      <c r="T8">
        <v>4798.84</v>
      </c>
      <c r="U8" t="s">
        <v>45</v>
      </c>
    </row>
    <row r="9" spans="1:21" x14ac:dyDescent="0.2">
      <c r="A9" t="s">
        <v>1204</v>
      </c>
      <c r="B9" t="s">
        <v>1211</v>
      </c>
      <c r="C9" t="s">
        <v>1217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>
        <v>8905202264729</v>
      </c>
      <c r="J9" t="s">
        <v>28</v>
      </c>
      <c r="K9">
        <v>8905202264729</v>
      </c>
      <c r="L9" t="s">
        <v>29</v>
      </c>
      <c r="M9" t="s">
        <v>30</v>
      </c>
      <c r="N9">
        <v>2995</v>
      </c>
      <c r="O9">
        <v>2995</v>
      </c>
      <c r="P9">
        <v>1</v>
      </c>
      <c r="Q9">
        <v>2995</v>
      </c>
      <c r="R9">
        <v>1198</v>
      </c>
      <c r="S9">
        <v>0</v>
      </c>
      <c r="T9">
        <v>1797</v>
      </c>
      <c r="U9" t="s">
        <v>55</v>
      </c>
    </row>
    <row r="10" spans="1:21" x14ac:dyDescent="0.2">
      <c r="A10" t="s">
        <v>1204</v>
      </c>
      <c r="B10" t="s">
        <v>1211</v>
      </c>
      <c r="D10" t="s">
        <v>23</v>
      </c>
      <c r="E10" t="s">
        <v>24</v>
      </c>
      <c r="F10" t="s">
        <v>25</v>
      </c>
      <c r="G10" t="s">
        <v>34</v>
      </c>
      <c r="H10" t="s">
        <v>27</v>
      </c>
      <c r="I10">
        <v>8905302263257</v>
      </c>
      <c r="J10" t="s">
        <v>759</v>
      </c>
      <c r="K10" t="s">
        <v>760</v>
      </c>
      <c r="L10" t="s">
        <v>118</v>
      </c>
      <c r="M10" t="s">
        <v>44</v>
      </c>
      <c r="N10">
        <v>5999</v>
      </c>
      <c r="O10">
        <v>5999</v>
      </c>
      <c r="P10">
        <v>1</v>
      </c>
      <c r="Q10">
        <v>5999</v>
      </c>
      <c r="R10">
        <v>1199.8</v>
      </c>
      <c r="S10">
        <v>0</v>
      </c>
      <c r="T10">
        <v>4799.2</v>
      </c>
      <c r="U10" t="s">
        <v>45</v>
      </c>
    </row>
    <row r="11" spans="1:21" x14ac:dyDescent="0.2">
      <c r="A11" t="s">
        <v>1204</v>
      </c>
      <c r="B11" t="s">
        <v>1211</v>
      </c>
      <c r="C11" t="s">
        <v>1218</v>
      </c>
      <c r="D11" t="s">
        <v>23</v>
      </c>
      <c r="E11" t="s">
        <v>24</v>
      </c>
      <c r="F11" t="s">
        <v>25</v>
      </c>
      <c r="G11" t="s">
        <v>34</v>
      </c>
      <c r="H11" t="s">
        <v>27</v>
      </c>
      <c r="I11">
        <v>8905302263229</v>
      </c>
      <c r="J11" t="s">
        <v>1219</v>
      </c>
      <c r="K11" t="s">
        <v>1220</v>
      </c>
      <c r="L11" t="s">
        <v>1221</v>
      </c>
      <c r="M11" t="s">
        <v>38</v>
      </c>
      <c r="N11">
        <v>5999</v>
      </c>
      <c r="O11">
        <v>5999</v>
      </c>
      <c r="P11">
        <v>1</v>
      </c>
      <c r="Q11">
        <v>5999</v>
      </c>
      <c r="R11">
        <v>1199.8</v>
      </c>
      <c r="S11">
        <v>0</v>
      </c>
      <c r="T11">
        <v>4799.2</v>
      </c>
      <c r="U11" t="s">
        <v>1222</v>
      </c>
    </row>
    <row r="12" spans="1:21" x14ac:dyDescent="0.2">
      <c r="A12" t="s">
        <v>575</v>
      </c>
      <c r="B12" t="s">
        <v>1211</v>
      </c>
      <c r="C12" t="s">
        <v>1223</v>
      </c>
      <c r="D12" t="s">
        <v>23</v>
      </c>
      <c r="E12" t="s">
        <v>24</v>
      </c>
      <c r="F12" t="s">
        <v>25</v>
      </c>
      <c r="G12" t="s">
        <v>34</v>
      </c>
      <c r="H12" t="s">
        <v>27</v>
      </c>
      <c r="I12">
        <v>8905302263347</v>
      </c>
      <c r="J12" t="s">
        <v>1224</v>
      </c>
      <c r="K12" t="s">
        <v>1225</v>
      </c>
      <c r="L12" t="s">
        <v>667</v>
      </c>
      <c r="M12" t="s">
        <v>54</v>
      </c>
      <c r="N12">
        <v>6999</v>
      </c>
      <c r="O12">
        <v>6999</v>
      </c>
      <c r="P12">
        <v>1</v>
      </c>
      <c r="Q12">
        <v>6999</v>
      </c>
      <c r="R12">
        <v>0</v>
      </c>
      <c r="S12">
        <v>0</v>
      </c>
      <c r="T12">
        <v>6999</v>
      </c>
      <c r="U12" t="s">
        <v>254</v>
      </c>
    </row>
    <row r="13" spans="1:21" x14ac:dyDescent="0.2">
      <c r="A13" t="s">
        <v>962</v>
      </c>
      <c r="B13" t="s">
        <v>1230</v>
      </c>
      <c r="C13" t="s">
        <v>1231</v>
      </c>
      <c r="D13" t="s">
        <v>23</v>
      </c>
      <c r="E13" t="s">
        <v>24</v>
      </c>
      <c r="F13" t="s">
        <v>25</v>
      </c>
      <c r="G13" t="s">
        <v>34</v>
      </c>
      <c r="H13" t="s">
        <v>27</v>
      </c>
      <c r="I13">
        <v>8905302263411</v>
      </c>
      <c r="J13" t="s">
        <v>1232</v>
      </c>
      <c r="K13" t="s">
        <v>1233</v>
      </c>
      <c r="L13" t="s">
        <v>1234</v>
      </c>
      <c r="M13" t="s">
        <v>44</v>
      </c>
      <c r="N13">
        <v>6999</v>
      </c>
      <c r="O13">
        <v>6999</v>
      </c>
      <c r="P13">
        <v>1</v>
      </c>
      <c r="Q13">
        <v>6999</v>
      </c>
      <c r="R13">
        <v>1399.8</v>
      </c>
      <c r="S13">
        <v>0</v>
      </c>
      <c r="T13">
        <v>5599.2</v>
      </c>
      <c r="U13" t="s">
        <v>55</v>
      </c>
    </row>
    <row r="14" spans="1:21" x14ac:dyDescent="0.2">
      <c r="A14" t="s">
        <v>962</v>
      </c>
      <c r="B14" t="s">
        <v>1230</v>
      </c>
      <c r="C14" t="s">
        <v>1235</v>
      </c>
      <c r="D14" t="s">
        <v>23</v>
      </c>
      <c r="E14" t="s">
        <v>24</v>
      </c>
      <c r="F14" t="s">
        <v>25</v>
      </c>
      <c r="G14" t="s">
        <v>34</v>
      </c>
      <c r="H14" t="s">
        <v>27</v>
      </c>
      <c r="I14">
        <v>8905302263410</v>
      </c>
      <c r="J14" t="s">
        <v>1236</v>
      </c>
      <c r="K14" t="s">
        <v>1237</v>
      </c>
      <c r="L14" t="s">
        <v>1238</v>
      </c>
      <c r="M14" t="s">
        <v>61</v>
      </c>
      <c r="N14">
        <v>6999</v>
      </c>
      <c r="O14">
        <v>6999</v>
      </c>
      <c r="P14">
        <v>1</v>
      </c>
      <c r="Q14">
        <v>6999</v>
      </c>
      <c r="R14">
        <v>1399.8</v>
      </c>
      <c r="S14">
        <v>0</v>
      </c>
      <c r="T14">
        <v>5599.2</v>
      </c>
      <c r="U14" t="s">
        <v>259</v>
      </c>
    </row>
    <row r="15" spans="1:21" x14ac:dyDescent="0.2">
      <c r="A15" t="s">
        <v>20</v>
      </c>
      <c r="B15" t="s">
        <v>1230</v>
      </c>
      <c r="C15" t="s">
        <v>1239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>
        <v>8905202264835</v>
      </c>
      <c r="J15" t="s">
        <v>552</v>
      </c>
      <c r="K15" t="s">
        <v>553</v>
      </c>
      <c r="L15" t="s">
        <v>53</v>
      </c>
      <c r="M15" t="s">
        <v>54</v>
      </c>
      <c r="N15">
        <v>3995</v>
      </c>
      <c r="O15">
        <v>3995</v>
      </c>
      <c r="P15">
        <v>1</v>
      </c>
      <c r="Q15">
        <v>3995</v>
      </c>
      <c r="R15">
        <v>1598</v>
      </c>
      <c r="S15">
        <v>0</v>
      </c>
      <c r="T15">
        <v>2397</v>
      </c>
      <c r="U15" t="s">
        <v>50</v>
      </c>
    </row>
    <row r="16" spans="1:21" x14ac:dyDescent="0.2">
      <c r="A16" t="s">
        <v>20</v>
      </c>
      <c r="B16" t="s">
        <v>1230</v>
      </c>
      <c r="C16" t="s">
        <v>1239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>
        <v>8905202264873</v>
      </c>
      <c r="J16" t="s">
        <v>130</v>
      </c>
      <c r="K16" t="s">
        <v>131</v>
      </c>
      <c r="L16" t="s">
        <v>94</v>
      </c>
      <c r="M16" t="s">
        <v>44</v>
      </c>
      <c r="N16">
        <v>3995</v>
      </c>
      <c r="O16">
        <v>3995</v>
      </c>
      <c r="P16">
        <v>1</v>
      </c>
      <c r="Q16">
        <v>3995</v>
      </c>
      <c r="R16">
        <v>1598</v>
      </c>
      <c r="S16">
        <v>0</v>
      </c>
      <c r="T16">
        <v>2397</v>
      </c>
      <c r="U16" t="s">
        <v>50</v>
      </c>
    </row>
    <row r="17" spans="1:21" x14ac:dyDescent="0.2">
      <c r="A17" t="s">
        <v>1204</v>
      </c>
      <c r="B17" t="s">
        <v>1230</v>
      </c>
      <c r="C17" t="s">
        <v>1240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8905202264873</v>
      </c>
      <c r="J17" t="s">
        <v>130</v>
      </c>
      <c r="K17" t="s">
        <v>131</v>
      </c>
      <c r="L17" t="s">
        <v>94</v>
      </c>
      <c r="M17" t="s">
        <v>44</v>
      </c>
      <c r="N17">
        <v>3995</v>
      </c>
      <c r="O17">
        <v>3995</v>
      </c>
      <c r="P17">
        <v>1</v>
      </c>
      <c r="Q17">
        <v>3995</v>
      </c>
      <c r="R17">
        <v>1598</v>
      </c>
      <c r="S17">
        <v>0</v>
      </c>
      <c r="T17">
        <v>2397</v>
      </c>
      <c r="U17" t="s">
        <v>55</v>
      </c>
    </row>
    <row r="18" spans="1:21" x14ac:dyDescent="0.2">
      <c r="A18" t="s">
        <v>1204</v>
      </c>
      <c r="B18" t="s">
        <v>1230</v>
      </c>
      <c r="C18" t="s">
        <v>1241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>
        <v>8905202264712</v>
      </c>
      <c r="J18" t="s">
        <v>670</v>
      </c>
      <c r="K18" t="s">
        <v>671</v>
      </c>
      <c r="L18" t="s">
        <v>29</v>
      </c>
      <c r="M18" t="s">
        <v>30</v>
      </c>
      <c r="N18">
        <v>3495</v>
      </c>
      <c r="O18">
        <v>3495</v>
      </c>
      <c r="P18">
        <v>1</v>
      </c>
      <c r="Q18">
        <v>3495</v>
      </c>
      <c r="R18">
        <v>1398</v>
      </c>
      <c r="S18">
        <v>0</v>
      </c>
      <c r="T18">
        <v>2097</v>
      </c>
      <c r="U18" t="s">
        <v>45</v>
      </c>
    </row>
    <row r="19" spans="1:21" x14ac:dyDescent="0.2">
      <c r="A19" t="s">
        <v>1204</v>
      </c>
      <c r="B19" t="s">
        <v>1230</v>
      </c>
      <c r="C19" t="s">
        <v>1242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>
        <v>8905202264675</v>
      </c>
      <c r="J19" t="s">
        <v>481</v>
      </c>
      <c r="K19" t="s">
        <v>480</v>
      </c>
      <c r="L19" t="s">
        <v>53</v>
      </c>
      <c r="M19" t="s">
        <v>54</v>
      </c>
      <c r="N19">
        <v>2995</v>
      </c>
      <c r="O19">
        <v>2995</v>
      </c>
      <c r="P19">
        <v>1</v>
      </c>
      <c r="Q19">
        <v>2995</v>
      </c>
      <c r="R19">
        <v>1198</v>
      </c>
      <c r="S19">
        <v>0</v>
      </c>
      <c r="T19">
        <v>1797</v>
      </c>
      <c r="U19" t="s">
        <v>55</v>
      </c>
    </row>
    <row r="20" spans="1:21" x14ac:dyDescent="0.2">
      <c r="A20" t="s">
        <v>962</v>
      </c>
      <c r="B20" t="s">
        <v>1245</v>
      </c>
      <c r="C20" t="s">
        <v>1246</v>
      </c>
      <c r="D20" t="s">
        <v>23</v>
      </c>
      <c r="E20" t="s">
        <v>24</v>
      </c>
      <c r="F20" t="s">
        <v>64</v>
      </c>
      <c r="G20" t="s">
        <v>65</v>
      </c>
      <c r="H20" t="s">
        <v>27</v>
      </c>
      <c r="I20">
        <v>8905302263359</v>
      </c>
      <c r="J20" t="s">
        <v>1247</v>
      </c>
      <c r="K20" t="s">
        <v>1248</v>
      </c>
      <c r="L20" t="s">
        <v>1017</v>
      </c>
      <c r="M20" t="s">
        <v>44</v>
      </c>
      <c r="N20">
        <v>7999</v>
      </c>
      <c r="O20">
        <v>7999</v>
      </c>
      <c r="P20">
        <v>1</v>
      </c>
      <c r="Q20">
        <v>7999</v>
      </c>
      <c r="R20">
        <v>2399.6999999999998</v>
      </c>
      <c r="S20">
        <v>0</v>
      </c>
      <c r="T20">
        <v>5599.3</v>
      </c>
      <c r="U20" t="s">
        <v>55</v>
      </c>
    </row>
    <row r="21" spans="1:21" x14ac:dyDescent="0.2">
      <c r="A21" t="s">
        <v>962</v>
      </c>
      <c r="B21" t="s">
        <v>1245</v>
      </c>
      <c r="C21" t="s">
        <v>1246</v>
      </c>
      <c r="D21" t="s">
        <v>23</v>
      </c>
      <c r="E21" t="s">
        <v>24</v>
      </c>
      <c r="F21" t="s">
        <v>64</v>
      </c>
      <c r="G21" t="s">
        <v>65</v>
      </c>
      <c r="H21" t="s">
        <v>27</v>
      </c>
      <c r="I21">
        <v>8905302263363</v>
      </c>
      <c r="J21" t="s">
        <v>849</v>
      </c>
      <c r="K21" t="s">
        <v>850</v>
      </c>
      <c r="L21" t="s">
        <v>851</v>
      </c>
      <c r="M21" t="s">
        <v>44</v>
      </c>
      <c r="N21">
        <v>7999</v>
      </c>
      <c r="O21">
        <v>7999</v>
      </c>
      <c r="P21">
        <v>1</v>
      </c>
      <c r="Q21">
        <v>7999</v>
      </c>
      <c r="R21">
        <v>2399.6999999999998</v>
      </c>
      <c r="S21">
        <v>0</v>
      </c>
      <c r="T21">
        <v>5599.3</v>
      </c>
      <c r="U21" t="s">
        <v>55</v>
      </c>
    </row>
    <row r="22" spans="1:21" x14ac:dyDescent="0.2">
      <c r="A22" t="s">
        <v>962</v>
      </c>
      <c r="B22" t="s">
        <v>1245</v>
      </c>
      <c r="C22" t="s">
        <v>1246</v>
      </c>
      <c r="D22" t="s">
        <v>23</v>
      </c>
      <c r="E22" t="s">
        <v>24</v>
      </c>
      <c r="F22" t="s">
        <v>25</v>
      </c>
      <c r="G22" t="s">
        <v>34</v>
      </c>
      <c r="H22" t="s">
        <v>27</v>
      </c>
      <c r="I22">
        <v>8905302263410</v>
      </c>
      <c r="J22" t="s">
        <v>1236</v>
      </c>
      <c r="K22" t="s">
        <v>1237</v>
      </c>
      <c r="L22" t="s">
        <v>1238</v>
      </c>
      <c r="M22" t="s">
        <v>61</v>
      </c>
      <c r="N22">
        <v>6999</v>
      </c>
      <c r="O22">
        <v>6999</v>
      </c>
      <c r="P22">
        <v>1</v>
      </c>
      <c r="Q22">
        <v>6999</v>
      </c>
      <c r="R22">
        <v>1399.8</v>
      </c>
      <c r="S22">
        <v>0</v>
      </c>
      <c r="T22">
        <v>5599.2</v>
      </c>
      <c r="U22" t="s">
        <v>55</v>
      </c>
    </row>
    <row r="23" spans="1:21" x14ac:dyDescent="0.2">
      <c r="A23" t="s">
        <v>962</v>
      </c>
      <c r="B23" t="s">
        <v>1245</v>
      </c>
      <c r="C23" t="s">
        <v>1249</v>
      </c>
      <c r="D23" t="s">
        <v>23</v>
      </c>
      <c r="E23" t="s">
        <v>24</v>
      </c>
      <c r="F23" t="s">
        <v>64</v>
      </c>
      <c r="G23" t="s">
        <v>65</v>
      </c>
      <c r="H23" t="s">
        <v>27</v>
      </c>
      <c r="I23">
        <v>8905302263407</v>
      </c>
      <c r="J23" t="s">
        <v>1250</v>
      </c>
      <c r="K23" t="s">
        <v>1251</v>
      </c>
      <c r="L23" t="s">
        <v>1252</v>
      </c>
      <c r="M23" t="s">
        <v>38</v>
      </c>
      <c r="N23">
        <v>6999</v>
      </c>
      <c r="O23">
        <v>6999</v>
      </c>
      <c r="P23">
        <v>1</v>
      </c>
      <c r="Q23">
        <v>6999</v>
      </c>
      <c r="R23">
        <v>2099.6999999999998</v>
      </c>
      <c r="S23">
        <v>0</v>
      </c>
      <c r="T23">
        <v>4899.3</v>
      </c>
      <c r="U23" t="s">
        <v>55</v>
      </c>
    </row>
    <row r="24" spans="1:21" x14ac:dyDescent="0.2">
      <c r="A24" t="s">
        <v>20</v>
      </c>
      <c r="B24" t="s">
        <v>1245</v>
      </c>
      <c r="C24" t="s">
        <v>1253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>
        <v>8905202264835</v>
      </c>
      <c r="J24" t="s">
        <v>552</v>
      </c>
      <c r="K24" t="s">
        <v>553</v>
      </c>
      <c r="L24" t="s">
        <v>53</v>
      </c>
      <c r="M24" t="s">
        <v>54</v>
      </c>
      <c r="N24">
        <v>3995</v>
      </c>
      <c r="O24">
        <v>3995</v>
      </c>
      <c r="P24">
        <v>1</v>
      </c>
      <c r="Q24">
        <v>3995</v>
      </c>
      <c r="R24">
        <v>1598</v>
      </c>
      <c r="S24">
        <v>0</v>
      </c>
      <c r="T24">
        <v>2397</v>
      </c>
      <c r="U24" t="s">
        <v>50</v>
      </c>
    </row>
    <row r="25" spans="1:21" x14ac:dyDescent="0.2">
      <c r="A25" t="s">
        <v>20</v>
      </c>
      <c r="B25" t="s">
        <v>1245</v>
      </c>
      <c r="C25" t="s">
        <v>1253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>
        <v>8905202265030</v>
      </c>
      <c r="J25" t="s">
        <v>688</v>
      </c>
      <c r="K25" t="s">
        <v>689</v>
      </c>
      <c r="L25" t="s">
        <v>690</v>
      </c>
      <c r="M25" t="s">
        <v>54</v>
      </c>
      <c r="N25">
        <v>2995</v>
      </c>
      <c r="O25">
        <v>2995</v>
      </c>
      <c r="P25">
        <v>1</v>
      </c>
      <c r="Q25">
        <v>2995</v>
      </c>
      <c r="R25">
        <v>1198</v>
      </c>
      <c r="S25">
        <v>0</v>
      </c>
      <c r="T25">
        <v>1797</v>
      </c>
      <c r="U25" t="s">
        <v>50</v>
      </c>
    </row>
    <row r="26" spans="1:21" x14ac:dyDescent="0.2">
      <c r="A26" t="s">
        <v>20</v>
      </c>
      <c r="B26" t="s">
        <v>1245</v>
      </c>
      <c r="C26" t="s">
        <v>1254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>
        <v>8905202269427</v>
      </c>
      <c r="J26" t="s">
        <v>95</v>
      </c>
      <c r="K26" t="s">
        <v>96</v>
      </c>
      <c r="L26" t="s">
        <v>97</v>
      </c>
      <c r="M26" t="s">
        <v>44</v>
      </c>
      <c r="N26">
        <v>3995</v>
      </c>
      <c r="O26">
        <v>3995</v>
      </c>
      <c r="P26">
        <v>1</v>
      </c>
      <c r="Q26">
        <v>3995</v>
      </c>
      <c r="R26">
        <v>1598</v>
      </c>
      <c r="S26">
        <v>0</v>
      </c>
      <c r="T26">
        <v>2397</v>
      </c>
      <c r="U26" t="s">
        <v>50</v>
      </c>
    </row>
    <row r="27" spans="1:21" x14ac:dyDescent="0.2">
      <c r="A27" t="s">
        <v>1204</v>
      </c>
      <c r="B27" t="s">
        <v>1245</v>
      </c>
      <c r="C27" t="s">
        <v>1255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>
        <v>8905302263379</v>
      </c>
      <c r="J27" t="s">
        <v>737</v>
      </c>
      <c r="K27" t="s">
        <v>738</v>
      </c>
      <c r="L27" t="s">
        <v>60</v>
      </c>
      <c r="M27" t="s">
        <v>61</v>
      </c>
      <c r="N27">
        <v>3999</v>
      </c>
      <c r="O27">
        <v>3999</v>
      </c>
      <c r="P27">
        <v>1</v>
      </c>
      <c r="Q27">
        <v>3999</v>
      </c>
      <c r="R27">
        <v>1599.6</v>
      </c>
      <c r="S27">
        <v>0</v>
      </c>
      <c r="T27">
        <v>2399.4</v>
      </c>
      <c r="U27" t="s">
        <v>55</v>
      </c>
    </row>
    <row r="28" spans="1:21" x14ac:dyDescent="0.2">
      <c r="A28" t="s">
        <v>1204</v>
      </c>
      <c r="B28" t="s">
        <v>1256</v>
      </c>
      <c r="C28" t="s">
        <v>1257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>
        <v>8905202264699</v>
      </c>
      <c r="J28" t="s">
        <v>807</v>
      </c>
      <c r="K28" t="s">
        <v>808</v>
      </c>
      <c r="L28" t="s">
        <v>251</v>
      </c>
      <c r="M28" t="s">
        <v>84</v>
      </c>
      <c r="N28">
        <v>2995</v>
      </c>
      <c r="O28">
        <v>2995</v>
      </c>
      <c r="P28">
        <v>1</v>
      </c>
      <c r="Q28">
        <v>2995</v>
      </c>
      <c r="R28">
        <v>1198</v>
      </c>
      <c r="S28">
        <v>0</v>
      </c>
      <c r="T28">
        <v>1797</v>
      </c>
      <c r="U28" t="s">
        <v>50</v>
      </c>
    </row>
    <row r="29" spans="1:21" x14ac:dyDescent="0.2">
      <c r="A29" t="s">
        <v>962</v>
      </c>
      <c r="B29" t="s">
        <v>1258</v>
      </c>
      <c r="C29" t="s">
        <v>135</v>
      </c>
      <c r="D29" t="s">
        <v>23</v>
      </c>
      <c r="E29" t="s">
        <v>24</v>
      </c>
      <c r="F29" t="s">
        <v>25</v>
      </c>
      <c r="G29" t="s">
        <v>34</v>
      </c>
      <c r="H29" t="s">
        <v>27</v>
      </c>
      <c r="I29">
        <v>8905302263411</v>
      </c>
      <c r="J29" t="s">
        <v>1232</v>
      </c>
      <c r="K29" t="s">
        <v>1233</v>
      </c>
      <c r="L29" t="s">
        <v>1234</v>
      </c>
      <c r="M29" t="s">
        <v>44</v>
      </c>
      <c r="N29">
        <v>6999</v>
      </c>
      <c r="O29">
        <v>6999</v>
      </c>
      <c r="P29">
        <v>1</v>
      </c>
      <c r="Q29">
        <v>6999</v>
      </c>
      <c r="R29">
        <v>1399.8</v>
      </c>
      <c r="S29">
        <v>0</v>
      </c>
      <c r="T29">
        <v>5599.2</v>
      </c>
      <c r="U29" t="s">
        <v>55</v>
      </c>
    </row>
    <row r="30" spans="1:21" x14ac:dyDescent="0.2">
      <c r="A30" t="s">
        <v>20</v>
      </c>
      <c r="B30" t="s">
        <v>1258</v>
      </c>
      <c r="C30" t="s">
        <v>605</v>
      </c>
      <c r="D30" t="s">
        <v>23</v>
      </c>
      <c r="E30" t="s">
        <v>24</v>
      </c>
      <c r="F30" t="s">
        <v>25</v>
      </c>
      <c r="G30" t="s">
        <v>34</v>
      </c>
      <c r="H30" t="s">
        <v>27</v>
      </c>
      <c r="I30">
        <v>8905302263285</v>
      </c>
      <c r="J30" t="s">
        <v>754</v>
      </c>
      <c r="K30" t="s">
        <v>755</v>
      </c>
      <c r="L30" t="s">
        <v>756</v>
      </c>
      <c r="M30" t="s">
        <v>61</v>
      </c>
      <c r="N30">
        <v>5999</v>
      </c>
      <c r="O30">
        <v>5999</v>
      </c>
      <c r="P30">
        <v>1</v>
      </c>
      <c r="Q30">
        <v>5999</v>
      </c>
      <c r="R30">
        <v>1199.8</v>
      </c>
      <c r="S30">
        <v>0</v>
      </c>
      <c r="T30">
        <v>4799.2</v>
      </c>
      <c r="U30" t="s">
        <v>50</v>
      </c>
    </row>
    <row r="31" spans="1:21" x14ac:dyDescent="0.2">
      <c r="A31" t="s">
        <v>1204</v>
      </c>
      <c r="B31" t="s">
        <v>1258</v>
      </c>
      <c r="C31" t="s">
        <v>1259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>
        <v>8905202264712</v>
      </c>
      <c r="J31" t="s">
        <v>670</v>
      </c>
      <c r="K31" t="s">
        <v>671</v>
      </c>
      <c r="L31" t="s">
        <v>29</v>
      </c>
      <c r="M31" t="s">
        <v>30</v>
      </c>
      <c r="N31">
        <v>3495</v>
      </c>
      <c r="O31">
        <v>3495</v>
      </c>
      <c r="P31">
        <v>1</v>
      </c>
      <c r="Q31">
        <v>3495</v>
      </c>
      <c r="R31">
        <v>1398</v>
      </c>
      <c r="S31">
        <v>0</v>
      </c>
      <c r="T31">
        <v>2097</v>
      </c>
      <c r="U31" t="s">
        <v>45</v>
      </c>
    </row>
    <row r="32" spans="1:21" x14ac:dyDescent="0.2">
      <c r="A32" t="s">
        <v>1204</v>
      </c>
      <c r="B32" t="s">
        <v>1258</v>
      </c>
      <c r="C32" t="s">
        <v>1259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>
        <v>8905202264859</v>
      </c>
      <c r="J32" t="s">
        <v>249</v>
      </c>
      <c r="K32" t="s">
        <v>250</v>
      </c>
      <c r="L32" t="s">
        <v>251</v>
      </c>
      <c r="M32" t="s">
        <v>84</v>
      </c>
      <c r="N32">
        <v>3995</v>
      </c>
      <c r="O32">
        <v>3995</v>
      </c>
      <c r="P32">
        <v>1</v>
      </c>
      <c r="Q32">
        <v>3995</v>
      </c>
      <c r="R32">
        <v>1598</v>
      </c>
      <c r="S32">
        <v>0</v>
      </c>
      <c r="T32">
        <v>2397</v>
      </c>
      <c r="U32" t="s">
        <v>45</v>
      </c>
    </row>
    <row r="33" spans="1:21" x14ac:dyDescent="0.2">
      <c r="A33" t="s">
        <v>962</v>
      </c>
      <c r="B33" t="s">
        <v>1261</v>
      </c>
      <c r="C33" t="s">
        <v>1262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>
        <v>8905202265030</v>
      </c>
      <c r="J33" t="s">
        <v>688</v>
      </c>
      <c r="K33" t="s">
        <v>689</v>
      </c>
      <c r="L33" t="s">
        <v>690</v>
      </c>
      <c r="M33" t="s">
        <v>54</v>
      </c>
      <c r="N33">
        <v>2995</v>
      </c>
      <c r="O33">
        <v>2995</v>
      </c>
      <c r="P33">
        <v>1</v>
      </c>
      <c r="Q33">
        <v>2995</v>
      </c>
      <c r="R33">
        <v>1198</v>
      </c>
      <c r="S33">
        <v>0</v>
      </c>
      <c r="T33">
        <v>1797</v>
      </c>
      <c r="U33" t="s">
        <v>45</v>
      </c>
    </row>
    <row r="34" spans="1:21" x14ac:dyDescent="0.2">
      <c r="A34" t="s">
        <v>962</v>
      </c>
      <c r="B34" t="s">
        <v>1261</v>
      </c>
      <c r="C34" t="s">
        <v>1263</v>
      </c>
      <c r="D34" t="s">
        <v>23</v>
      </c>
      <c r="E34" t="s">
        <v>24</v>
      </c>
      <c r="F34" t="s">
        <v>25</v>
      </c>
      <c r="G34" t="s">
        <v>34</v>
      </c>
      <c r="H34" t="s">
        <v>27</v>
      </c>
      <c r="I34">
        <v>8905302263263</v>
      </c>
      <c r="J34" t="s">
        <v>1264</v>
      </c>
      <c r="K34" t="s">
        <v>1265</v>
      </c>
      <c r="L34" t="s">
        <v>829</v>
      </c>
      <c r="M34" t="s">
        <v>61</v>
      </c>
      <c r="N34">
        <v>4999</v>
      </c>
      <c r="O34">
        <v>4999</v>
      </c>
      <c r="P34">
        <v>1</v>
      </c>
      <c r="Q34">
        <v>4999</v>
      </c>
      <c r="R34">
        <v>999.8</v>
      </c>
      <c r="S34">
        <v>0</v>
      </c>
      <c r="T34">
        <v>3999.2</v>
      </c>
      <c r="U34" t="s">
        <v>45</v>
      </c>
    </row>
    <row r="35" spans="1:21" x14ac:dyDescent="0.2">
      <c r="A35" t="s">
        <v>1204</v>
      </c>
      <c r="B35" t="s">
        <v>1261</v>
      </c>
      <c r="C35" t="s">
        <v>1266</v>
      </c>
      <c r="D35" t="s">
        <v>23</v>
      </c>
      <c r="E35" t="s">
        <v>24</v>
      </c>
      <c r="F35" t="s">
        <v>25</v>
      </c>
      <c r="G35" t="s">
        <v>34</v>
      </c>
      <c r="H35" t="s">
        <v>27</v>
      </c>
      <c r="I35">
        <v>8905302263273</v>
      </c>
      <c r="J35" t="s">
        <v>1267</v>
      </c>
      <c r="K35" t="s">
        <v>1268</v>
      </c>
      <c r="L35" t="s">
        <v>829</v>
      </c>
      <c r="M35" t="s">
        <v>61</v>
      </c>
      <c r="N35">
        <v>4999</v>
      </c>
      <c r="O35">
        <v>4999</v>
      </c>
      <c r="P35">
        <v>1</v>
      </c>
      <c r="Q35">
        <v>4999</v>
      </c>
      <c r="R35">
        <v>999.8</v>
      </c>
      <c r="S35">
        <v>0</v>
      </c>
      <c r="T35">
        <v>3999.2</v>
      </c>
      <c r="U35" t="s">
        <v>55</v>
      </c>
    </row>
    <row r="36" spans="1:21" x14ac:dyDescent="0.2">
      <c r="A36" t="s">
        <v>1204</v>
      </c>
      <c r="B36" t="s">
        <v>1261</v>
      </c>
      <c r="C36" t="s">
        <v>1269</v>
      </c>
      <c r="D36" t="s">
        <v>23</v>
      </c>
      <c r="E36" t="s">
        <v>24</v>
      </c>
      <c r="F36" t="s">
        <v>25</v>
      </c>
      <c r="G36" t="s">
        <v>34</v>
      </c>
      <c r="H36" t="s">
        <v>27</v>
      </c>
      <c r="I36">
        <v>8905302263252</v>
      </c>
      <c r="J36" t="s">
        <v>1102</v>
      </c>
      <c r="K36" t="s">
        <v>1103</v>
      </c>
      <c r="L36" t="s">
        <v>1104</v>
      </c>
      <c r="M36" t="s">
        <v>44</v>
      </c>
      <c r="N36">
        <v>4999</v>
      </c>
      <c r="O36">
        <v>4999</v>
      </c>
      <c r="P36">
        <v>2</v>
      </c>
      <c r="Q36">
        <v>9998</v>
      </c>
      <c r="R36">
        <v>1999.6</v>
      </c>
      <c r="S36">
        <v>0</v>
      </c>
      <c r="T36">
        <v>7998.4</v>
      </c>
      <c r="U36" t="s">
        <v>55</v>
      </c>
    </row>
    <row r="37" spans="1:21" x14ac:dyDescent="0.2">
      <c r="A37" t="s">
        <v>575</v>
      </c>
      <c r="B37" t="s">
        <v>1261</v>
      </c>
      <c r="C37" t="s">
        <v>1270</v>
      </c>
      <c r="D37" t="s">
        <v>23</v>
      </c>
      <c r="E37" t="s">
        <v>24</v>
      </c>
      <c r="F37" t="s">
        <v>25</v>
      </c>
      <c r="G37" t="s">
        <v>34</v>
      </c>
      <c r="H37" t="s">
        <v>27</v>
      </c>
      <c r="I37">
        <v>8905302263236</v>
      </c>
      <c r="J37" t="s">
        <v>76</v>
      </c>
      <c r="K37" t="s">
        <v>77</v>
      </c>
      <c r="L37" t="s">
        <v>78</v>
      </c>
      <c r="M37" t="s">
        <v>54</v>
      </c>
      <c r="N37">
        <v>5999</v>
      </c>
      <c r="O37">
        <v>5999</v>
      </c>
      <c r="P37">
        <v>1</v>
      </c>
      <c r="Q37">
        <v>5999</v>
      </c>
      <c r="R37">
        <v>1199.8</v>
      </c>
      <c r="S37">
        <v>0</v>
      </c>
      <c r="T37">
        <v>4799.2</v>
      </c>
      <c r="U37" t="s">
        <v>55</v>
      </c>
    </row>
    <row r="38" spans="1:21" x14ac:dyDescent="0.2">
      <c r="A38" t="s">
        <v>1204</v>
      </c>
      <c r="B38" t="s">
        <v>1271</v>
      </c>
      <c r="C38" t="s">
        <v>1272</v>
      </c>
      <c r="D38" t="s">
        <v>23</v>
      </c>
      <c r="E38" t="s">
        <v>24</v>
      </c>
      <c r="F38" t="s">
        <v>25</v>
      </c>
      <c r="G38" t="s">
        <v>34</v>
      </c>
      <c r="H38" t="s">
        <v>27</v>
      </c>
      <c r="I38">
        <v>8905302263304</v>
      </c>
      <c r="J38" t="s">
        <v>928</v>
      </c>
      <c r="K38" t="s">
        <v>929</v>
      </c>
      <c r="L38" t="s">
        <v>829</v>
      </c>
      <c r="M38" t="s">
        <v>61</v>
      </c>
      <c r="N38">
        <v>4999</v>
      </c>
      <c r="O38">
        <v>4999</v>
      </c>
      <c r="P38">
        <v>1</v>
      </c>
      <c r="Q38">
        <v>4999</v>
      </c>
      <c r="R38">
        <v>999.8</v>
      </c>
      <c r="S38">
        <v>0</v>
      </c>
      <c r="T38">
        <v>3999.2</v>
      </c>
      <c r="U38" t="s">
        <v>39</v>
      </c>
    </row>
    <row r="39" spans="1:21" x14ac:dyDescent="0.2">
      <c r="A39" t="s">
        <v>1204</v>
      </c>
      <c r="B39" t="s">
        <v>1271</v>
      </c>
      <c r="C39" t="s">
        <v>1273</v>
      </c>
      <c r="D39" t="s">
        <v>23</v>
      </c>
      <c r="E39" t="s">
        <v>24</v>
      </c>
      <c r="F39" t="s">
        <v>25</v>
      </c>
      <c r="G39" t="s">
        <v>34</v>
      </c>
      <c r="H39" t="s">
        <v>27</v>
      </c>
      <c r="I39">
        <v>8905302263305</v>
      </c>
      <c r="J39" t="s">
        <v>896</v>
      </c>
      <c r="K39" t="s">
        <v>897</v>
      </c>
      <c r="L39" t="s">
        <v>802</v>
      </c>
      <c r="M39" t="s">
        <v>44</v>
      </c>
      <c r="N39">
        <v>4999</v>
      </c>
      <c r="O39">
        <v>4999</v>
      </c>
      <c r="P39">
        <v>1</v>
      </c>
      <c r="Q39">
        <v>4999</v>
      </c>
      <c r="R39">
        <v>999.8</v>
      </c>
      <c r="S39">
        <v>0</v>
      </c>
      <c r="T39">
        <v>3999.2</v>
      </c>
      <c r="U39" t="s">
        <v>50</v>
      </c>
    </row>
    <row r="40" spans="1:21" x14ac:dyDescent="0.2">
      <c r="A40" t="s">
        <v>575</v>
      </c>
      <c r="B40" t="s">
        <v>1271</v>
      </c>
      <c r="C40" t="s">
        <v>1274</v>
      </c>
      <c r="D40" t="s">
        <v>23</v>
      </c>
      <c r="E40" t="s">
        <v>24</v>
      </c>
      <c r="F40" t="s">
        <v>25</v>
      </c>
      <c r="G40" t="s">
        <v>34</v>
      </c>
      <c r="H40" t="s">
        <v>27</v>
      </c>
      <c r="I40">
        <v>8905302263279</v>
      </c>
      <c r="J40" t="s">
        <v>1275</v>
      </c>
      <c r="K40" t="s">
        <v>1276</v>
      </c>
      <c r="L40" t="s">
        <v>817</v>
      </c>
      <c r="M40" t="s">
        <v>44</v>
      </c>
      <c r="N40">
        <v>4499</v>
      </c>
      <c r="O40">
        <v>4499</v>
      </c>
      <c r="P40">
        <v>1</v>
      </c>
      <c r="Q40">
        <v>4499</v>
      </c>
      <c r="R40">
        <v>899.8</v>
      </c>
      <c r="S40">
        <v>0</v>
      </c>
      <c r="T40">
        <v>3599.2</v>
      </c>
      <c r="U40" t="s">
        <v>55</v>
      </c>
    </row>
    <row r="41" spans="1:21" x14ac:dyDescent="0.2">
      <c r="A41" t="s">
        <v>575</v>
      </c>
      <c r="B41" t="s">
        <v>1271</v>
      </c>
      <c r="C41" t="s">
        <v>1274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>
        <v>8905202269083</v>
      </c>
      <c r="J41" t="s">
        <v>189</v>
      </c>
      <c r="K41" t="s">
        <v>190</v>
      </c>
      <c r="L41" t="s">
        <v>191</v>
      </c>
      <c r="M41" t="s">
        <v>61</v>
      </c>
      <c r="N41">
        <v>3495</v>
      </c>
      <c r="O41">
        <v>3495</v>
      </c>
      <c r="P41">
        <v>1</v>
      </c>
      <c r="Q41">
        <v>3495</v>
      </c>
      <c r="R41">
        <v>1398</v>
      </c>
      <c r="S41">
        <v>0</v>
      </c>
      <c r="T41">
        <v>2097</v>
      </c>
      <c r="U41" t="s">
        <v>55</v>
      </c>
    </row>
    <row r="42" spans="1:21" x14ac:dyDescent="0.2">
      <c r="A42" t="s">
        <v>575</v>
      </c>
      <c r="B42" t="s">
        <v>1271</v>
      </c>
      <c r="C42" t="s">
        <v>1274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>
        <v>8905302263433</v>
      </c>
      <c r="J42" t="s">
        <v>1277</v>
      </c>
      <c r="K42" t="s">
        <v>1278</v>
      </c>
      <c r="L42" t="s">
        <v>1279</v>
      </c>
      <c r="M42" t="s">
        <v>44</v>
      </c>
      <c r="N42">
        <v>3999</v>
      </c>
      <c r="O42">
        <v>3999</v>
      </c>
      <c r="P42">
        <v>1</v>
      </c>
      <c r="Q42">
        <v>3999</v>
      </c>
      <c r="R42">
        <v>1599.6</v>
      </c>
      <c r="S42">
        <v>0</v>
      </c>
      <c r="T42">
        <v>2399.4</v>
      </c>
      <c r="U42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000"/>
  <sheetViews>
    <sheetView topLeftCell="A514" zoomScale="150" workbookViewId="0">
      <selection activeCell="A534" sqref="A534"/>
    </sheetView>
  </sheetViews>
  <sheetFormatPr baseColWidth="10" defaultColWidth="10.83203125" defaultRowHeight="15" x14ac:dyDescent="0.2"/>
  <cols>
    <col min="1" max="8" width="28" customWidth="1"/>
    <col min="9" max="9" width="28" style="15" customWidth="1"/>
    <col min="10" max="21" width="28" customWidth="1"/>
    <col min="22" max="22" width="51.1640625" bestFit="1" customWidth="1"/>
  </cols>
  <sheetData>
    <row r="1" spans="1:22" x14ac:dyDescent="0.2">
      <c r="N1" s="61">
        <f t="shared" ref="N1:T1" si="0">SUBTOTAL(9,N3:N244)</f>
        <v>1101154</v>
      </c>
      <c r="O1" s="61">
        <f t="shared" si="0"/>
        <v>1101154</v>
      </c>
      <c r="P1" s="61">
        <f t="shared" si="0"/>
        <v>233</v>
      </c>
      <c r="Q1" s="61">
        <f t="shared" si="0"/>
        <v>1066199</v>
      </c>
      <c r="R1" s="61">
        <f t="shared" si="0"/>
        <v>204062.50000000029</v>
      </c>
      <c r="S1" s="61">
        <f t="shared" si="0"/>
        <v>279.64999999999998</v>
      </c>
      <c r="T1" s="61">
        <f t="shared" si="0"/>
        <v>860808.35000000137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411</v>
      </c>
      <c r="I2" s="15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956</v>
      </c>
      <c r="V2" t="s">
        <v>410</v>
      </c>
    </row>
    <row r="3" spans="1:22" ht="19" x14ac:dyDescent="0.25">
      <c r="A3" t="s">
        <v>62</v>
      </c>
      <c r="B3" t="s">
        <v>242</v>
      </c>
      <c r="C3" t="s">
        <v>243</v>
      </c>
      <c r="D3" t="s">
        <v>23</v>
      </c>
      <c r="E3" t="s">
        <v>24</v>
      </c>
      <c r="F3" t="s">
        <v>25</v>
      </c>
      <c r="G3" t="s">
        <v>26</v>
      </c>
      <c r="H3" s="14" t="str">
        <f t="shared" ref="H3:H66" si="1">TEXT(DATE(RIGHT(B3,4),MID(B3,4,2),LEFT(B3,2)),"mmm")</f>
        <v>Dec</v>
      </c>
      <c r="I3" s="15">
        <v>8905202269458</v>
      </c>
      <c r="J3" t="s">
        <v>244</v>
      </c>
      <c r="K3">
        <v>8905202269458</v>
      </c>
      <c r="L3" t="s">
        <v>245</v>
      </c>
      <c r="M3" t="s">
        <v>38</v>
      </c>
      <c r="N3">
        <v>3995</v>
      </c>
      <c r="O3">
        <v>3995</v>
      </c>
      <c r="P3">
        <v>1</v>
      </c>
      <c r="Q3">
        <v>3995</v>
      </c>
      <c r="R3">
        <v>1198.5</v>
      </c>
      <c r="S3">
        <v>0</v>
      </c>
      <c r="T3">
        <v>2796.5</v>
      </c>
      <c r="U3">
        <f>P3*N3</f>
        <v>3995</v>
      </c>
      <c r="V3" t="str" cm="1">
        <f t="array" ref="V3:V1000">VLOOKUP(I3:I1000,Master!B2:D999,3,0)</f>
        <v>Surfer print  drop shoulder crew neck oversized t-shirt.</v>
      </c>
    </row>
    <row r="4" spans="1:22" ht="19" x14ac:dyDescent="0.25">
      <c r="A4" t="s">
        <v>62</v>
      </c>
      <c r="B4" t="s">
        <v>238</v>
      </c>
      <c r="C4" t="s">
        <v>239</v>
      </c>
      <c r="D4" t="s">
        <v>23</v>
      </c>
      <c r="E4" t="s">
        <v>24</v>
      </c>
      <c r="F4" t="s">
        <v>25</v>
      </c>
      <c r="G4" t="s">
        <v>160</v>
      </c>
      <c r="H4" s="14" t="str">
        <f t="shared" si="1"/>
        <v>Dec</v>
      </c>
      <c r="I4" s="15">
        <v>8905202264590</v>
      </c>
      <c r="J4" t="s">
        <v>240</v>
      </c>
      <c r="K4">
        <v>8905202264590</v>
      </c>
      <c r="L4" t="s">
        <v>227</v>
      </c>
      <c r="M4" t="s">
        <v>44</v>
      </c>
      <c r="N4">
        <v>5995</v>
      </c>
      <c r="O4">
        <v>5995</v>
      </c>
      <c r="P4">
        <v>1</v>
      </c>
      <c r="Q4">
        <v>5995</v>
      </c>
      <c r="R4">
        <v>1798.5</v>
      </c>
      <c r="S4">
        <v>0</v>
      </c>
      <c r="T4">
        <v>4196.5</v>
      </c>
      <c r="U4">
        <f t="shared" ref="U4:U67" si="2">P4*N4</f>
        <v>5995</v>
      </c>
      <c r="V4" t="str">
        <v>Dragon Regular  FLeece Hoodie in Black</v>
      </c>
    </row>
    <row r="5" spans="1:22" ht="19" x14ac:dyDescent="0.25">
      <c r="A5" t="s">
        <v>62</v>
      </c>
      <c r="B5" t="s">
        <v>238</v>
      </c>
      <c r="C5" t="s">
        <v>241</v>
      </c>
      <c r="D5" t="s">
        <v>23</v>
      </c>
      <c r="E5" t="s">
        <v>24</v>
      </c>
      <c r="F5" t="s">
        <v>25</v>
      </c>
      <c r="G5" t="s">
        <v>160</v>
      </c>
      <c r="H5" s="14" t="str">
        <f t="shared" si="1"/>
        <v>Dec</v>
      </c>
      <c r="I5" s="15">
        <v>8905202263142</v>
      </c>
      <c r="J5" t="s">
        <v>165</v>
      </c>
      <c r="K5" t="s">
        <v>166</v>
      </c>
      <c r="L5" t="s">
        <v>167</v>
      </c>
      <c r="M5" t="s">
        <v>54</v>
      </c>
      <c r="N5">
        <v>5495</v>
      </c>
      <c r="O5">
        <v>5495</v>
      </c>
      <c r="P5">
        <v>1</v>
      </c>
      <c r="Q5">
        <v>5495</v>
      </c>
      <c r="R5">
        <v>1648.5</v>
      </c>
      <c r="S5">
        <v>0</v>
      </c>
      <c r="T5">
        <v>3846.5</v>
      </c>
      <c r="U5">
        <f t="shared" si="2"/>
        <v>5495</v>
      </c>
      <c r="V5" t="str">
        <v>Bear Swag Oversized  FLeece Sweatshirt in Cobalt Blue</v>
      </c>
    </row>
    <row r="6" spans="1:22" ht="19" x14ac:dyDescent="0.25">
      <c r="A6" t="s">
        <v>62</v>
      </c>
      <c r="B6" t="s">
        <v>632</v>
      </c>
      <c r="C6" t="s">
        <v>633</v>
      </c>
      <c r="D6" t="s">
        <v>23</v>
      </c>
      <c r="E6" t="s">
        <v>24</v>
      </c>
      <c r="F6" t="s">
        <v>25</v>
      </c>
      <c r="G6" t="s">
        <v>160</v>
      </c>
      <c r="H6" s="14" t="str">
        <f t="shared" si="1"/>
        <v>Dec</v>
      </c>
      <c r="I6" s="15">
        <v>8905202264316</v>
      </c>
      <c r="J6" t="s">
        <v>634</v>
      </c>
      <c r="K6">
        <v>8905202264316</v>
      </c>
      <c r="L6" t="s">
        <v>635</v>
      </c>
      <c r="M6" t="s">
        <v>54</v>
      </c>
      <c r="N6">
        <v>5495</v>
      </c>
      <c r="O6">
        <v>5495</v>
      </c>
      <c r="P6">
        <v>1</v>
      </c>
      <c r="Q6">
        <v>5495</v>
      </c>
      <c r="R6">
        <v>2198</v>
      </c>
      <c r="S6">
        <v>0</v>
      </c>
      <c r="T6">
        <v>3297</v>
      </c>
      <c r="U6">
        <f t="shared" si="2"/>
        <v>5495</v>
      </c>
      <c r="V6" t="str">
        <v>Delusion Oversized  FLeece Sweatshirt in Grey Melange</v>
      </c>
    </row>
    <row r="7" spans="1:22" ht="19" x14ac:dyDescent="0.25">
      <c r="A7" t="s">
        <v>62</v>
      </c>
      <c r="B7" t="s">
        <v>208</v>
      </c>
      <c r="C7" t="s">
        <v>135</v>
      </c>
      <c r="D7" t="s">
        <v>23</v>
      </c>
      <c r="E7" t="s">
        <v>24</v>
      </c>
      <c r="F7" t="s">
        <v>25</v>
      </c>
      <c r="G7" t="s">
        <v>160</v>
      </c>
      <c r="H7" s="14" t="str">
        <f t="shared" si="1"/>
        <v>Jan</v>
      </c>
      <c r="I7" s="15">
        <v>8905202263180</v>
      </c>
      <c r="J7" t="s">
        <v>209</v>
      </c>
      <c r="K7">
        <v>8905202263180</v>
      </c>
      <c r="L7" t="s">
        <v>210</v>
      </c>
      <c r="M7" t="s">
        <v>54</v>
      </c>
      <c r="N7">
        <v>5495</v>
      </c>
      <c r="O7">
        <v>5495</v>
      </c>
      <c r="P7">
        <v>1</v>
      </c>
      <c r="Q7">
        <v>5495</v>
      </c>
      <c r="R7">
        <v>2198</v>
      </c>
      <c r="S7">
        <v>0</v>
      </c>
      <c r="T7">
        <v>3297</v>
      </c>
      <c r="U7">
        <f t="shared" si="2"/>
        <v>5495</v>
      </c>
      <c r="V7" t="str">
        <v>Ramen Cat Oversized  FLeece Sweatshirt in Black</v>
      </c>
    </row>
    <row r="8" spans="1:22" ht="19" x14ac:dyDescent="0.25">
      <c r="A8" t="s">
        <v>62</v>
      </c>
      <c r="B8" t="s">
        <v>201</v>
      </c>
      <c r="C8" t="s">
        <v>202</v>
      </c>
      <c r="D8" t="s">
        <v>23</v>
      </c>
      <c r="E8" t="s">
        <v>24</v>
      </c>
      <c r="F8" t="s">
        <v>25</v>
      </c>
      <c r="G8" t="s">
        <v>26</v>
      </c>
      <c r="H8" s="14" t="str">
        <f t="shared" si="1"/>
        <v>Jan</v>
      </c>
      <c r="I8" s="15">
        <v>8905202264897</v>
      </c>
      <c r="J8" t="s">
        <v>203</v>
      </c>
      <c r="K8">
        <v>8905202264897</v>
      </c>
      <c r="L8" t="s">
        <v>191</v>
      </c>
      <c r="M8" t="s">
        <v>61</v>
      </c>
      <c r="N8">
        <v>2995</v>
      </c>
      <c r="O8">
        <v>2995</v>
      </c>
      <c r="P8">
        <v>1</v>
      </c>
      <c r="Q8">
        <v>2995</v>
      </c>
      <c r="R8">
        <v>599</v>
      </c>
      <c r="S8">
        <v>0</v>
      </c>
      <c r="T8">
        <v>2396</v>
      </c>
      <c r="U8">
        <f t="shared" si="2"/>
        <v>2995</v>
      </c>
      <c r="V8" t="str">
        <v xml:space="preserve"> Ballet Queen Drop Shoulder T-Shirt in White</v>
      </c>
    </row>
    <row r="9" spans="1:22" ht="19" x14ac:dyDescent="0.25">
      <c r="A9" t="s">
        <v>62</v>
      </c>
      <c r="B9" t="s">
        <v>201</v>
      </c>
      <c r="C9" t="s">
        <v>204</v>
      </c>
      <c r="D9" t="s">
        <v>23</v>
      </c>
      <c r="E9" t="s">
        <v>24</v>
      </c>
      <c r="F9" t="s">
        <v>25</v>
      </c>
      <c r="G9" t="s">
        <v>160</v>
      </c>
      <c r="H9" s="14" t="str">
        <f t="shared" si="1"/>
        <v>Jan</v>
      </c>
      <c r="I9" s="15">
        <v>8905202263104</v>
      </c>
      <c r="J9" t="s">
        <v>205</v>
      </c>
      <c r="K9" t="s">
        <v>206</v>
      </c>
      <c r="L9" t="s">
        <v>207</v>
      </c>
      <c r="M9" t="s">
        <v>44</v>
      </c>
      <c r="N9">
        <v>5495</v>
      </c>
      <c r="O9">
        <v>5495</v>
      </c>
      <c r="P9">
        <v>1</v>
      </c>
      <c r="Q9">
        <v>5495</v>
      </c>
      <c r="R9">
        <v>2198</v>
      </c>
      <c r="S9">
        <v>0</v>
      </c>
      <c r="T9">
        <v>3297</v>
      </c>
      <c r="U9">
        <f t="shared" si="2"/>
        <v>5495</v>
      </c>
      <c r="V9" t="str">
        <v>Urban Cheetah Oversized  FLeece Sweatshirt in Red</v>
      </c>
    </row>
    <row r="10" spans="1:22" ht="19" x14ac:dyDescent="0.25">
      <c r="A10" t="s">
        <v>62</v>
      </c>
      <c r="B10" t="s">
        <v>197</v>
      </c>
      <c r="C10" t="s">
        <v>198</v>
      </c>
      <c r="D10" t="s">
        <v>23</v>
      </c>
      <c r="E10" t="s">
        <v>136</v>
      </c>
      <c r="F10" t="s">
        <v>25</v>
      </c>
      <c r="G10" t="s">
        <v>26</v>
      </c>
      <c r="H10" s="14" t="str">
        <f t="shared" si="1"/>
        <v>Jan</v>
      </c>
      <c r="I10" s="15">
        <v>8905202268871</v>
      </c>
      <c r="J10" t="s">
        <v>199</v>
      </c>
      <c r="K10">
        <v>8905202268871</v>
      </c>
      <c r="L10" t="s">
        <v>200</v>
      </c>
      <c r="M10" t="s">
        <v>54</v>
      </c>
      <c r="N10">
        <v>1995</v>
      </c>
      <c r="O10">
        <v>1995</v>
      </c>
      <c r="P10">
        <v>1</v>
      </c>
      <c r="Q10">
        <v>1995</v>
      </c>
      <c r="R10">
        <v>399</v>
      </c>
      <c r="S10">
        <v>0</v>
      </c>
      <c r="T10">
        <v>1596</v>
      </c>
      <c r="U10">
        <f t="shared" si="2"/>
        <v>1995</v>
      </c>
      <c r="V10" t="str">
        <v>Cosmic Intruder Crop - Black</v>
      </c>
    </row>
    <row r="11" spans="1:22" ht="19" x14ac:dyDescent="0.25">
      <c r="A11" t="s">
        <v>62</v>
      </c>
      <c r="B11" t="s">
        <v>195</v>
      </c>
      <c r="C11" t="s">
        <v>196</v>
      </c>
      <c r="D11" t="s">
        <v>23</v>
      </c>
      <c r="E11" t="s">
        <v>24</v>
      </c>
      <c r="F11" t="s">
        <v>25</v>
      </c>
      <c r="G11" t="s">
        <v>26</v>
      </c>
      <c r="H11" s="14" t="str">
        <f t="shared" si="1"/>
        <v>Jan</v>
      </c>
      <c r="I11" s="15">
        <v>8905202269076</v>
      </c>
      <c r="J11" t="s">
        <v>142</v>
      </c>
      <c r="K11" t="s">
        <v>143</v>
      </c>
      <c r="L11" t="s">
        <v>144</v>
      </c>
      <c r="M11" t="s">
        <v>44</v>
      </c>
      <c r="N11">
        <v>3495</v>
      </c>
      <c r="O11">
        <v>3495</v>
      </c>
      <c r="P11">
        <v>1</v>
      </c>
      <c r="Q11">
        <v>3495</v>
      </c>
      <c r="R11">
        <v>0</v>
      </c>
      <c r="S11">
        <v>0</v>
      </c>
      <c r="T11">
        <v>2446.5</v>
      </c>
      <c r="U11">
        <f t="shared" si="2"/>
        <v>3495</v>
      </c>
      <c r="V11" t="str">
        <v>MENS  Oversized  T-Shirt London</v>
      </c>
    </row>
    <row r="12" spans="1:22" ht="19" x14ac:dyDescent="0.25">
      <c r="A12" t="s">
        <v>62</v>
      </c>
      <c r="B12" t="s">
        <v>193</v>
      </c>
      <c r="C12" t="s">
        <v>194</v>
      </c>
      <c r="D12" t="s">
        <v>23</v>
      </c>
      <c r="E12" t="s">
        <v>24</v>
      </c>
      <c r="F12" t="s">
        <v>25</v>
      </c>
      <c r="G12" t="s">
        <v>26</v>
      </c>
      <c r="H12" s="14" t="str">
        <f t="shared" si="1"/>
        <v>Jan</v>
      </c>
      <c r="I12" s="15">
        <v>8905202264729</v>
      </c>
      <c r="J12" t="s">
        <v>28</v>
      </c>
      <c r="K12">
        <v>8905202264729</v>
      </c>
      <c r="L12" t="s">
        <v>29</v>
      </c>
      <c r="M12" t="s">
        <v>30</v>
      </c>
      <c r="N12">
        <v>2995</v>
      </c>
      <c r="O12">
        <v>2995</v>
      </c>
      <c r="P12">
        <v>1</v>
      </c>
      <c r="Q12">
        <v>2995</v>
      </c>
      <c r="R12">
        <v>599</v>
      </c>
      <c r="S12">
        <v>0</v>
      </c>
      <c r="T12">
        <v>2396</v>
      </c>
      <c r="U12">
        <f t="shared" si="2"/>
        <v>2995</v>
      </c>
      <c r="V12" t="str">
        <v xml:space="preserve">X Graphic Terry Free Size Tee in Black </v>
      </c>
    </row>
    <row r="13" spans="1:22" ht="19" x14ac:dyDescent="0.25">
      <c r="A13" t="s">
        <v>62</v>
      </c>
      <c r="B13" t="s">
        <v>187</v>
      </c>
      <c r="C13" t="s">
        <v>188</v>
      </c>
      <c r="D13" t="s">
        <v>23</v>
      </c>
      <c r="E13" t="s">
        <v>24</v>
      </c>
      <c r="F13" t="s">
        <v>25</v>
      </c>
      <c r="G13" t="s">
        <v>26</v>
      </c>
      <c r="H13" s="14" t="str">
        <f t="shared" si="1"/>
        <v>Jan</v>
      </c>
      <c r="I13" s="15">
        <v>8905202269083</v>
      </c>
      <c r="J13" t="s">
        <v>189</v>
      </c>
      <c r="K13" t="s">
        <v>190</v>
      </c>
      <c r="L13" t="s">
        <v>191</v>
      </c>
      <c r="M13" t="s">
        <v>61</v>
      </c>
      <c r="N13">
        <v>3495</v>
      </c>
      <c r="O13">
        <v>3495</v>
      </c>
      <c r="P13">
        <v>1</v>
      </c>
      <c r="Q13">
        <v>3495</v>
      </c>
      <c r="R13">
        <v>699</v>
      </c>
      <c r="S13">
        <v>0</v>
      </c>
      <c r="T13">
        <v>2796</v>
      </c>
      <c r="U13">
        <f t="shared" si="2"/>
        <v>3495</v>
      </c>
      <c r="V13" t="str">
        <v>MENS  Oversized  T-Shirt London</v>
      </c>
    </row>
    <row r="14" spans="1:22" ht="19" x14ac:dyDescent="0.25">
      <c r="A14" t="s">
        <v>62</v>
      </c>
      <c r="B14" t="s">
        <v>187</v>
      </c>
      <c r="C14" t="s">
        <v>188</v>
      </c>
      <c r="D14" t="s">
        <v>23</v>
      </c>
      <c r="E14" t="s">
        <v>24</v>
      </c>
      <c r="F14" t="s">
        <v>25</v>
      </c>
      <c r="G14" t="s">
        <v>26</v>
      </c>
      <c r="H14" s="14" t="str">
        <f t="shared" si="1"/>
        <v>Jan</v>
      </c>
      <c r="I14" s="15">
        <v>8905202269403</v>
      </c>
      <c r="J14" t="s">
        <v>192</v>
      </c>
      <c r="K14">
        <v>8905202269403</v>
      </c>
      <c r="L14" t="s">
        <v>149</v>
      </c>
      <c r="M14" t="s">
        <v>38</v>
      </c>
      <c r="N14">
        <v>4495</v>
      </c>
      <c r="O14">
        <v>4495</v>
      </c>
      <c r="P14">
        <v>1</v>
      </c>
      <c r="Q14">
        <v>4495</v>
      </c>
      <c r="R14">
        <v>899</v>
      </c>
      <c r="S14">
        <v>0</v>
      </c>
      <c r="T14">
        <v>3596</v>
      </c>
      <c r="U14">
        <f t="shared" si="2"/>
        <v>4495</v>
      </c>
      <c r="V14" t="str">
        <v>Extinction Drop Shoulder Terry T-Shirt in Black</v>
      </c>
    </row>
    <row r="15" spans="1:22" ht="19" x14ac:dyDescent="0.25">
      <c r="A15" t="s">
        <v>62</v>
      </c>
      <c r="B15" t="s">
        <v>185</v>
      </c>
      <c r="C15" t="s">
        <v>186</v>
      </c>
      <c r="D15" t="s">
        <v>23</v>
      </c>
      <c r="E15" t="s">
        <v>24</v>
      </c>
      <c r="F15" t="s">
        <v>25</v>
      </c>
      <c r="G15" t="s">
        <v>26</v>
      </c>
      <c r="H15" s="14" t="str">
        <f t="shared" si="1"/>
        <v>Jan</v>
      </c>
      <c r="I15" s="15">
        <v>8905202264729</v>
      </c>
      <c r="J15" t="s">
        <v>28</v>
      </c>
      <c r="K15">
        <v>8905202264729</v>
      </c>
      <c r="L15" t="s">
        <v>29</v>
      </c>
      <c r="M15" t="s">
        <v>30</v>
      </c>
      <c r="N15">
        <v>2995</v>
      </c>
      <c r="O15">
        <v>2995</v>
      </c>
      <c r="P15">
        <v>1</v>
      </c>
      <c r="Q15">
        <v>2995</v>
      </c>
      <c r="R15">
        <v>599</v>
      </c>
      <c r="S15">
        <v>0</v>
      </c>
      <c r="T15">
        <v>2396</v>
      </c>
      <c r="U15">
        <f t="shared" si="2"/>
        <v>2995</v>
      </c>
      <c r="V15" t="str">
        <v xml:space="preserve">X Graphic Terry Free Size Tee in Black </v>
      </c>
    </row>
    <row r="16" spans="1:22" ht="19" x14ac:dyDescent="0.25">
      <c r="A16" t="s">
        <v>62</v>
      </c>
      <c r="B16" t="s">
        <v>178</v>
      </c>
      <c r="C16" t="s">
        <v>179</v>
      </c>
      <c r="D16" t="s">
        <v>23</v>
      </c>
      <c r="E16" t="s">
        <v>24</v>
      </c>
      <c r="F16" t="s">
        <v>25</v>
      </c>
      <c r="G16" t="s">
        <v>26</v>
      </c>
      <c r="H16" s="14" t="str">
        <f t="shared" si="1"/>
        <v>Jan</v>
      </c>
      <c r="I16" s="15">
        <v>8905202265016</v>
      </c>
      <c r="J16" t="s">
        <v>180</v>
      </c>
      <c r="K16">
        <v>8905202265016</v>
      </c>
      <c r="L16" t="s">
        <v>49</v>
      </c>
      <c r="M16" t="s">
        <v>38</v>
      </c>
      <c r="N16">
        <v>2995</v>
      </c>
      <c r="O16">
        <v>2995</v>
      </c>
      <c r="P16">
        <v>1</v>
      </c>
      <c r="Q16">
        <v>2995</v>
      </c>
      <c r="R16">
        <v>599</v>
      </c>
      <c r="S16">
        <v>0</v>
      </c>
      <c r="T16">
        <v>2396</v>
      </c>
      <c r="U16">
        <f t="shared" si="2"/>
        <v>2995</v>
      </c>
      <c r="V16" t="str">
        <v xml:space="preserve"> Ballet Queen Drop Shoulder T-Shirt in White</v>
      </c>
    </row>
    <row r="17" spans="1:22" ht="19" x14ac:dyDescent="0.25">
      <c r="A17" t="s">
        <v>62</v>
      </c>
      <c r="B17" t="s">
        <v>178</v>
      </c>
      <c r="C17" t="s">
        <v>181</v>
      </c>
      <c r="D17" t="s">
        <v>23</v>
      </c>
      <c r="E17" t="s">
        <v>24</v>
      </c>
      <c r="F17" t="s">
        <v>25</v>
      </c>
      <c r="G17" t="s">
        <v>26</v>
      </c>
      <c r="H17" s="14" t="str">
        <f t="shared" si="1"/>
        <v>Jan</v>
      </c>
      <c r="I17" s="15">
        <v>8905202269335</v>
      </c>
      <c r="J17" t="s">
        <v>182</v>
      </c>
      <c r="K17" t="s">
        <v>183</v>
      </c>
      <c r="L17" t="s">
        <v>184</v>
      </c>
      <c r="M17" t="s">
        <v>61</v>
      </c>
      <c r="N17">
        <v>3495</v>
      </c>
      <c r="O17">
        <v>3495</v>
      </c>
      <c r="P17">
        <v>1</v>
      </c>
      <c r="Q17">
        <v>3495</v>
      </c>
      <c r="R17">
        <v>699</v>
      </c>
      <c r="S17">
        <v>0</v>
      </c>
      <c r="T17">
        <v>2796</v>
      </c>
      <c r="U17">
        <f t="shared" si="2"/>
        <v>3495</v>
      </c>
      <c r="V17" t="str">
        <v xml:space="preserve">Delusion Front Full Print drop shoulder oversized T shirt                     </v>
      </c>
    </row>
    <row r="18" spans="1:22" ht="19" x14ac:dyDescent="0.25">
      <c r="A18" t="s">
        <v>62</v>
      </c>
      <c r="B18" t="s">
        <v>175</v>
      </c>
      <c r="C18" t="s">
        <v>176</v>
      </c>
      <c r="D18" t="s">
        <v>23</v>
      </c>
      <c r="E18" t="s">
        <v>24</v>
      </c>
      <c r="F18" t="s">
        <v>25</v>
      </c>
      <c r="G18" t="s">
        <v>26</v>
      </c>
      <c r="H18" s="14" t="str">
        <f t="shared" si="1"/>
        <v>Jan</v>
      </c>
      <c r="I18" s="15">
        <v>8905202269380</v>
      </c>
      <c r="J18" t="s">
        <v>177</v>
      </c>
      <c r="K18">
        <v>8905202269380</v>
      </c>
      <c r="L18" t="s">
        <v>60</v>
      </c>
      <c r="M18" t="s">
        <v>61</v>
      </c>
      <c r="N18">
        <v>4495</v>
      </c>
      <c r="O18">
        <v>4495</v>
      </c>
      <c r="P18">
        <v>1</v>
      </c>
      <c r="Q18">
        <v>4495</v>
      </c>
      <c r="R18">
        <v>899</v>
      </c>
      <c r="S18">
        <v>0</v>
      </c>
      <c r="T18">
        <v>3596</v>
      </c>
      <c r="U18">
        <f t="shared" si="2"/>
        <v>4495</v>
      </c>
      <c r="V18" t="str">
        <v>Extinction Drop Shoulder Terry T-Shirt in Black</v>
      </c>
    </row>
    <row r="19" spans="1:22" ht="19" x14ac:dyDescent="0.25">
      <c r="A19" t="s">
        <v>62</v>
      </c>
      <c r="B19" t="s">
        <v>170</v>
      </c>
      <c r="C19" t="s">
        <v>171</v>
      </c>
      <c r="D19" t="s">
        <v>23</v>
      </c>
      <c r="E19" t="s">
        <v>24</v>
      </c>
      <c r="F19" t="s">
        <v>25</v>
      </c>
      <c r="G19" t="s">
        <v>26</v>
      </c>
      <c r="H19" s="14" t="str">
        <f t="shared" si="1"/>
        <v>Jan</v>
      </c>
      <c r="I19" s="15">
        <v>8905202264811</v>
      </c>
      <c r="J19" t="s">
        <v>172</v>
      </c>
      <c r="K19">
        <v>8905202264811</v>
      </c>
      <c r="L19" t="s">
        <v>173</v>
      </c>
      <c r="M19" t="s">
        <v>38</v>
      </c>
      <c r="N19">
        <v>4495</v>
      </c>
      <c r="O19">
        <v>4495</v>
      </c>
      <c r="P19">
        <v>1</v>
      </c>
      <c r="Q19">
        <v>4495</v>
      </c>
      <c r="R19">
        <v>899</v>
      </c>
      <c r="S19">
        <v>0</v>
      </c>
      <c r="T19">
        <v>3596</v>
      </c>
      <c r="U19">
        <f t="shared" si="2"/>
        <v>4495</v>
      </c>
      <c r="V19" t="str">
        <v xml:space="preserve"> Kitty Gang Oversized T shirt</v>
      </c>
    </row>
    <row r="20" spans="1:22" ht="19" x14ac:dyDescent="0.25">
      <c r="A20" t="s">
        <v>62</v>
      </c>
      <c r="B20" t="s">
        <v>170</v>
      </c>
      <c r="C20" t="s">
        <v>171</v>
      </c>
      <c r="D20" t="s">
        <v>23</v>
      </c>
      <c r="E20" t="s">
        <v>24</v>
      </c>
      <c r="F20" t="s">
        <v>25</v>
      </c>
      <c r="G20" t="s">
        <v>26</v>
      </c>
      <c r="H20" s="14" t="str">
        <f t="shared" si="1"/>
        <v>Jan</v>
      </c>
      <c r="I20" s="15">
        <v>8905202264972</v>
      </c>
      <c r="J20" t="s">
        <v>174</v>
      </c>
      <c r="K20">
        <v>8905202264972</v>
      </c>
      <c r="L20" t="s">
        <v>144</v>
      </c>
      <c r="M20" t="s">
        <v>44</v>
      </c>
      <c r="N20">
        <v>2495</v>
      </c>
      <c r="O20">
        <v>2495</v>
      </c>
      <c r="P20">
        <v>1</v>
      </c>
      <c r="Q20">
        <v>2495</v>
      </c>
      <c r="R20">
        <v>499</v>
      </c>
      <c r="S20">
        <v>0</v>
      </c>
      <c r="T20">
        <v>1996</v>
      </c>
      <c r="U20">
        <f t="shared" si="2"/>
        <v>2495</v>
      </c>
      <c r="V20" t="str">
        <v>Be Crazy not Clown Tshirt</v>
      </c>
    </row>
    <row r="21" spans="1:22" s="48" customFormat="1" ht="19" x14ac:dyDescent="0.25">
      <c r="A21" t="s">
        <v>62</v>
      </c>
      <c r="B21" t="s">
        <v>158</v>
      </c>
      <c r="C21" t="s">
        <v>159</v>
      </c>
      <c r="D21" t="s">
        <v>23</v>
      </c>
      <c r="E21" t="s">
        <v>24</v>
      </c>
      <c r="F21" t="s">
        <v>25</v>
      </c>
      <c r="G21" t="s">
        <v>160</v>
      </c>
      <c r="H21" s="14" t="str">
        <f t="shared" si="1"/>
        <v>Jan</v>
      </c>
      <c r="I21" s="15">
        <v>8905202263135</v>
      </c>
      <c r="J21" t="s">
        <v>161</v>
      </c>
      <c r="K21" t="s">
        <v>162</v>
      </c>
      <c r="L21" t="s">
        <v>163</v>
      </c>
      <c r="M21" t="s">
        <v>38</v>
      </c>
      <c r="N21">
        <v>5495</v>
      </c>
      <c r="O21">
        <v>5495</v>
      </c>
      <c r="P21">
        <v>1</v>
      </c>
      <c r="Q21">
        <v>5495</v>
      </c>
      <c r="R21">
        <v>2198</v>
      </c>
      <c r="S21">
        <v>0</v>
      </c>
      <c r="T21">
        <v>3297</v>
      </c>
      <c r="U21">
        <f t="shared" si="2"/>
        <v>5495</v>
      </c>
      <c r="V21" s="48" t="str">
        <v>Urban Cheetah Oversized  FLeece Sweatshirt in Red</v>
      </c>
    </row>
    <row r="22" spans="1:22" ht="19" x14ac:dyDescent="0.25">
      <c r="A22" t="s">
        <v>62</v>
      </c>
      <c r="B22" t="s">
        <v>158</v>
      </c>
      <c r="C22" t="s">
        <v>164</v>
      </c>
      <c r="D22" t="s">
        <v>23</v>
      </c>
      <c r="E22" t="s">
        <v>24</v>
      </c>
      <c r="F22" t="s">
        <v>25</v>
      </c>
      <c r="G22" t="s">
        <v>160</v>
      </c>
      <c r="H22" s="14" t="str">
        <f t="shared" si="1"/>
        <v>Jan</v>
      </c>
      <c r="I22" s="15">
        <v>8905202263142</v>
      </c>
      <c r="J22" t="s">
        <v>165</v>
      </c>
      <c r="K22" t="s">
        <v>166</v>
      </c>
      <c r="L22" t="s">
        <v>167</v>
      </c>
      <c r="M22" t="s">
        <v>54</v>
      </c>
      <c r="N22">
        <v>5495</v>
      </c>
      <c r="O22">
        <v>5495</v>
      </c>
      <c r="P22">
        <v>1</v>
      </c>
      <c r="Q22">
        <v>5495</v>
      </c>
      <c r="R22">
        <v>2198</v>
      </c>
      <c r="S22">
        <v>0</v>
      </c>
      <c r="T22">
        <v>3297</v>
      </c>
      <c r="U22">
        <f t="shared" si="2"/>
        <v>5495</v>
      </c>
      <c r="V22" t="str">
        <v>Bear Swag Oversized  FLeece Sweatshirt in Cobalt Blue</v>
      </c>
    </row>
    <row r="23" spans="1:22" ht="19" x14ac:dyDescent="0.25">
      <c r="A23" t="s">
        <v>62</v>
      </c>
      <c r="B23" t="s">
        <v>158</v>
      </c>
      <c r="C23" t="s">
        <v>164</v>
      </c>
      <c r="D23" t="s">
        <v>23</v>
      </c>
      <c r="E23" t="s">
        <v>24</v>
      </c>
      <c r="F23" t="s">
        <v>25</v>
      </c>
      <c r="G23" t="s">
        <v>160</v>
      </c>
      <c r="H23" s="14" t="str">
        <f t="shared" si="1"/>
        <v>Jan</v>
      </c>
      <c r="I23" s="15">
        <v>8905202264477</v>
      </c>
      <c r="J23" t="s">
        <v>168</v>
      </c>
      <c r="K23">
        <v>8905202264477</v>
      </c>
      <c r="L23" t="s">
        <v>169</v>
      </c>
      <c r="M23" t="s">
        <v>61</v>
      </c>
      <c r="N23">
        <v>5495</v>
      </c>
      <c r="O23">
        <v>5495</v>
      </c>
      <c r="P23">
        <v>1</v>
      </c>
      <c r="Q23">
        <v>5495</v>
      </c>
      <c r="R23">
        <v>2198</v>
      </c>
      <c r="S23">
        <v>0</v>
      </c>
      <c r="T23">
        <v>3297</v>
      </c>
      <c r="U23">
        <f t="shared" si="2"/>
        <v>5495</v>
      </c>
      <c r="V23" t="str">
        <v>Be Strong Regular  FLeece Sweatshirt in Navy</v>
      </c>
    </row>
    <row r="24" spans="1:22" ht="19" x14ac:dyDescent="0.25">
      <c r="A24" t="s">
        <v>62</v>
      </c>
      <c r="B24" t="s">
        <v>153</v>
      </c>
      <c r="C24" t="s">
        <v>154</v>
      </c>
      <c r="D24" t="s">
        <v>23</v>
      </c>
      <c r="E24" t="s">
        <v>24</v>
      </c>
      <c r="F24" t="s">
        <v>25</v>
      </c>
      <c r="G24" t="s">
        <v>26</v>
      </c>
      <c r="H24" s="14" t="str">
        <f t="shared" si="1"/>
        <v>Jan</v>
      </c>
      <c r="I24" s="15">
        <v>8905202269434</v>
      </c>
      <c r="J24" t="s">
        <v>155</v>
      </c>
      <c r="K24" t="s">
        <v>156</v>
      </c>
      <c r="L24" t="s">
        <v>157</v>
      </c>
      <c r="M24" t="s">
        <v>61</v>
      </c>
      <c r="N24">
        <v>3995</v>
      </c>
      <c r="O24">
        <v>3995</v>
      </c>
      <c r="P24">
        <v>1</v>
      </c>
      <c r="Q24">
        <v>3995</v>
      </c>
      <c r="R24">
        <v>799</v>
      </c>
      <c r="S24">
        <v>0</v>
      </c>
      <c r="T24">
        <v>3196</v>
      </c>
      <c r="U24">
        <f t="shared" si="2"/>
        <v>3995</v>
      </c>
      <c r="V24" t="str">
        <v>Surfer print  drop shoulder crew neck oversized t-shirt.</v>
      </c>
    </row>
    <row r="25" spans="1:22" ht="19" x14ac:dyDescent="0.25">
      <c r="A25" t="s">
        <v>62</v>
      </c>
      <c r="B25" s="48" t="s">
        <v>178</v>
      </c>
      <c r="C25" s="48" t="s">
        <v>188</v>
      </c>
      <c r="D25" s="48" t="s">
        <v>23</v>
      </c>
      <c r="E25" s="48" t="s">
        <v>24</v>
      </c>
      <c r="F25" s="48" t="s">
        <v>25</v>
      </c>
      <c r="G25" s="48" t="s">
        <v>26</v>
      </c>
      <c r="H25" s="14" t="str">
        <f t="shared" si="1"/>
        <v>Jan</v>
      </c>
      <c r="I25" s="106">
        <v>8905202269403</v>
      </c>
      <c r="J25" s="48" t="s">
        <v>192</v>
      </c>
      <c r="K25" s="48">
        <v>8905202269403</v>
      </c>
      <c r="L25" s="48" t="s">
        <v>149</v>
      </c>
      <c r="M25" s="48" t="s">
        <v>38</v>
      </c>
      <c r="N25" s="48">
        <v>4495</v>
      </c>
      <c r="O25" s="48">
        <v>4495</v>
      </c>
      <c r="P25" s="48">
        <v>-1</v>
      </c>
      <c r="Q25" s="48">
        <v>-4495</v>
      </c>
      <c r="R25" s="48">
        <v>-899</v>
      </c>
      <c r="S25" s="48">
        <v>0</v>
      </c>
      <c r="T25" s="48">
        <v>-3596</v>
      </c>
      <c r="U25">
        <f t="shared" si="2"/>
        <v>-4495</v>
      </c>
      <c r="V25" t="str">
        <v>Extinction Drop Shoulder Terry T-Shirt in Black</v>
      </c>
    </row>
    <row r="26" spans="1:22" ht="19" x14ac:dyDescent="0.25">
      <c r="A26" t="s">
        <v>62</v>
      </c>
      <c r="B26" t="s">
        <v>211</v>
      </c>
      <c r="C26" t="s">
        <v>212</v>
      </c>
      <c r="D26" t="s">
        <v>23</v>
      </c>
      <c r="E26" t="s">
        <v>24</v>
      </c>
      <c r="F26" t="s">
        <v>25</v>
      </c>
      <c r="G26" t="s">
        <v>26</v>
      </c>
      <c r="H26" s="14" t="str">
        <f t="shared" si="1"/>
        <v>Feb</v>
      </c>
      <c r="I26" s="15">
        <v>8905202265047</v>
      </c>
      <c r="J26" t="s">
        <v>213</v>
      </c>
      <c r="K26" t="s">
        <v>214</v>
      </c>
      <c r="L26" t="s">
        <v>184</v>
      </c>
      <c r="M26" t="s">
        <v>61</v>
      </c>
      <c r="N26">
        <v>2995</v>
      </c>
      <c r="O26">
        <v>2995</v>
      </c>
      <c r="P26">
        <v>1</v>
      </c>
      <c r="Q26">
        <v>2995</v>
      </c>
      <c r="R26">
        <v>0</v>
      </c>
      <c r="S26">
        <v>0</v>
      </c>
      <c r="T26">
        <v>2995</v>
      </c>
      <c r="U26">
        <f t="shared" si="2"/>
        <v>2995</v>
      </c>
      <c r="V26" t="str">
        <v xml:space="preserve">Stamp Tshirt in Blue </v>
      </c>
    </row>
    <row r="27" spans="1:22" ht="19" x14ac:dyDescent="0.25">
      <c r="A27" t="s">
        <v>62</v>
      </c>
      <c r="B27" t="s">
        <v>215</v>
      </c>
      <c r="C27" t="s">
        <v>216</v>
      </c>
      <c r="D27" t="s">
        <v>23</v>
      </c>
      <c r="E27" t="s">
        <v>24</v>
      </c>
      <c r="F27" t="s">
        <v>25</v>
      </c>
      <c r="G27" t="s">
        <v>26</v>
      </c>
      <c r="H27" s="14" t="str">
        <f t="shared" si="1"/>
        <v>Feb</v>
      </c>
      <c r="I27" s="15">
        <v>8905202264774</v>
      </c>
      <c r="J27" t="s">
        <v>217</v>
      </c>
      <c r="K27" t="s">
        <v>218</v>
      </c>
      <c r="L27" t="s">
        <v>144</v>
      </c>
      <c r="M27" t="s">
        <v>44</v>
      </c>
      <c r="N27">
        <v>2495</v>
      </c>
      <c r="O27">
        <v>2495</v>
      </c>
      <c r="P27">
        <v>1</v>
      </c>
      <c r="Q27">
        <v>2495</v>
      </c>
      <c r="R27">
        <v>748.5</v>
      </c>
      <c r="S27">
        <v>0</v>
      </c>
      <c r="T27">
        <v>1746.5</v>
      </c>
      <c r="U27">
        <f t="shared" si="2"/>
        <v>2495</v>
      </c>
      <c r="V27" s="47" t="str">
        <v xml:space="preserve"> Pixel print drop  oversized unisex T shirt                     </v>
      </c>
    </row>
    <row r="28" spans="1:22" ht="19" x14ac:dyDescent="0.25">
      <c r="A28" t="s">
        <v>62</v>
      </c>
      <c r="B28" t="s">
        <v>219</v>
      </c>
      <c r="C28" t="s">
        <v>220</v>
      </c>
      <c r="D28" t="s">
        <v>23</v>
      </c>
      <c r="E28" t="s">
        <v>24</v>
      </c>
      <c r="F28" t="s">
        <v>25</v>
      </c>
      <c r="G28" t="s">
        <v>26</v>
      </c>
      <c r="H28" s="14" t="str">
        <f t="shared" si="1"/>
        <v>Feb</v>
      </c>
      <c r="I28" s="15">
        <v>8905202264743</v>
      </c>
      <c r="J28" t="s">
        <v>221</v>
      </c>
      <c r="K28" t="s">
        <v>222</v>
      </c>
      <c r="L28" t="s">
        <v>191</v>
      </c>
      <c r="M28" t="s">
        <v>61</v>
      </c>
      <c r="N28">
        <v>2495</v>
      </c>
      <c r="O28">
        <v>2495</v>
      </c>
      <c r="P28">
        <v>1</v>
      </c>
      <c r="Q28">
        <v>2495</v>
      </c>
      <c r="R28">
        <v>748.5</v>
      </c>
      <c r="S28">
        <v>0</v>
      </c>
      <c r="T28">
        <v>1746.5</v>
      </c>
      <c r="U28">
        <f t="shared" si="2"/>
        <v>2495</v>
      </c>
      <c r="V28" t="str">
        <v xml:space="preserve"> Pixel print drop  oversized unisex T shirt                     </v>
      </c>
    </row>
    <row r="29" spans="1:22" ht="19" x14ac:dyDescent="0.25">
      <c r="A29" t="s">
        <v>62</v>
      </c>
      <c r="B29" t="s">
        <v>219</v>
      </c>
      <c r="C29" t="s">
        <v>223</v>
      </c>
      <c r="D29" t="s">
        <v>23</v>
      </c>
      <c r="E29" t="s">
        <v>24</v>
      </c>
      <c r="F29" t="s">
        <v>25</v>
      </c>
      <c r="G29" t="s">
        <v>26</v>
      </c>
      <c r="H29" s="14" t="str">
        <f t="shared" si="1"/>
        <v>Feb</v>
      </c>
      <c r="I29" s="15">
        <v>8905202269434</v>
      </c>
      <c r="J29" t="s">
        <v>155</v>
      </c>
      <c r="K29" t="s">
        <v>156</v>
      </c>
      <c r="L29" t="s">
        <v>157</v>
      </c>
      <c r="M29" t="s">
        <v>61</v>
      </c>
      <c r="N29">
        <v>3995</v>
      </c>
      <c r="O29">
        <v>3995</v>
      </c>
      <c r="P29">
        <v>1</v>
      </c>
      <c r="Q29">
        <v>3995</v>
      </c>
      <c r="R29">
        <v>1198.5</v>
      </c>
      <c r="S29">
        <v>279.64999999999998</v>
      </c>
      <c r="T29">
        <v>2516.85</v>
      </c>
      <c r="U29">
        <f t="shared" si="2"/>
        <v>3995</v>
      </c>
      <c r="V29" t="str">
        <v>Surfer print  drop shoulder crew neck oversized t-shirt.</v>
      </c>
    </row>
    <row r="30" spans="1:22" ht="19" x14ac:dyDescent="0.25">
      <c r="A30" t="s">
        <v>62</v>
      </c>
      <c r="B30" t="s">
        <v>224</v>
      </c>
      <c r="C30" t="s">
        <v>225</v>
      </c>
      <c r="D30" t="s">
        <v>23</v>
      </c>
      <c r="E30" t="s">
        <v>24</v>
      </c>
      <c r="F30" t="s">
        <v>25</v>
      </c>
      <c r="G30" t="s">
        <v>160</v>
      </c>
      <c r="H30" s="14" t="str">
        <f t="shared" si="1"/>
        <v>Feb</v>
      </c>
      <c r="I30" s="15">
        <v>8905202264378</v>
      </c>
      <c r="J30" t="s">
        <v>226</v>
      </c>
      <c r="K30">
        <v>8905202264378</v>
      </c>
      <c r="L30" t="s">
        <v>227</v>
      </c>
      <c r="M30" t="s">
        <v>44</v>
      </c>
      <c r="N30">
        <v>5495</v>
      </c>
      <c r="O30">
        <v>5495</v>
      </c>
      <c r="P30">
        <v>1</v>
      </c>
      <c r="Q30">
        <v>5495</v>
      </c>
      <c r="R30">
        <v>2747.5</v>
      </c>
      <c r="S30">
        <v>0</v>
      </c>
      <c r="T30">
        <v>2747.5</v>
      </c>
      <c r="U30">
        <f t="shared" si="2"/>
        <v>5495</v>
      </c>
      <c r="V30" t="str">
        <v>Ramen Cat Oversized  FLeece Sweatshirt in Black</v>
      </c>
    </row>
    <row r="31" spans="1:22" ht="19" x14ac:dyDescent="0.25">
      <c r="A31" t="s">
        <v>62</v>
      </c>
      <c r="B31" t="s">
        <v>228</v>
      </c>
      <c r="C31" t="s">
        <v>229</v>
      </c>
      <c r="D31" t="s">
        <v>23</v>
      </c>
      <c r="E31" t="s">
        <v>24</v>
      </c>
      <c r="F31" t="s">
        <v>25</v>
      </c>
      <c r="G31" t="s">
        <v>160</v>
      </c>
      <c r="H31" s="14" t="str">
        <f t="shared" si="1"/>
        <v>Feb</v>
      </c>
      <c r="I31" s="15">
        <v>8905202263104</v>
      </c>
      <c r="J31" t="s">
        <v>205</v>
      </c>
      <c r="K31" t="s">
        <v>206</v>
      </c>
      <c r="L31" t="s">
        <v>207</v>
      </c>
      <c r="M31" t="s">
        <v>44</v>
      </c>
      <c r="N31">
        <v>5495</v>
      </c>
      <c r="O31">
        <v>5495</v>
      </c>
      <c r="P31">
        <v>1</v>
      </c>
      <c r="Q31">
        <v>5495</v>
      </c>
      <c r="R31">
        <v>2747.5</v>
      </c>
      <c r="S31">
        <v>0</v>
      </c>
      <c r="T31">
        <v>2747.5</v>
      </c>
      <c r="U31">
        <f t="shared" si="2"/>
        <v>5495</v>
      </c>
      <c r="V31" t="str">
        <v>Urban Cheetah Oversized  FLeece Sweatshirt in Red</v>
      </c>
    </row>
    <row r="32" spans="1:22" ht="19" x14ac:dyDescent="0.25">
      <c r="A32" t="s">
        <v>62</v>
      </c>
      <c r="B32" t="s">
        <v>230</v>
      </c>
      <c r="C32" t="s">
        <v>231</v>
      </c>
      <c r="D32" t="s">
        <v>23</v>
      </c>
      <c r="E32" t="s">
        <v>24</v>
      </c>
      <c r="F32" t="s">
        <v>25</v>
      </c>
      <c r="G32" t="s">
        <v>26</v>
      </c>
      <c r="H32" s="14" t="str">
        <f t="shared" si="1"/>
        <v>Feb</v>
      </c>
      <c r="I32" s="15">
        <v>8905202264927</v>
      </c>
      <c r="J32" t="s">
        <v>232</v>
      </c>
      <c r="K32" t="s">
        <v>233</v>
      </c>
      <c r="L32" t="s">
        <v>123</v>
      </c>
      <c r="M32" t="s">
        <v>44</v>
      </c>
      <c r="N32">
        <v>2995</v>
      </c>
      <c r="O32">
        <v>2995</v>
      </c>
      <c r="P32">
        <v>1</v>
      </c>
      <c r="Q32">
        <v>2995</v>
      </c>
      <c r="R32">
        <v>898.5</v>
      </c>
      <c r="S32">
        <v>0</v>
      </c>
      <c r="T32">
        <v>2096.5</v>
      </c>
      <c r="U32">
        <f t="shared" si="2"/>
        <v>2995</v>
      </c>
      <c r="V32" t="str">
        <v xml:space="preserve">Stamp Tshirt in Blue </v>
      </c>
    </row>
    <row r="33" spans="1:22" ht="19" x14ac:dyDescent="0.25">
      <c r="A33" t="s">
        <v>62</v>
      </c>
      <c r="B33" t="s">
        <v>234</v>
      </c>
      <c r="C33" t="s">
        <v>235</v>
      </c>
      <c r="D33" t="s">
        <v>23</v>
      </c>
      <c r="E33" t="s">
        <v>24</v>
      </c>
      <c r="F33" t="s">
        <v>25</v>
      </c>
      <c r="G33" t="s">
        <v>160</v>
      </c>
      <c r="H33" s="14" t="str">
        <f t="shared" si="1"/>
        <v>Feb</v>
      </c>
      <c r="I33" s="15">
        <v>8905202264293</v>
      </c>
      <c r="J33" t="s">
        <v>236</v>
      </c>
      <c r="K33">
        <v>8905202264293</v>
      </c>
      <c r="L33" t="s">
        <v>237</v>
      </c>
      <c r="M33" t="s">
        <v>61</v>
      </c>
      <c r="N33">
        <v>5495</v>
      </c>
      <c r="O33">
        <v>5495</v>
      </c>
      <c r="P33">
        <v>1</v>
      </c>
      <c r="Q33">
        <v>5495</v>
      </c>
      <c r="R33">
        <v>0</v>
      </c>
      <c r="S33">
        <v>0</v>
      </c>
      <c r="T33">
        <v>5495</v>
      </c>
      <c r="U33">
        <f t="shared" si="2"/>
        <v>5495</v>
      </c>
      <c r="V33" t="str">
        <v>Ramen Cat Oversized  FLeece Sweatshirt in Black</v>
      </c>
    </row>
    <row r="34" spans="1:22" ht="19" x14ac:dyDescent="0.25">
      <c r="A34" t="s">
        <v>62</v>
      </c>
      <c r="B34" s="48" t="s">
        <v>228</v>
      </c>
      <c r="C34" s="48" t="s">
        <v>231</v>
      </c>
      <c r="D34" s="48" t="s">
        <v>23</v>
      </c>
      <c r="E34" s="48" t="s">
        <v>24</v>
      </c>
      <c r="F34" s="48" t="s">
        <v>25</v>
      </c>
      <c r="G34" s="48" t="s">
        <v>26</v>
      </c>
      <c r="H34" s="14" t="str">
        <f t="shared" si="1"/>
        <v>Feb</v>
      </c>
      <c r="I34" s="106">
        <v>8905202264927</v>
      </c>
      <c r="J34" s="48" t="s">
        <v>232</v>
      </c>
      <c r="K34" s="48" t="s">
        <v>233</v>
      </c>
      <c r="L34" s="48" t="s">
        <v>123</v>
      </c>
      <c r="M34" s="48" t="s">
        <v>44</v>
      </c>
      <c r="N34" s="48">
        <v>2995</v>
      </c>
      <c r="O34" s="48">
        <v>2995</v>
      </c>
      <c r="P34" s="48">
        <v>-1</v>
      </c>
      <c r="Q34" s="48">
        <v>-2995</v>
      </c>
      <c r="R34" s="48">
        <v>-898.5</v>
      </c>
      <c r="S34" s="48">
        <v>0</v>
      </c>
      <c r="T34" s="48">
        <v>-2096.5</v>
      </c>
      <c r="U34">
        <f t="shared" si="2"/>
        <v>-2995</v>
      </c>
      <c r="V34" t="str">
        <v xml:space="preserve">Stamp Tshirt in Blue </v>
      </c>
    </row>
    <row r="35" spans="1:22" ht="19" x14ac:dyDescent="0.25">
      <c r="A35" t="s">
        <v>62</v>
      </c>
      <c r="B35" t="s">
        <v>134</v>
      </c>
      <c r="C35" t="s">
        <v>135</v>
      </c>
      <c r="D35" t="s">
        <v>23</v>
      </c>
      <c r="E35" t="s">
        <v>136</v>
      </c>
      <c r="F35" t="s">
        <v>25</v>
      </c>
      <c r="G35" t="s">
        <v>26</v>
      </c>
      <c r="H35" s="14" t="str">
        <f t="shared" si="1"/>
        <v>Mar</v>
      </c>
      <c r="I35" s="15">
        <v>8905202268901</v>
      </c>
      <c r="J35" t="s">
        <v>137</v>
      </c>
      <c r="K35">
        <v>8905202268901</v>
      </c>
      <c r="L35" t="s">
        <v>138</v>
      </c>
      <c r="M35" t="s">
        <v>61</v>
      </c>
      <c r="N35">
        <v>1995</v>
      </c>
      <c r="O35">
        <v>1995</v>
      </c>
      <c r="P35">
        <v>1</v>
      </c>
      <c r="Q35">
        <v>1995</v>
      </c>
      <c r="R35">
        <v>0</v>
      </c>
      <c r="S35">
        <v>0</v>
      </c>
      <c r="T35">
        <v>1995</v>
      </c>
      <c r="U35">
        <f t="shared" si="2"/>
        <v>1995</v>
      </c>
      <c r="V35" t="str">
        <v>Cosmic Intruder Crop - Black</v>
      </c>
    </row>
    <row r="36" spans="1:22" ht="19" x14ac:dyDescent="0.25">
      <c r="A36" t="s">
        <v>62</v>
      </c>
      <c r="B36" t="s">
        <v>134</v>
      </c>
      <c r="C36" t="s">
        <v>135</v>
      </c>
      <c r="D36" t="s">
        <v>23</v>
      </c>
      <c r="E36" t="s">
        <v>136</v>
      </c>
      <c r="F36" t="s">
        <v>25</v>
      </c>
      <c r="G36" t="s">
        <v>26</v>
      </c>
      <c r="H36" s="14" t="str">
        <f t="shared" si="1"/>
        <v>Mar</v>
      </c>
      <c r="I36" s="15">
        <v>8905202269250</v>
      </c>
      <c r="J36" t="s">
        <v>139</v>
      </c>
      <c r="K36">
        <v>8905202269250</v>
      </c>
      <c r="L36" t="s">
        <v>140</v>
      </c>
      <c r="M36" t="s">
        <v>61</v>
      </c>
      <c r="N36">
        <v>1995</v>
      </c>
      <c r="O36">
        <v>1995</v>
      </c>
      <c r="P36">
        <v>1</v>
      </c>
      <c r="Q36">
        <v>1995</v>
      </c>
      <c r="R36">
        <v>0</v>
      </c>
      <c r="S36">
        <v>0</v>
      </c>
      <c r="T36">
        <v>1995</v>
      </c>
      <c r="U36">
        <f t="shared" si="2"/>
        <v>1995</v>
      </c>
      <c r="V36" t="str">
        <v>Core Crop Red</v>
      </c>
    </row>
    <row r="37" spans="1:22" ht="19" x14ac:dyDescent="0.25">
      <c r="A37" t="s">
        <v>62</v>
      </c>
      <c r="B37" t="s">
        <v>134</v>
      </c>
      <c r="C37" t="s">
        <v>141</v>
      </c>
      <c r="D37" t="s">
        <v>23</v>
      </c>
      <c r="E37" t="s">
        <v>24</v>
      </c>
      <c r="F37" t="s">
        <v>25</v>
      </c>
      <c r="G37" t="s">
        <v>26</v>
      </c>
      <c r="H37" s="14" t="str">
        <f t="shared" si="1"/>
        <v>Mar</v>
      </c>
      <c r="I37" s="15">
        <v>8905202269076</v>
      </c>
      <c r="J37" t="s">
        <v>142</v>
      </c>
      <c r="K37" t="s">
        <v>143</v>
      </c>
      <c r="L37" t="s">
        <v>144</v>
      </c>
      <c r="M37" t="s">
        <v>44</v>
      </c>
      <c r="N37">
        <v>3495</v>
      </c>
      <c r="O37">
        <v>3495</v>
      </c>
      <c r="P37">
        <v>1</v>
      </c>
      <c r="Q37">
        <v>3495</v>
      </c>
      <c r="R37">
        <v>0</v>
      </c>
      <c r="S37">
        <v>0</v>
      </c>
      <c r="T37">
        <v>3495</v>
      </c>
      <c r="U37">
        <f t="shared" si="2"/>
        <v>3495</v>
      </c>
      <c r="V37" t="str">
        <v>MENS  Oversized  T-Shirt London</v>
      </c>
    </row>
    <row r="38" spans="1:22" ht="19" x14ac:dyDescent="0.25">
      <c r="A38" t="s">
        <v>62</v>
      </c>
      <c r="B38" t="s">
        <v>134</v>
      </c>
      <c r="C38" t="s">
        <v>146</v>
      </c>
      <c r="D38" t="s">
        <v>23</v>
      </c>
      <c r="E38" t="s">
        <v>24</v>
      </c>
      <c r="F38" t="s">
        <v>25</v>
      </c>
      <c r="G38" t="s">
        <v>26</v>
      </c>
      <c r="H38" s="14" t="str">
        <f t="shared" si="1"/>
        <v>Mar</v>
      </c>
      <c r="I38" s="15">
        <v>8905202264866</v>
      </c>
      <c r="J38" t="s">
        <v>147</v>
      </c>
      <c r="K38" t="s">
        <v>148</v>
      </c>
      <c r="L38" t="s">
        <v>149</v>
      </c>
      <c r="M38" t="s">
        <v>38</v>
      </c>
      <c r="N38">
        <v>3995</v>
      </c>
      <c r="O38">
        <v>3995</v>
      </c>
      <c r="P38">
        <v>1</v>
      </c>
      <c r="Q38">
        <v>3995</v>
      </c>
      <c r="R38">
        <v>0</v>
      </c>
      <c r="S38">
        <v>0</v>
      </c>
      <c r="T38">
        <v>3995</v>
      </c>
      <c r="U38">
        <f t="shared" si="2"/>
        <v>3995</v>
      </c>
      <c r="V38" t="str">
        <v xml:space="preserve"> Psy Bear  Terry Drop Shoulder T-Shirt in Black </v>
      </c>
    </row>
    <row r="39" spans="1:22" ht="19" x14ac:dyDescent="0.25">
      <c r="A39" t="s">
        <v>62</v>
      </c>
      <c r="B39" t="s">
        <v>132</v>
      </c>
      <c r="C39" t="s">
        <v>133</v>
      </c>
      <c r="D39" t="s">
        <v>23</v>
      </c>
      <c r="E39" t="s">
        <v>24</v>
      </c>
      <c r="F39" t="s">
        <v>25</v>
      </c>
      <c r="G39" t="s">
        <v>26</v>
      </c>
      <c r="H39" s="14" t="str">
        <f t="shared" si="1"/>
        <v>Mar</v>
      </c>
      <c r="I39" s="15">
        <v>8905202269328</v>
      </c>
      <c r="J39" t="s">
        <v>121</v>
      </c>
      <c r="K39" t="s">
        <v>122</v>
      </c>
      <c r="L39" t="s">
        <v>123</v>
      </c>
      <c r="M39" t="s">
        <v>44</v>
      </c>
      <c r="N39">
        <v>3495</v>
      </c>
      <c r="O39">
        <v>3495</v>
      </c>
      <c r="P39">
        <v>1</v>
      </c>
      <c r="Q39">
        <v>3495</v>
      </c>
      <c r="R39">
        <v>0</v>
      </c>
      <c r="S39">
        <v>0</v>
      </c>
      <c r="T39">
        <v>3495</v>
      </c>
      <c r="U39">
        <f t="shared" si="2"/>
        <v>3495</v>
      </c>
      <c r="V39" t="str">
        <v xml:space="preserve">Delusion Front Full Print drop shoulder oversized T shirt                     </v>
      </c>
    </row>
    <row r="40" spans="1:22" ht="19" x14ac:dyDescent="0.25">
      <c r="A40" t="s">
        <v>62</v>
      </c>
      <c r="B40" t="s">
        <v>128</v>
      </c>
      <c r="C40" t="s">
        <v>129</v>
      </c>
      <c r="D40" t="s">
        <v>23</v>
      </c>
      <c r="E40" t="s">
        <v>24</v>
      </c>
      <c r="F40" t="s">
        <v>25</v>
      </c>
      <c r="G40" t="s">
        <v>26</v>
      </c>
      <c r="H40" s="14" t="str">
        <f t="shared" si="1"/>
        <v>Mar</v>
      </c>
      <c r="I40" s="15">
        <v>8905202264873</v>
      </c>
      <c r="J40" t="s">
        <v>130</v>
      </c>
      <c r="K40" t="s">
        <v>131</v>
      </c>
      <c r="L40" t="s">
        <v>94</v>
      </c>
      <c r="M40" t="s">
        <v>44</v>
      </c>
      <c r="N40">
        <v>3995</v>
      </c>
      <c r="O40">
        <v>3995</v>
      </c>
      <c r="P40">
        <v>1</v>
      </c>
      <c r="Q40">
        <v>3995</v>
      </c>
      <c r="R40">
        <v>0</v>
      </c>
      <c r="S40">
        <v>0</v>
      </c>
      <c r="T40">
        <v>3995</v>
      </c>
      <c r="U40">
        <f t="shared" si="2"/>
        <v>3995</v>
      </c>
      <c r="V40" t="str">
        <v xml:space="preserve"> Psy Bear  Terry Drop Shoulder T-Shirt in Black </v>
      </c>
    </row>
    <row r="41" spans="1:22" ht="19" x14ac:dyDescent="0.25">
      <c r="A41" t="s">
        <v>62</v>
      </c>
      <c r="B41" t="s">
        <v>124</v>
      </c>
      <c r="C41" t="s">
        <v>125</v>
      </c>
      <c r="D41" t="s">
        <v>23</v>
      </c>
      <c r="E41" t="s">
        <v>24</v>
      </c>
      <c r="F41" t="s">
        <v>25</v>
      </c>
      <c r="G41" t="s">
        <v>26</v>
      </c>
      <c r="H41" s="14" t="str">
        <f t="shared" si="1"/>
        <v>Mar</v>
      </c>
      <c r="I41" s="15">
        <v>8905202269359</v>
      </c>
      <c r="J41" t="s">
        <v>126</v>
      </c>
      <c r="K41" t="s">
        <v>127</v>
      </c>
      <c r="L41" t="s">
        <v>87</v>
      </c>
      <c r="M41" t="s">
        <v>38</v>
      </c>
      <c r="N41">
        <v>3495</v>
      </c>
      <c r="O41">
        <v>3495</v>
      </c>
      <c r="P41">
        <v>1</v>
      </c>
      <c r="Q41">
        <v>3495</v>
      </c>
      <c r="R41">
        <v>0</v>
      </c>
      <c r="S41">
        <v>0</v>
      </c>
      <c r="T41">
        <v>3495</v>
      </c>
      <c r="U41">
        <f t="shared" si="2"/>
        <v>3495</v>
      </c>
      <c r="V41" t="str">
        <v xml:space="preserve">Delusion Front Full Print drop shoulder oversized T shirt                     </v>
      </c>
    </row>
    <row r="42" spans="1:22" ht="19" x14ac:dyDescent="0.25">
      <c r="A42" t="s">
        <v>62</v>
      </c>
      <c r="B42" t="s">
        <v>119</v>
      </c>
      <c r="C42" t="s">
        <v>120</v>
      </c>
      <c r="D42" t="s">
        <v>23</v>
      </c>
      <c r="E42" t="s">
        <v>24</v>
      </c>
      <c r="F42" t="s">
        <v>25</v>
      </c>
      <c r="G42" t="s">
        <v>26</v>
      </c>
      <c r="H42" s="14" t="str">
        <f t="shared" si="1"/>
        <v>Mar</v>
      </c>
      <c r="I42" s="15">
        <v>8905202269328</v>
      </c>
      <c r="J42" t="s">
        <v>121</v>
      </c>
      <c r="K42" t="s">
        <v>122</v>
      </c>
      <c r="L42" t="s">
        <v>123</v>
      </c>
      <c r="M42" t="s">
        <v>44</v>
      </c>
      <c r="N42">
        <v>3495</v>
      </c>
      <c r="O42">
        <v>3495</v>
      </c>
      <c r="P42">
        <v>1</v>
      </c>
      <c r="Q42">
        <v>3495</v>
      </c>
      <c r="R42">
        <v>0</v>
      </c>
      <c r="S42">
        <v>0</v>
      </c>
      <c r="T42">
        <v>3495</v>
      </c>
      <c r="U42">
        <f t="shared" si="2"/>
        <v>3495</v>
      </c>
      <c r="V42" t="str">
        <v xml:space="preserve">Delusion Front Full Print drop shoulder oversized T shirt                     </v>
      </c>
    </row>
    <row r="43" spans="1:22" ht="19" x14ac:dyDescent="0.25">
      <c r="A43" t="s">
        <v>62</v>
      </c>
      <c r="B43" t="s">
        <v>114</v>
      </c>
      <c r="C43" t="s">
        <v>115</v>
      </c>
      <c r="D43" t="s">
        <v>23</v>
      </c>
      <c r="E43" t="s">
        <v>24</v>
      </c>
      <c r="F43" t="s">
        <v>25</v>
      </c>
      <c r="G43" t="s">
        <v>34</v>
      </c>
      <c r="H43" s="14" t="str">
        <f t="shared" si="1"/>
        <v>Mar</v>
      </c>
      <c r="I43" s="15">
        <v>8905302263225</v>
      </c>
      <c r="J43" t="s">
        <v>116</v>
      </c>
      <c r="K43" t="s">
        <v>117</v>
      </c>
      <c r="L43" t="s">
        <v>118</v>
      </c>
      <c r="M43" t="s">
        <v>44</v>
      </c>
      <c r="N43">
        <v>5999</v>
      </c>
      <c r="O43">
        <v>5999</v>
      </c>
      <c r="P43">
        <v>1</v>
      </c>
      <c r="Q43">
        <v>5999</v>
      </c>
      <c r="R43">
        <v>0</v>
      </c>
      <c r="S43">
        <v>0</v>
      </c>
      <c r="T43">
        <v>5999</v>
      </c>
      <c r="U43">
        <f t="shared" si="2"/>
        <v>5999</v>
      </c>
      <c r="V43" t="str">
        <v>Car Plaid Grey</v>
      </c>
    </row>
    <row r="44" spans="1:22" ht="19" x14ac:dyDescent="0.25">
      <c r="A44" t="s">
        <v>62</v>
      </c>
      <c r="B44" t="s">
        <v>106</v>
      </c>
      <c r="C44" t="s">
        <v>107</v>
      </c>
      <c r="D44" t="s">
        <v>23</v>
      </c>
      <c r="E44" t="s">
        <v>24</v>
      </c>
      <c r="F44" t="s">
        <v>25</v>
      </c>
      <c r="G44" t="s">
        <v>34</v>
      </c>
      <c r="H44" s="14" t="str">
        <f t="shared" si="1"/>
        <v>Mar</v>
      </c>
      <c r="I44" s="15">
        <v>8905302263224</v>
      </c>
      <c r="J44" t="s">
        <v>108</v>
      </c>
      <c r="K44" t="s">
        <v>109</v>
      </c>
      <c r="L44" t="s">
        <v>110</v>
      </c>
      <c r="M44" t="s">
        <v>61</v>
      </c>
      <c r="N44">
        <v>5999</v>
      </c>
      <c r="O44">
        <v>5999</v>
      </c>
      <c r="P44">
        <v>1</v>
      </c>
      <c r="Q44">
        <v>5999</v>
      </c>
      <c r="R44">
        <v>1799.7</v>
      </c>
      <c r="S44">
        <v>0</v>
      </c>
      <c r="T44">
        <v>4199.3</v>
      </c>
      <c r="U44">
        <f t="shared" si="2"/>
        <v>5999</v>
      </c>
      <c r="V44" t="str">
        <v>Car Plaid Grey</v>
      </c>
    </row>
    <row r="45" spans="1:22" ht="19" x14ac:dyDescent="0.25">
      <c r="A45" t="s">
        <v>62</v>
      </c>
      <c r="B45" t="s">
        <v>106</v>
      </c>
      <c r="C45" t="s">
        <v>107</v>
      </c>
      <c r="D45" t="s">
        <v>23</v>
      </c>
      <c r="E45" t="s">
        <v>24</v>
      </c>
      <c r="F45" t="s">
        <v>25</v>
      </c>
      <c r="G45" t="s">
        <v>34</v>
      </c>
      <c r="H45" s="14" t="str">
        <f t="shared" si="1"/>
        <v>Mar</v>
      </c>
      <c r="I45" s="15">
        <v>8905302263227</v>
      </c>
      <c r="J45" t="s">
        <v>111</v>
      </c>
      <c r="K45" t="s">
        <v>112</v>
      </c>
      <c r="L45" t="s">
        <v>113</v>
      </c>
      <c r="M45" t="s">
        <v>61</v>
      </c>
      <c r="N45">
        <v>5999</v>
      </c>
      <c r="O45">
        <v>5999</v>
      </c>
      <c r="P45">
        <v>1</v>
      </c>
      <c r="Q45">
        <v>5999</v>
      </c>
      <c r="R45">
        <v>1799.7</v>
      </c>
      <c r="S45">
        <v>0</v>
      </c>
      <c r="T45">
        <v>4199.3</v>
      </c>
      <c r="U45">
        <f t="shared" si="2"/>
        <v>5999</v>
      </c>
      <c r="V45" t="str">
        <v>CD Drop Shoulder Olive</v>
      </c>
    </row>
    <row r="46" spans="1:22" ht="19" x14ac:dyDescent="0.25">
      <c r="A46" t="s">
        <v>62</v>
      </c>
      <c r="B46" t="s">
        <v>79</v>
      </c>
      <c r="C46" t="s">
        <v>80</v>
      </c>
      <c r="D46" t="s">
        <v>23</v>
      </c>
      <c r="E46" t="s">
        <v>24</v>
      </c>
      <c r="F46" t="s">
        <v>64</v>
      </c>
      <c r="G46" t="s">
        <v>65</v>
      </c>
      <c r="H46" s="14" t="str">
        <f t="shared" si="1"/>
        <v>Mar</v>
      </c>
      <c r="I46" s="15">
        <v>8905302263213</v>
      </c>
      <c r="J46" t="s">
        <v>81</v>
      </c>
      <c r="K46" t="s">
        <v>82</v>
      </c>
      <c r="L46" t="s">
        <v>83</v>
      </c>
      <c r="M46" t="s">
        <v>84</v>
      </c>
      <c r="N46">
        <v>5999</v>
      </c>
      <c r="O46">
        <v>5999</v>
      </c>
      <c r="P46">
        <v>1</v>
      </c>
      <c r="Q46">
        <v>5999</v>
      </c>
      <c r="R46">
        <v>1799.7</v>
      </c>
      <c r="S46">
        <v>0</v>
      </c>
      <c r="T46">
        <v>4199.3</v>
      </c>
      <c r="U46">
        <f t="shared" si="2"/>
        <v>5999</v>
      </c>
      <c r="V46" t="str">
        <v>Distress Drawsting</v>
      </c>
    </row>
    <row r="47" spans="1:22" ht="19" x14ac:dyDescent="0.25">
      <c r="A47" t="s">
        <v>62</v>
      </c>
      <c r="B47" t="s">
        <v>79</v>
      </c>
      <c r="C47" t="s">
        <v>80</v>
      </c>
      <c r="D47" t="s">
        <v>23</v>
      </c>
      <c r="E47" t="s">
        <v>24</v>
      </c>
      <c r="F47" t="s">
        <v>25</v>
      </c>
      <c r="G47" t="s">
        <v>26</v>
      </c>
      <c r="H47" s="14" t="str">
        <f t="shared" si="1"/>
        <v>Mar</v>
      </c>
      <c r="I47" s="15">
        <v>8905202264910</v>
      </c>
      <c r="J47" t="s">
        <v>85</v>
      </c>
      <c r="K47" t="s">
        <v>86</v>
      </c>
      <c r="L47" t="s">
        <v>87</v>
      </c>
      <c r="M47" t="s">
        <v>38</v>
      </c>
      <c r="N47">
        <v>2995</v>
      </c>
      <c r="O47">
        <v>2995</v>
      </c>
      <c r="P47">
        <v>1</v>
      </c>
      <c r="Q47">
        <v>2995</v>
      </c>
      <c r="R47">
        <v>898.5</v>
      </c>
      <c r="S47">
        <v>0</v>
      </c>
      <c r="T47">
        <v>2096.5</v>
      </c>
      <c r="U47">
        <f t="shared" si="2"/>
        <v>2995</v>
      </c>
      <c r="V47" t="str">
        <v xml:space="preserve">Stamp Tshirt in Blue </v>
      </c>
    </row>
    <row r="48" spans="1:22" ht="19" x14ac:dyDescent="0.25">
      <c r="A48" t="s">
        <v>62</v>
      </c>
      <c r="B48" t="s">
        <v>79</v>
      </c>
      <c r="C48" t="s">
        <v>88</v>
      </c>
      <c r="D48" t="s">
        <v>23</v>
      </c>
      <c r="E48" t="s">
        <v>24</v>
      </c>
      <c r="F48" t="s">
        <v>25</v>
      </c>
      <c r="G48" t="s">
        <v>34</v>
      </c>
      <c r="H48" s="14" t="str">
        <f t="shared" si="1"/>
        <v>Mar</v>
      </c>
      <c r="I48" s="15">
        <v>8905302263230</v>
      </c>
      <c r="J48" t="s">
        <v>89</v>
      </c>
      <c r="K48" t="s">
        <v>90</v>
      </c>
      <c r="L48" t="s">
        <v>91</v>
      </c>
      <c r="M48" t="s">
        <v>61</v>
      </c>
      <c r="N48">
        <v>5999</v>
      </c>
      <c r="O48">
        <v>5999</v>
      </c>
      <c r="P48">
        <v>1</v>
      </c>
      <c r="Q48">
        <v>5999</v>
      </c>
      <c r="R48">
        <v>899.85</v>
      </c>
      <c r="S48">
        <v>0</v>
      </c>
      <c r="T48">
        <v>5099.1499999999996</v>
      </c>
      <c r="U48">
        <f t="shared" si="2"/>
        <v>5999</v>
      </c>
      <c r="V48" t="str">
        <v>CD Drop Shoulder Beige</v>
      </c>
    </row>
    <row r="49" spans="1:22" ht="19" x14ac:dyDescent="0.25">
      <c r="A49" t="s">
        <v>62</v>
      </c>
      <c r="B49" t="s">
        <v>79</v>
      </c>
      <c r="C49" t="s">
        <v>92</v>
      </c>
      <c r="D49" t="s">
        <v>23</v>
      </c>
      <c r="E49" t="s">
        <v>24</v>
      </c>
      <c r="F49" t="s">
        <v>25</v>
      </c>
      <c r="G49" t="s">
        <v>26</v>
      </c>
      <c r="H49" s="14" t="str">
        <f t="shared" si="1"/>
        <v>Mar</v>
      </c>
      <c r="I49" s="15">
        <v>8905202264606</v>
      </c>
      <c r="J49" t="s">
        <v>93</v>
      </c>
      <c r="K49">
        <v>8905202264606</v>
      </c>
      <c r="L49" t="s">
        <v>94</v>
      </c>
      <c r="M49" t="s">
        <v>44</v>
      </c>
      <c r="N49">
        <v>3495</v>
      </c>
      <c r="O49">
        <v>3495</v>
      </c>
      <c r="P49">
        <v>1</v>
      </c>
      <c r="Q49">
        <v>3495</v>
      </c>
      <c r="R49">
        <v>1048.5</v>
      </c>
      <c r="S49">
        <v>0</v>
      </c>
      <c r="T49">
        <v>2446.5</v>
      </c>
      <c r="U49">
        <f t="shared" si="2"/>
        <v>3495</v>
      </c>
      <c r="V49" t="str">
        <v xml:space="preserve">Mumbai  Terry Drop Shoulder T-Shirt in Black </v>
      </c>
    </row>
    <row r="50" spans="1:22" ht="19" x14ac:dyDescent="0.25">
      <c r="A50" t="s">
        <v>62</v>
      </c>
      <c r="B50" t="s">
        <v>79</v>
      </c>
      <c r="C50" t="s">
        <v>92</v>
      </c>
      <c r="D50" t="s">
        <v>23</v>
      </c>
      <c r="E50" t="s">
        <v>24</v>
      </c>
      <c r="F50" t="s">
        <v>25</v>
      </c>
      <c r="G50" t="s">
        <v>26</v>
      </c>
      <c r="H50" s="14" t="str">
        <f t="shared" si="1"/>
        <v>Mar</v>
      </c>
      <c r="I50" s="15">
        <v>8905202269427</v>
      </c>
      <c r="J50" t="s">
        <v>95</v>
      </c>
      <c r="K50" t="s">
        <v>96</v>
      </c>
      <c r="L50" t="s">
        <v>97</v>
      </c>
      <c r="M50" t="s">
        <v>44</v>
      </c>
      <c r="N50">
        <v>3995</v>
      </c>
      <c r="O50">
        <v>3995</v>
      </c>
      <c r="P50">
        <v>1</v>
      </c>
      <c r="Q50">
        <v>3995</v>
      </c>
      <c r="R50">
        <v>1198.5</v>
      </c>
      <c r="S50">
        <v>0</v>
      </c>
      <c r="T50">
        <v>2796.5</v>
      </c>
      <c r="U50">
        <f t="shared" si="2"/>
        <v>3995</v>
      </c>
      <c r="V50" t="str">
        <v>Surfer print  drop shoulder crew neck oversized t-shirt.</v>
      </c>
    </row>
    <row r="51" spans="1:22" ht="19" x14ac:dyDescent="0.25">
      <c r="A51" t="s">
        <v>62</v>
      </c>
      <c r="B51" t="s">
        <v>79</v>
      </c>
      <c r="C51" t="s">
        <v>98</v>
      </c>
      <c r="D51" t="s">
        <v>23</v>
      </c>
      <c r="E51" t="s">
        <v>24</v>
      </c>
      <c r="F51" t="s">
        <v>25</v>
      </c>
      <c r="G51" t="s">
        <v>26</v>
      </c>
      <c r="H51" s="14" t="str">
        <f t="shared" si="1"/>
        <v>Mar</v>
      </c>
      <c r="I51" s="15">
        <v>8905302263245</v>
      </c>
      <c r="J51" t="s">
        <v>99</v>
      </c>
      <c r="K51" t="s">
        <v>100</v>
      </c>
      <c r="L51" t="s">
        <v>101</v>
      </c>
      <c r="M51" t="s">
        <v>44</v>
      </c>
      <c r="N51">
        <v>4495</v>
      </c>
      <c r="O51">
        <v>4495</v>
      </c>
      <c r="P51">
        <v>1</v>
      </c>
      <c r="Q51">
        <v>4495</v>
      </c>
      <c r="R51">
        <v>1348.5</v>
      </c>
      <c r="S51">
        <v>0</v>
      </c>
      <c r="T51">
        <v>3146.5</v>
      </c>
      <c r="U51">
        <f t="shared" si="2"/>
        <v>4495</v>
      </c>
      <c r="V51" t="str">
        <v>Dual Snakes</v>
      </c>
    </row>
    <row r="52" spans="1:22" ht="19" x14ac:dyDescent="0.25">
      <c r="A52" t="s">
        <v>62</v>
      </c>
      <c r="B52" t="s">
        <v>79</v>
      </c>
      <c r="C52" t="s">
        <v>98</v>
      </c>
      <c r="D52" t="s">
        <v>23</v>
      </c>
      <c r="E52" t="s">
        <v>24</v>
      </c>
      <c r="F52" t="s">
        <v>25</v>
      </c>
      <c r="G52" t="s">
        <v>26</v>
      </c>
      <c r="H52" s="14" t="str">
        <f t="shared" si="1"/>
        <v>Mar</v>
      </c>
      <c r="I52" s="15">
        <v>8905202264729</v>
      </c>
      <c r="J52" t="s">
        <v>28</v>
      </c>
      <c r="K52">
        <v>8905202264729</v>
      </c>
      <c r="L52" t="s">
        <v>29</v>
      </c>
      <c r="M52" t="s">
        <v>30</v>
      </c>
      <c r="N52">
        <v>2995</v>
      </c>
      <c r="O52">
        <v>2995</v>
      </c>
      <c r="P52">
        <v>1</v>
      </c>
      <c r="Q52">
        <v>2995</v>
      </c>
      <c r="R52">
        <v>898.5</v>
      </c>
      <c r="S52">
        <v>0</v>
      </c>
      <c r="T52">
        <v>2096.5</v>
      </c>
      <c r="U52">
        <f t="shared" si="2"/>
        <v>2995</v>
      </c>
      <c r="V52" t="str">
        <v xml:space="preserve">X Graphic Terry Free Size Tee in Black </v>
      </c>
    </row>
    <row r="53" spans="1:22" ht="19" x14ac:dyDescent="0.25">
      <c r="A53" t="s">
        <v>62</v>
      </c>
      <c r="B53" t="s">
        <v>79</v>
      </c>
      <c r="C53" t="s">
        <v>102</v>
      </c>
      <c r="D53" t="s">
        <v>23</v>
      </c>
      <c r="E53" t="s">
        <v>24</v>
      </c>
      <c r="F53" t="s">
        <v>64</v>
      </c>
      <c r="G53" t="s">
        <v>65</v>
      </c>
      <c r="H53" s="14" t="str">
        <f t="shared" si="1"/>
        <v>Mar</v>
      </c>
      <c r="I53" s="15">
        <v>8905302263212</v>
      </c>
      <c r="J53" t="s">
        <v>103</v>
      </c>
      <c r="K53" t="s">
        <v>104</v>
      </c>
      <c r="L53" t="s">
        <v>105</v>
      </c>
      <c r="M53" t="s">
        <v>44</v>
      </c>
      <c r="N53">
        <v>5999</v>
      </c>
      <c r="O53">
        <v>5999</v>
      </c>
      <c r="P53">
        <v>1</v>
      </c>
      <c r="Q53">
        <v>5999</v>
      </c>
      <c r="R53">
        <v>899.85</v>
      </c>
      <c r="S53">
        <v>0</v>
      </c>
      <c r="T53">
        <v>5099.1499999999996</v>
      </c>
      <c r="U53">
        <f t="shared" si="2"/>
        <v>5999</v>
      </c>
      <c r="V53" t="str">
        <v>Distress Drawsting</v>
      </c>
    </row>
    <row r="54" spans="1:22" ht="19" x14ac:dyDescent="0.25">
      <c r="A54" t="s">
        <v>62</v>
      </c>
      <c r="B54" t="s">
        <v>69</v>
      </c>
      <c r="C54" t="s">
        <v>70</v>
      </c>
      <c r="D54" t="s">
        <v>23</v>
      </c>
      <c r="E54" t="s">
        <v>24</v>
      </c>
      <c r="F54" t="s">
        <v>25</v>
      </c>
      <c r="G54" t="s">
        <v>34</v>
      </c>
      <c r="H54" s="14" t="str">
        <f t="shared" si="1"/>
        <v>Mar</v>
      </c>
      <c r="I54" s="15">
        <v>8905302263231</v>
      </c>
      <c r="J54" t="s">
        <v>71</v>
      </c>
      <c r="K54" t="s">
        <v>72</v>
      </c>
      <c r="L54" t="s">
        <v>73</v>
      </c>
      <c r="M54" t="s">
        <v>44</v>
      </c>
      <c r="N54">
        <v>5999</v>
      </c>
      <c r="O54">
        <v>5999</v>
      </c>
      <c r="P54">
        <v>1</v>
      </c>
      <c r="Q54">
        <v>5999</v>
      </c>
      <c r="R54">
        <v>899.85</v>
      </c>
      <c r="S54">
        <v>0</v>
      </c>
      <c r="T54">
        <v>5099.1499999999996</v>
      </c>
      <c r="U54">
        <f t="shared" si="2"/>
        <v>5999</v>
      </c>
      <c r="V54" t="str">
        <v>CD Drop Shoulder Beige</v>
      </c>
    </row>
    <row r="55" spans="1:22" ht="19" x14ac:dyDescent="0.25">
      <c r="A55" t="s">
        <v>62</v>
      </c>
      <c r="B55" t="s">
        <v>69</v>
      </c>
      <c r="C55" t="s">
        <v>75</v>
      </c>
      <c r="D55" t="s">
        <v>23</v>
      </c>
      <c r="E55" t="s">
        <v>24</v>
      </c>
      <c r="F55" t="s">
        <v>25</v>
      </c>
      <c r="G55" t="s">
        <v>34</v>
      </c>
      <c r="H55" s="14" t="str">
        <f t="shared" si="1"/>
        <v>Mar</v>
      </c>
      <c r="I55" s="15">
        <v>8905302263236</v>
      </c>
      <c r="J55" t="s">
        <v>76</v>
      </c>
      <c r="K55" t="s">
        <v>77</v>
      </c>
      <c r="L55" t="s">
        <v>78</v>
      </c>
      <c r="M55" t="s">
        <v>54</v>
      </c>
      <c r="N55">
        <v>5999</v>
      </c>
      <c r="O55">
        <v>5999</v>
      </c>
      <c r="P55">
        <v>1</v>
      </c>
      <c r="Q55">
        <v>5999</v>
      </c>
      <c r="R55">
        <v>899.85</v>
      </c>
      <c r="S55">
        <v>0</v>
      </c>
      <c r="T55">
        <v>5099.1499999999996</v>
      </c>
      <c r="U55">
        <f t="shared" si="2"/>
        <v>5999</v>
      </c>
      <c r="V55" t="str">
        <v>Grunge Denim Charcoal</v>
      </c>
    </row>
    <row r="56" spans="1:22" ht="19" x14ac:dyDescent="0.25">
      <c r="A56" t="s">
        <v>20</v>
      </c>
      <c r="B56" t="s">
        <v>56</v>
      </c>
      <c r="C56" t="s">
        <v>57</v>
      </c>
      <c r="D56" t="s">
        <v>23</v>
      </c>
      <c r="E56" t="s">
        <v>24</v>
      </c>
      <c r="F56" t="s">
        <v>25</v>
      </c>
      <c r="G56" t="s">
        <v>26</v>
      </c>
      <c r="H56" s="14" t="str">
        <f t="shared" si="1"/>
        <v>Mar</v>
      </c>
      <c r="I56" s="15">
        <v>8905202264842</v>
      </c>
      <c r="J56" t="s">
        <v>58</v>
      </c>
      <c r="K56" t="s">
        <v>59</v>
      </c>
      <c r="L56" t="s">
        <v>60</v>
      </c>
      <c r="M56" t="s">
        <v>61</v>
      </c>
      <c r="N56">
        <v>3995</v>
      </c>
      <c r="O56">
        <v>3995</v>
      </c>
      <c r="P56">
        <v>1</v>
      </c>
      <c r="Q56">
        <v>3995</v>
      </c>
      <c r="R56">
        <v>599.25</v>
      </c>
      <c r="S56">
        <v>0</v>
      </c>
      <c r="T56">
        <v>3395.75</v>
      </c>
      <c r="U56">
        <f t="shared" si="2"/>
        <v>3995</v>
      </c>
      <c r="V56" t="str">
        <v xml:space="preserve"> Psy Bear  Terry Drop Shoulder T-Shirt in Black </v>
      </c>
    </row>
    <row r="57" spans="1:22" ht="19" x14ac:dyDescent="0.25">
      <c r="A57" t="s">
        <v>62</v>
      </c>
      <c r="B57" t="s">
        <v>56</v>
      </c>
      <c r="C57" t="s">
        <v>63</v>
      </c>
      <c r="D57" t="s">
        <v>23</v>
      </c>
      <c r="E57" t="s">
        <v>24</v>
      </c>
      <c r="F57" t="s">
        <v>64</v>
      </c>
      <c r="G57" t="s">
        <v>65</v>
      </c>
      <c r="H57" s="14" t="str">
        <f t="shared" si="1"/>
        <v>Mar</v>
      </c>
      <c r="I57" s="15">
        <v>8905302263211</v>
      </c>
      <c r="J57" t="s">
        <v>66</v>
      </c>
      <c r="K57" t="s">
        <v>67</v>
      </c>
      <c r="L57" t="s">
        <v>68</v>
      </c>
      <c r="M57" t="s">
        <v>61</v>
      </c>
      <c r="N57">
        <v>5999</v>
      </c>
      <c r="O57">
        <v>5999</v>
      </c>
      <c r="P57">
        <v>1</v>
      </c>
      <c r="Q57">
        <v>5999</v>
      </c>
      <c r="R57">
        <v>1799.7</v>
      </c>
      <c r="S57">
        <v>0</v>
      </c>
      <c r="T57">
        <v>4199.3</v>
      </c>
      <c r="U57">
        <f t="shared" si="2"/>
        <v>5999</v>
      </c>
      <c r="V57" t="str">
        <v>Distress Drawsting</v>
      </c>
    </row>
    <row r="58" spans="1:22" ht="19" x14ac:dyDescent="0.25">
      <c r="A58" t="s">
        <v>62</v>
      </c>
      <c r="B58" t="s">
        <v>56</v>
      </c>
      <c r="C58" t="s">
        <v>63</v>
      </c>
      <c r="D58" t="s">
        <v>23</v>
      </c>
      <c r="E58" t="s">
        <v>24</v>
      </c>
      <c r="F58" t="s">
        <v>25</v>
      </c>
      <c r="G58" t="s">
        <v>34</v>
      </c>
      <c r="H58" s="14" t="str">
        <f t="shared" si="1"/>
        <v>Mar</v>
      </c>
      <c r="I58" s="15">
        <v>8905302263226</v>
      </c>
      <c r="J58" t="s">
        <v>35</v>
      </c>
      <c r="K58" t="s">
        <v>36</v>
      </c>
      <c r="L58" t="s">
        <v>37</v>
      </c>
      <c r="M58" t="s">
        <v>38</v>
      </c>
      <c r="N58">
        <v>5999</v>
      </c>
      <c r="O58">
        <v>5999</v>
      </c>
      <c r="P58">
        <v>1</v>
      </c>
      <c r="Q58">
        <v>5999</v>
      </c>
      <c r="R58">
        <v>1799.7</v>
      </c>
      <c r="S58">
        <v>0</v>
      </c>
      <c r="T58">
        <v>4199.3</v>
      </c>
      <c r="U58">
        <f t="shared" si="2"/>
        <v>5999</v>
      </c>
      <c r="V58" t="str">
        <v>Car Plaid Grey</v>
      </c>
    </row>
    <row r="59" spans="1:22" ht="19" x14ac:dyDescent="0.25">
      <c r="A59" t="s">
        <v>20</v>
      </c>
      <c r="B59" t="s">
        <v>32</v>
      </c>
      <c r="C59" t="s">
        <v>33</v>
      </c>
      <c r="D59" t="s">
        <v>23</v>
      </c>
      <c r="E59" t="s">
        <v>24</v>
      </c>
      <c r="F59" t="s">
        <v>25</v>
      </c>
      <c r="G59" t="s">
        <v>34</v>
      </c>
      <c r="H59" s="14" t="str">
        <f t="shared" si="1"/>
        <v>Mar</v>
      </c>
      <c r="I59" s="15">
        <v>8905302263226</v>
      </c>
      <c r="J59" t="s">
        <v>35</v>
      </c>
      <c r="K59" t="s">
        <v>36</v>
      </c>
      <c r="L59" t="s">
        <v>37</v>
      </c>
      <c r="M59" t="s">
        <v>38</v>
      </c>
      <c r="N59">
        <v>5999</v>
      </c>
      <c r="O59">
        <v>5999</v>
      </c>
      <c r="P59">
        <v>1</v>
      </c>
      <c r="Q59">
        <v>5999</v>
      </c>
      <c r="R59">
        <v>899.85</v>
      </c>
      <c r="S59">
        <v>0</v>
      </c>
      <c r="T59">
        <v>5099.1499999999996</v>
      </c>
      <c r="U59">
        <f t="shared" si="2"/>
        <v>5999</v>
      </c>
      <c r="V59" t="str">
        <v>Car Plaid Grey</v>
      </c>
    </row>
    <row r="60" spans="1:22" ht="19" x14ac:dyDescent="0.25">
      <c r="A60" t="s">
        <v>20</v>
      </c>
      <c r="B60" t="s">
        <v>32</v>
      </c>
      <c r="C60" t="s">
        <v>40</v>
      </c>
      <c r="D60" t="s">
        <v>23</v>
      </c>
      <c r="E60" t="s">
        <v>24</v>
      </c>
      <c r="F60" t="s">
        <v>25</v>
      </c>
      <c r="G60" t="s">
        <v>34</v>
      </c>
      <c r="H60" s="14" t="str">
        <f t="shared" si="1"/>
        <v>Mar</v>
      </c>
      <c r="I60" s="15">
        <v>8905302263234</v>
      </c>
      <c r="J60" t="s">
        <v>41</v>
      </c>
      <c r="K60" t="s">
        <v>42</v>
      </c>
      <c r="L60" t="s">
        <v>43</v>
      </c>
      <c r="M60" t="s">
        <v>44</v>
      </c>
      <c r="N60">
        <v>5999</v>
      </c>
      <c r="O60">
        <v>5999</v>
      </c>
      <c r="P60">
        <v>1</v>
      </c>
      <c r="Q60">
        <v>5999</v>
      </c>
      <c r="R60">
        <v>899.85</v>
      </c>
      <c r="S60">
        <v>0</v>
      </c>
      <c r="T60">
        <v>5099.1499999999996</v>
      </c>
      <c r="U60">
        <f t="shared" si="2"/>
        <v>5999</v>
      </c>
      <c r="V60" t="str">
        <v>Oversized Mustard</v>
      </c>
    </row>
    <row r="61" spans="1:22" ht="19" x14ac:dyDescent="0.25">
      <c r="A61" t="s">
        <v>20</v>
      </c>
      <c r="B61" t="s">
        <v>32</v>
      </c>
      <c r="C61" t="s">
        <v>46</v>
      </c>
      <c r="D61" t="s">
        <v>23</v>
      </c>
      <c r="E61" t="s">
        <v>24</v>
      </c>
      <c r="F61" t="s">
        <v>25</v>
      </c>
      <c r="G61" t="s">
        <v>26</v>
      </c>
      <c r="H61" s="14" t="str">
        <f t="shared" si="1"/>
        <v>Mar</v>
      </c>
      <c r="I61" s="15">
        <v>8905202269106</v>
      </c>
      <c r="J61" t="s">
        <v>47</v>
      </c>
      <c r="K61" t="s">
        <v>48</v>
      </c>
      <c r="L61" t="s">
        <v>49</v>
      </c>
      <c r="M61" t="s">
        <v>38</v>
      </c>
      <c r="N61">
        <v>3495</v>
      </c>
      <c r="O61">
        <v>3495</v>
      </c>
      <c r="P61">
        <v>1</v>
      </c>
      <c r="Q61">
        <v>3495</v>
      </c>
      <c r="R61">
        <v>524.25</v>
      </c>
      <c r="S61">
        <v>0</v>
      </c>
      <c r="T61">
        <v>2970.75</v>
      </c>
      <c r="U61">
        <f t="shared" si="2"/>
        <v>3495</v>
      </c>
      <c r="V61" t="str">
        <v>MENS  Oversized  T-Shirt London</v>
      </c>
    </row>
    <row r="62" spans="1:22" ht="19" x14ac:dyDescent="0.25">
      <c r="A62" t="s">
        <v>20</v>
      </c>
      <c r="B62" t="s">
        <v>32</v>
      </c>
      <c r="C62" t="s">
        <v>51</v>
      </c>
      <c r="D62" t="s">
        <v>23</v>
      </c>
      <c r="E62" t="s">
        <v>24</v>
      </c>
      <c r="F62" t="s">
        <v>25</v>
      </c>
      <c r="G62" t="s">
        <v>26</v>
      </c>
      <c r="H62" s="14" t="str">
        <f t="shared" si="1"/>
        <v>Mar</v>
      </c>
      <c r="I62" s="15">
        <v>8905202264620</v>
      </c>
      <c r="J62" t="s">
        <v>52</v>
      </c>
      <c r="K62">
        <v>8905202264620</v>
      </c>
      <c r="L62" t="s">
        <v>53</v>
      </c>
      <c r="M62" t="s">
        <v>54</v>
      </c>
      <c r="N62">
        <v>3495</v>
      </c>
      <c r="O62">
        <v>3495</v>
      </c>
      <c r="P62">
        <v>1</v>
      </c>
      <c r="Q62">
        <v>3495</v>
      </c>
      <c r="R62">
        <v>524.25</v>
      </c>
      <c r="S62">
        <v>0</v>
      </c>
      <c r="T62">
        <v>2970.75</v>
      </c>
      <c r="U62">
        <f t="shared" si="2"/>
        <v>3495</v>
      </c>
      <c r="V62" t="str">
        <v xml:space="preserve">Mumbai  Terry Drop Shoulder T-Shirt in Black </v>
      </c>
    </row>
    <row r="63" spans="1:22" ht="19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s="14" t="str">
        <f t="shared" si="1"/>
        <v>Mar</v>
      </c>
      <c r="I63" s="15">
        <v>8905202264729</v>
      </c>
      <c r="J63" t="s">
        <v>28</v>
      </c>
      <c r="K63">
        <v>8905202264729</v>
      </c>
      <c r="L63" t="s">
        <v>29</v>
      </c>
      <c r="M63" t="s">
        <v>30</v>
      </c>
      <c r="N63">
        <v>2995</v>
      </c>
      <c r="O63">
        <v>2995</v>
      </c>
      <c r="P63">
        <v>1</v>
      </c>
      <c r="Q63">
        <v>2995</v>
      </c>
      <c r="R63">
        <v>0</v>
      </c>
      <c r="S63">
        <v>0</v>
      </c>
      <c r="T63">
        <v>2995</v>
      </c>
      <c r="U63">
        <f t="shared" si="2"/>
        <v>2995</v>
      </c>
      <c r="V63" t="str">
        <v xml:space="preserve">X Graphic Terry Free Size Tee in Black </v>
      </c>
    </row>
    <row r="64" spans="1:22" ht="19" x14ac:dyDescent="0.25">
      <c r="A64" t="s">
        <v>20</v>
      </c>
      <c r="B64" t="s">
        <v>275</v>
      </c>
      <c r="C64" t="s">
        <v>276</v>
      </c>
      <c r="D64" t="s">
        <v>23</v>
      </c>
      <c r="E64" t="s">
        <v>24</v>
      </c>
      <c r="F64" t="s">
        <v>25</v>
      </c>
      <c r="G64" t="s">
        <v>34</v>
      </c>
      <c r="H64" s="14" t="str">
        <f t="shared" si="1"/>
        <v>Mar</v>
      </c>
      <c r="I64" s="15">
        <v>8905302263233</v>
      </c>
      <c r="J64" t="s">
        <v>277</v>
      </c>
      <c r="K64" t="s">
        <v>278</v>
      </c>
      <c r="L64" t="s">
        <v>279</v>
      </c>
      <c r="M64" t="s">
        <v>61</v>
      </c>
      <c r="N64">
        <v>5999</v>
      </c>
      <c r="O64">
        <v>5999</v>
      </c>
      <c r="P64">
        <v>1</v>
      </c>
      <c r="Q64">
        <v>5999</v>
      </c>
      <c r="R64">
        <v>0</v>
      </c>
      <c r="S64">
        <v>0</v>
      </c>
      <c r="T64">
        <v>5999</v>
      </c>
      <c r="U64">
        <f t="shared" si="2"/>
        <v>5999</v>
      </c>
      <c r="V64" t="str">
        <v>Oversized Mustard</v>
      </c>
    </row>
    <row r="65" spans="1:22" ht="19" x14ac:dyDescent="0.25">
      <c r="A65" t="s">
        <v>62</v>
      </c>
      <c r="B65" t="s">
        <v>275</v>
      </c>
      <c r="C65" t="s">
        <v>298</v>
      </c>
      <c r="D65" t="s">
        <v>23</v>
      </c>
      <c r="E65" t="s">
        <v>24</v>
      </c>
      <c r="F65" t="s">
        <v>64</v>
      </c>
      <c r="G65" t="s">
        <v>65</v>
      </c>
      <c r="H65" s="14" t="str">
        <f t="shared" si="1"/>
        <v>Mar</v>
      </c>
      <c r="I65" s="15">
        <v>8905302263211</v>
      </c>
      <c r="J65" t="s">
        <v>66</v>
      </c>
      <c r="K65" t="s">
        <v>67</v>
      </c>
      <c r="L65" t="s">
        <v>68</v>
      </c>
      <c r="M65" t="s">
        <v>61</v>
      </c>
      <c r="N65">
        <v>5999</v>
      </c>
      <c r="O65">
        <v>5999</v>
      </c>
      <c r="P65">
        <v>1</v>
      </c>
      <c r="Q65">
        <v>5999</v>
      </c>
      <c r="R65">
        <v>0</v>
      </c>
      <c r="S65">
        <v>0</v>
      </c>
      <c r="T65">
        <v>5999</v>
      </c>
      <c r="U65">
        <f t="shared" si="2"/>
        <v>5999</v>
      </c>
      <c r="V65" t="str">
        <v>Distress Drawsting</v>
      </c>
    </row>
    <row r="66" spans="1:22" ht="19" x14ac:dyDescent="0.25">
      <c r="A66" t="s">
        <v>20</v>
      </c>
      <c r="B66" t="s">
        <v>268</v>
      </c>
      <c r="C66" t="s">
        <v>135</v>
      </c>
      <c r="D66" t="s">
        <v>23</v>
      </c>
      <c r="E66" t="s">
        <v>24</v>
      </c>
      <c r="F66" t="s">
        <v>64</v>
      </c>
      <c r="G66" t="s">
        <v>65</v>
      </c>
      <c r="H66" s="14" t="str">
        <f t="shared" si="1"/>
        <v>Mar</v>
      </c>
      <c r="I66" s="15">
        <v>8905302263177</v>
      </c>
      <c r="J66" t="s">
        <v>269</v>
      </c>
      <c r="K66" t="s">
        <v>270</v>
      </c>
      <c r="L66" t="s">
        <v>271</v>
      </c>
      <c r="M66" t="s">
        <v>44</v>
      </c>
      <c r="N66">
        <v>5999</v>
      </c>
      <c r="O66">
        <v>5999</v>
      </c>
      <c r="P66">
        <v>1</v>
      </c>
      <c r="Q66">
        <v>5999</v>
      </c>
      <c r="R66">
        <v>0</v>
      </c>
      <c r="S66">
        <v>0</v>
      </c>
      <c r="T66">
        <v>5999</v>
      </c>
      <c r="U66">
        <f t="shared" si="2"/>
        <v>5999</v>
      </c>
      <c r="V66" t="str">
        <v>Barell Fit Light Blue</v>
      </c>
    </row>
    <row r="67" spans="1:22" ht="19" x14ac:dyDescent="0.25">
      <c r="A67" t="s">
        <v>20</v>
      </c>
      <c r="B67" t="s">
        <v>268</v>
      </c>
      <c r="C67" t="s">
        <v>135</v>
      </c>
      <c r="D67" t="s">
        <v>23</v>
      </c>
      <c r="E67" t="s">
        <v>24</v>
      </c>
      <c r="F67" t="s">
        <v>64</v>
      </c>
      <c r="G67" t="s">
        <v>65</v>
      </c>
      <c r="H67" s="14" t="str">
        <f t="shared" ref="H67:H130" si="3">TEXT(DATE(RIGHT(B67,4),MID(B67,4,2),LEFT(B67,2)),"mmm")</f>
        <v>Mar</v>
      </c>
      <c r="I67" s="15">
        <v>8905302263190</v>
      </c>
      <c r="J67" t="s">
        <v>272</v>
      </c>
      <c r="K67" t="s">
        <v>273</v>
      </c>
      <c r="L67" t="s">
        <v>274</v>
      </c>
      <c r="M67" t="s">
        <v>61</v>
      </c>
      <c r="N67">
        <v>7999</v>
      </c>
      <c r="O67">
        <v>7999</v>
      </c>
      <c r="P67">
        <v>1</v>
      </c>
      <c r="Q67">
        <v>7999</v>
      </c>
      <c r="R67">
        <v>0</v>
      </c>
      <c r="S67">
        <v>0</v>
      </c>
      <c r="T67">
        <v>7999</v>
      </c>
      <c r="U67">
        <f t="shared" si="2"/>
        <v>7999</v>
      </c>
      <c r="V67" t="str">
        <v>Duo Pocket Vintage</v>
      </c>
    </row>
    <row r="68" spans="1:22" ht="19" x14ac:dyDescent="0.25">
      <c r="A68" t="s">
        <v>62</v>
      </c>
      <c r="B68" t="s">
        <v>268</v>
      </c>
      <c r="C68" t="s">
        <v>297</v>
      </c>
      <c r="D68" t="s">
        <v>23</v>
      </c>
      <c r="E68" t="s">
        <v>24</v>
      </c>
      <c r="F68" t="s">
        <v>25</v>
      </c>
      <c r="G68" t="s">
        <v>26</v>
      </c>
      <c r="H68" s="14" t="str">
        <f t="shared" si="3"/>
        <v>Mar</v>
      </c>
      <c r="I68" s="15">
        <v>8905202264842</v>
      </c>
      <c r="J68" t="s">
        <v>58</v>
      </c>
      <c r="K68" t="s">
        <v>59</v>
      </c>
      <c r="L68" t="s">
        <v>60</v>
      </c>
      <c r="M68" t="s">
        <v>61</v>
      </c>
      <c r="N68">
        <v>3995</v>
      </c>
      <c r="O68">
        <v>3995</v>
      </c>
      <c r="P68">
        <v>1</v>
      </c>
      <c r="Q68">
        <v>3995</v>
      </c>
      <c r="R68">
        <v>0</v>
      </c>
      <c r="S68">
        <v>0</v>
      </c>
      <c r="T68">
        <v>3995</v>
      </c>
      <c r="U68">
        <f t="shared" ref="U68:U131" si="4">P68*N68</f>
        <v>3995</v>
      </c>
      <c r="V68" t="str">
        <v xml:space="preserve"> Psy Bear  Terry Drop Shoulder T-Shirt in Black </v>
      </c>
    </row>
    <row r="69" spans="1:22" ht="19" x14ac:dyDescent="0.25">
      <c r="A69" t="s">
        <v>20</v>
      </c>
      <c r="B69" t="s">
        <v>264</v>
      </c>
      <c r="C69" t="s">
        <v>135</v>
      </c>
      <c r="D69" t="s">
        <v>23</v>
      </c>
      <c r="E69" t="s">
        <v>24</v>
      </c>
      <c r="F69" t="s">
        <v>64</v>
      </c>
      <c r="G69" t="s">
        <v>65</v>
      </c>
      <c r="H69" s="14" t="str">
        <f t="shared" si="3"/>
        <v>Mar</v>
      </c>
      <c r="I69" s="15">
        <v>8905302263180</v>
      </c>
      <c r="J69" t="s">
        <v>265</v>
      </c>
      <c r="K69" t="s">
        <v>266</v>
      </c>
      <c r="L69" t="s">
        <v>267</v>
      </c>
      <c r="M69" t="s">
        <v>54</v>
      </c>
      <c r="N69">
        <v>5999</v>
      </c>
      <c r="O69">
        <v>5999</v>
      </c>
      <c r="P69">
        <v>1</v>
      </c>
      <c r="Q69">
        <v>5999</v>
      </c>
      <c r="R69">
        <v>0</v>
      </c>
      <c r="S69">
        <v>0</v>
      </c>
      <c r="T69">
        <v>5999</v>
      </c>
      <c r="U69">
        <f t="shared" si="4"/>
        <v>5999</v>
      </c>
      <c r="V69" t="str">
        <v>Barell Fit Grey</v>
      </c>
    </row>
    <row r="70" spans="1:22" ht="19" x14ac:dyDescent="0.25">
      <c r="A70" t="s">
        <v>62</v>
      </c>
      <c r="B70" t="s">
        <v>264</v>
      </c>
      <c r="C70" t="s">
        <v>293</v>
      </c>
      <c r="D70" t="s">
        <v>23</v>
      </c>
      <c r="E70" t="s">
        <v>24</v>
      </c>
      <c r="F70" t="s">
        <v>64</v>
      </c>
      <c r="G70" t="s">
        <v>294</v>
      </c>
      <c r="H70" s="14" t="str">
        <f t="shared" si="3"/>
        <v>Mar</v>
      </c>
      <c r="I70" s="15">
        <v>8905202268994</v>
      </c>
      <c r="J70" t="s">
        <v>295</v>
      </c>
      <c r="K70">
        <v>8905202268994</v>
      </c>
      <c r="L70" t="s">
        <v>296</v>
      </c>
      <c r="M70" t="s">
        <v>44</v>
      </c>
      <c r="N70">
        <v>2995</v>
      </c>
      <c r="O70">
        <v>2995</v>
      </c>
      <c r="P70">
        <v>1</v>
      </c>
      <c r="Q70">
        <v>2995</v>
      </c>
      <c r="R70">
        <v>0</v>
      </c>
      <c r="S70">
        <v>0</v>
      </c>
      <c r="T70">
        <v>2995</v>
      </c>
      <c r="U70">
        <f t="shared" si="4"/>
        <v>2995</v>
      </c>
      <c r="V70" t="str">
        <v>Official Shorts Navy</v>
      </c>
    </row>
    <row r="71" spans="1:22" ht="19" x14ac:dyDescent="0.25">
      <c r="A71" t="s">
        <v>20</v>
      </c>
      <c r="B71" t="s">
        <v>262</v>
      </c>
      <c r="C71" t="s">
        <v>263</v>
      </c>
      <c r="D71" t="s">
        <v>23</v>
      </c>
      <c r="E71" t="s">
        <v>24</v>
      </c>
      <c r="F71" t="s">
        <v>25</v>
      </c>
      <c r="G71" t="s">
        <v>26</v>
      </c>
      <c r="H71" s="14" t="str">
        <f t="shared" si="3"/>
        <v>Mar</v>
      </c>
      <c r="I71" s="15">
        <v>8905202264729</v>
      </c>
      <c r="J71" t="s">
        <v>28</v>
      </c>
      <c r="K71">
        <v>8905202264729</v>
      </c>
      <c r="L71" t="s">
        <v>29</v>
      </c>
      <c r="M71" t="s">
        <v>30</v>
      </c>
      <c r="N71">
        <v>2995</v>
      </c>
      <c r="O71">
        <v>2995</v>
      </c>
      <c r="P71">
        <v>1</v>
      </c>
      <c r="Q71">
        <v>2995</v>
      </c>
      <c r="R71">
        <v>0</v>
      </c>
      <c r="S71">
        <v>0</v>
      </c>
      <c r="T71">
        <v>2995</v>
      </c>
      <c r="U71">
        <f t="shared" si="4"/>
        <v>2995</v>
      </c>
      <c r="V71" t="str">
        <v xml:space="preserve">X Graphic Terry Free Size Tee in Black </v>
      </c>
    </row>
    <row r="72" spans="1:22" ht="19" x14ac:dyDescent="0.25">
      <c r="A72" t="s">
        <v>20</v>
      </c>
      <c r="B72" t="s">
        <v>260</v>
      </c>
      <c r="C72" t="s">
        <v>261</v>
      </c>
      <c r="D72" t="s">
        <v>23</v>
      </c>
      <c r="E72" t="s">
        <v>24</v>
      </c>
      <c r="F72" t="s">
        <v>25</v>
      </c>
      <c r="G72" t="s">
        <v>26</v>
      </c>
      <c r="H72" s="14" t="str">
        <f t="shared" si="3"/>
        <v>Mar</v>
      </c>
      <c r="I72" s="15">
        <v>8905202264729</v>
      </c>
      <c r="J72" t="s">
        <v>28</v>
      </c>
      <c r="K72">
        <v>8905202264729</v>
      </c>
      <c r="L72" t="s">
        <v>29</v>
      </c>
      <c r="M72" t="s">
        <v>30</v>
      </c>
      <c r="N72">
        <v>2995</v>
      </c>
      <c r="O72">
        <v>2995</v>
      </c>
      <c r="P72">
        <v>1</v>
      </c>
      <c r="Q72">
        <v>2995</v>
      </c>
      <c r="R72">
        <v>0</v>
      </c>
      <c r="S72">
        <v>0</v>
      </c>
      <c r="T72">
        <v>2995</v>
      </c>
      <c r="U72">
        <f t="shared" si="4"/>
        <v>2995</v>
      </c>
      <c r="V72" t="str">
        <v xml:space="preserve">X Graphic Terry Free Size Tee in Black </v>
      </c>
    </row>
    <row r="73" spans="1:22" ht="19" x14ac:dyDescent="0.25">
      <c r="A73" t="s">
        <v>62</v>
      </c>
      <c r="B73" t="s">
        <v>260</v>
      </c>
      <c r="C73" t="s">
        <v>289</v>
      </c>
      <c r="D73" t="s">
        <v>23</v>
      </c>
      <c r="E73" t="s">
        <v>24</v>
      </c>
      <c r="F73" t="s">
        <v>64</v>
      </c>
      <c r="G73" t="s">
        <v>65</v>
      </c>
      <c r="H73" s="14" t="str">
        <f t="shared" si="3"/>
        <v>Mar</v>
      </c>
      <c r="I73" s="15">
        <v>8905302263203</v>
      </c>
      <c r="J73" t="s">
        <v>290</v>
      </c>
      <c r="K73" t="s">
        <v>291</v>
      </c>
      <c r="L73" t="s">
        <v>292</v>
      </c>
      <c r="M73" t="s">
        <v>44</v>
      </c>
      <c r="N73">
        <v>6999</v>
      </c>
      <c r="O73">
        <v>6999</v>
      </c>
      <c r="P73">
        <v>1</v>
      </c>
      <c r="Q73">
        <v>6999</v>
      </c>
      <c r="R73">
        <v>0</v>
      </c>
      <c r="S73">
        <v>0</v>
      </c>
      <c r="T73">
        <v>6999</v>
      </c>
      <c r="U73">
        <f t="shared" si="4"/>
        <v>6999</v>
      </c>
      <c r="V73" t="str">
        <v>Open Bottom Black</v>
      </c>
    </row>
    <row r="74" spans="1:22" ht="19" x14ac:dyDescent="0.25">
      <c r="A74" t="s">
        <v>20</v>
      </c>
      <c r="B74" t="s">
        <v>247</v>
      </c>
      <c r="C74" t="s">
        <v>248</v>
      </c>
      <c r="D74" t="s">
        <v>23</v>
      </c>
      <c r="E74" t="s">
        <v>24</v>
      </c>
      <c r="F74" t="s">
        <v>25</v>
      </c>
      <c r="G74" t="s">
        <v>26</v>
      </c>
      <c r="H74" s="14" t="str">
        <f t="shared" si="3"/>
        <v>Mar</v>
      </c>
      <c r="I74" s="15">
        <v>8905202264859</v>
      </c>
      <c r="J74" t="s">
        <v>249</v>
      </c>
      <c r="K74" t="s">
        <v>250</v>
      </c>
      <c r="L74" t="s">
        <v>251</v>
      </c>
      <c r="M74" t="s">
        <v>84</v>
      </c>
      <c r="N74">
        <v>3995</v>
      </c>
      <c r="O74">
        <v>3995</v>
      </c>
      <c r="P74">
        <v>1</v>
      </c>
      <c r="Q74">
        <v>3995</v>
      </c>
      <c r="R74">
        <v>1198.5</v>
      </c>
      <c r="S74">
        <v>0</v>
      </c>
      <c r="T74">
        <v>2796.5</v>
      </c>
      <c r="U74">
        <f t="shared" si="4"/>
        <v>3995</v>
      </c>
      <c r="V74" t="str">
        <v xml:space="preserve"> Psy Bear  Terry Drop Shoulder T-Shirt in Black </v>
      </c>
    </row>
    <row r="75" spans="1:22" ht="19" x14ac:dyDescent="0.25">
      <c r="A75" t="s">
        <v>20</v>
      </c>
      <c r="B75" t="s">
        <v>247</v>
      </c>
      <c r="C75" t="s">
        <v>248</v>
      </c>
      <c r="D75" t="s">
        <v>23</v>
      </c>
      <c r="E75" t="s">
        <v>24</v>
      </c>
      <c r="F75" t="s">
        <v>25</v>
      </c>
      <c r="G75" t="s">
        <v>26</v>
      </c>
      <c r="H75" s="14" t="str">
        <f t="shared" si="3"/>
        <v>Mar</v>
      </c>
      <c r="I75" s="15">
        <v>8905202269410</v>
      </c>
      <c r="J75" t="s">
        <v>252</v>
      </c>
      <c r="K75">
        <v>8905202269410</v>
      </c>
      <c r="L75" t="s">
        <v>251</v>
      </c>
      <c r="M75" t="s">
        <v>84</v>
      </c>
      <c r="N75">
        <v>4495</v>
      </c>
      <c r="O75">
        <v>4495</v>
      </c>
      <c r="P75">
        <v>1</v>
      </c>
      <c r="Q75">
        <v>4495</v>
      </c>
      <c r="R75">
        <v>1348.5</v>
      </c>
      <c r="S75">
        <v>0</v>
      </c>
      <c r="T75">
        <v>3146.5</v>
      </c>
      <c r="U75">
        <f t="shared" si="4"/>
        <v>4495</v>
      </c>
      <c r="V75" t="str">
        <v>Extinction Drop Shoulder Terry T-Shirt in Black</v>
      </c>
    </row>
    <row r="76" spans="1:22" ht="19" x14ac:dyDescent="0.25">
      <c r="A76" t="s">
        <v>20</v>
      </c>
      <c r="B76" t="s">
        <v>247</v>
      </c>
      <c r="C76" t="s">
        <v>253</v>
      </c>
      <c r="D76" t="s">
        <v>23</v>
      </c>
      <c r="E76" t="s">
        <v>24</v>
      </c>
      <c r="F76" t="s">
        <v>25</v>
      </c>
      <c r="G76" t="s">
        <v>26</v>
      </c>
      <c r="H76" s="14" t="str">
        <f t="shared" si="3"/>
        <v>Mar</v>
      </c>
      <c r="I76" s="15">
        <v>8905202264897</v>
      </c>
      <c r="J76" t="s">
        <v>203</v>
      </c>
      <c r="K76">
        <v>8905202264897</v>
      </c>
      <c r="L76" t="s">
        <v>191</v>
      </c>
      <c r="M76" t="s">
        <v>61</v>
      </c>
      <c r="N76">
        <v>2995</v>
      </c>
      <c r="O76">
        <v>2995</v>
      </c>
      <c r="P76">
        <v>1</v>
      </c>
      <c r="Q76">
        <v>2995</v>
      </c>
      <c r="R76">
        <v>449.25</v>
      </c>
      <c r="S76">
        <v>0</v>
      </c>
      <c r="T76">
        <v>2545.75</v>
      </c>
      <c r="U76">
        <f t="shared" si="4"/>
        <v>2995</v>
      </c>
      <c r="V76" t="str">
        <v xml:space="preserve"> Ballet Queen Drop Shoulder T-Shirt in White</v>
      </c>
    </row>
    <row r="77" spans="1:22" ht="19" x14ac:dyDescent="0.25">
      <c r="A77" t="s">
        <v>20</v>
      </c>
      <c r="B77" t="s">
        <v>247</v>
      </c>
      <c r="C77" t="s">
        <v>255</v>
      </c>
      <c r="D77" t="s">
        <v>23</v>
      </c>
      <c r="E77" t="s">
        <v>24</v>
      </c>
      <c r="F77" t="s">
        <v>64</v>
      </c>
      <c r="G77" t="s">
        <v>65</v>
      </c>
      <c r="H77" s="14" t="str">
        <f t="shared" si="3"/>
        <v>Mar</v>
      </c>
      <c r="I77" s="15">
        <v>8905302263181</v>
      </c>
      <c r="J77" t="s">
        <v>256</v>
      </c>
      <c r="K77" t="s">
        <v>257</v>
      </c>
      <c r="L77" t="s">
        <v>258</v>
      </c>
      <c r="M77" t="s">
        <v>61</v>
      </c>
      <c r="N77">
        <v>5999</v>
      </c>
      <c r="O77">
        <v>5999</v>
      </c>
      <c r="P77">
        <v>1</v>
      </c>
      <c r="Q77">
        <v>5999</v>
      </c>
      <c r="R77">
        <v>899.85</v>
      </c>
      <c r="S77">
        <v>0</v>
      </c>
      <c r="T77">
        <v>5099.1499999999996</v>
      </c>
      <c r="U77">
        <f t="shared" si="4"/>
        <v>5999</v>
      </c>
      <c r="V77" t="str">
        <v>Barell Fit Grey</v>
      </c>
    </row>
    <row r="78" spans="1:22" ht="19" x14ac:dyDescent="0.25">
      <c r="A78" t="s">
        <v>62</v>
      </c>
      <c r="B78" t="s">
        <v>247</v>
      </c>
      <c r="C78" t="s">
        <v>280</v>
      </c>
      <c r="D78" t="s">
        <v>23</v>
      </c>
      <c r="E78" t="s">
        <v>24</v>
      </c>
      <c r="F78" t="s">
        <v>25</v>
      </c>
      <c r="G78" t="s">
        <v>26</v>
      </c>
      <c r="H78" s="14" t="str">
        <f t="shared" si="3"/>
        <v>Mar</v>
      </c>
      <c r="I78" s="15">
        <v>8905302263244</v>
      </c>
      <c r="J78" t="s">
        <v>281</v>
      </c>
      <c r="K78" t="s">
        <v>282</v>
      </c>
      <c r="L78" t="s">
        <v>283</v>
      </c>
      <c r="M78" t="s">
        <v>54</v>
      </c>
      <c r="N78">
        <v>4495</v>
      </c>
      <c r="O78">
        <v>4495</v>
      </c>
      <c r="P78">
        <v>1</v>
      </c>
      <c r="Q78">
        <v>4495</v>
      </c>
      <c r="R78">
        <v>674.25</v>
      </c>
      <c r="S78">
        <v>0</v>
      </c>
      <c r="T78">
        <v>3820.75</v>
      </c>
      <c r="U78">
        <f t="shared" si="4"/>
        <v>4495</v>
      </c>
      <c r="V78" t="str">
        <v>Dual Snakes</v>
      </c>
    </row>
    <row r="79" spans="1:22" ht="19" x14ac:dyDescent="0.25">
      <c r="A79" t="s">
        <v>62</v>
      </c>
      <c r="B79" t="s">
        <v>247</v>
      </c>
      <c r="C79" t="s">
        <v>285</v>
      </c>
      <c r="D79" t="s">
        <v>23</v>
      </c>
      <c r="E79" t="s">
        <v>136</v>
      </c>
      <c r="F79" t="s">
        <v>25</v>
      </c>
      <c r="G79" t="s">
        <v>26</v>
      </c>
      <c r="H79" s="14" t="str">
        <f t="shared" si="3"/>
        <v>Mar</v>
      </c>
      <c r="I79" s="15">
        <v>8905202269250</v>
      </c>
      <c r="J79" t="s">
        <v>139</v>
      </c>
      <c r="K79">
        <v>8905202269250</v>
      </c>
      <c r="L79" t="s">
        <v>140</v>
      </c>
      <c r="M79" t="s">
        <v>61</v>
      </c>
      <c r="N79">
        <v>1995</v>
      </c>
      <c r="O79">
        <v>1995</v>
      </c>
      <c r="P79">
        <v>1</v>
      </c>
      <c r="Q79">
        <v>1995</v>
      </c>
      <c r="R79">
        <v>299.25</v>
      </c>
      <c r="S79">
        <v>0</v>
      </c>
      <c r="T79">
        <v>1695.75</v>
      </c>
      <c r="U79">
        <f t="shared" si="4"/>
        <v>1995</v>
      </c>
      <c r="V79" t="str">
        <v>Core Crop Red</v>
      </c>
    </row>
    <row r="80" spans="1:22" ht="19" x14ac:dyDescent="0.25">
      <c r="A80" t="s">
        <v>62</v>
      </c>
      <c r="B80" t="s">
        <v>247</v>
      </c>
      <c r="C80" t="s">
        <v>286</v>
      </c>
      <c r="D80" t="s">
        <v>23</v>
      </c>
      <c r="E80" t="s">
        <v>136</v>
      </c>
      <c r="F80" t="s">
        <v>25</v>
      </c>
      <c r="G80" t="s">
        <v>26</v>
      </c>
      <c r="H80" s="14" t="str">
        <f t="shared" si="3"/>
        <v>Mar</v>
      </c>
      <c r="I80" s="15">
        <v>8905202268918</v>
      </c>
      <c r="J80" t="s">
        <v>287</v>
      </c>
      <c r="K80">
        <v>8905202268918</v>
      </c>
      <c r="L80" t="s">
        <v>288</v>
      </c>
      <c r="M80" t="s">
        <v>44</v>
      </c>
      <c r="N80">
        <v>1995</v>
      </c>
      <c r="O80">
        <v>1995</v>
      </c>
      <c r="P80">
        <v>1</v>
      </c>
      <c r="Q80">
        <v>1995</v>
      </c>
      <c r="R80">
        <v>299.25</v>
      </c>
      <c r="S80">
        <v>0</v>
      </c>
      <c r="T80">
        <v>1695.75</v>
      </c>
      <c r="U80">
        <f t="shared" si="4"/>
        <v>1995</v>
      </c>
      <c r="V80" t="str">
        <v>Cosmic Intruder Crop - Black</v>
      </c>
    </row>
    <row r="81" spans="1:22" ht="19" x14ac:dyDescent="0.25">
      <c r="A81" t="s">
        <v>62</v>
      </c>
      <c r="B81" t="s">
        <v>622</v>
      </c>
      <c r="C81" t="s">
        <v>623</v>
      </c>
      <c r="D81" t="s">
        <v>23</v>
      </c>
      <c r="E81" t="s">
        <v>24</v>
      </c>
      <c r="F81" t="s">
        <v>25</v>
      </c>
      <c r="G81" t="s">
        <v>34</v>
      </c>
      <c r="H81" s="14" t="str">
        <f t="shared" si="3"/>
        <v>Mar</v>
      </c>
      <c r="I81" s="15">
        <v>8905302263239</v>
      </c>
      <c r="J81" t="s">
        <v>624</v>
      </c>
      <c r="K81" t="s">
        <v>625</v>
      </c>
      <c r="L81" t="s">
        <v>626</v>
      </c>
      <c r="M81" t="s">
        <v>38</v>
      </c>
      <c r="N81">
        <v>5999</v>
      </c>
      <c r="O81">
        <v>5999</v>
      </c>
      <c r="P81">
        <v>1</v>
      </c>
      <c r="Q81">
        <v>5999</v>
      </c>
      <c r="R81">
        <v>899.85</v>
      </c>
      <c r="S81">
        <v>0</v>
      </c>
      <c r="T81">
        <v>5099.1499999999996</v>
      </c>
      <c r="U81">
        <f t="shared" si="4"/>
        <v>5999</v>
      </c>
      <c r="V81" t="str">
        <v>Grunge Denim Charcoal</v>
      </c>
    </row>
    <row r="82" spans="1:22" ht="19" x14ac:dyDescent="0.25">
      <c r="A82" t="s">
        <v>62</v>
      </c>
      <c r="B82" t="s">
        <v>622</v>
      </c>
      <c r="C82" t="s">
        <v>627</v>
      </c>
      <c r="D82" t="s">
        <v>23</v>
      </c>
      <c r="E82" t="s">
        <v>24</v>
      </c>
      <c r="F82" t="s">
        <v>25</v>
      </c>
      <c r="G82" t="s">
        <v>26</v>
      </c>
      <c r="H82" s="14" t="str">
        <f t="shared" si="3"/>
        <v>Mar</v>
      </c>
      <c r="I82" s="15">
        <v>8905202264620</v>
      </c>
      <c r="J82" t="s">
        <v>52</v>
      </c>
      <c r="K82">
        <v>8905202264620</v>
      </c>
      <c r="L82" t="s">
        <v>53</v>
      </c>
      <c r="M82" t="s">
        <v>54</v>
      </c>
      <c r="N82">
        <v>3495</v>
      </c>
      <c r="O82">
        <v>3495</v>
      </c>
      <c r="P82">
        <v>1</v>
      </c>
      <c r="Q82">
        <v>3495</v>
      </c>
      <c r="R82">
        <v>1048.5</v>
      </c>
      <c r="S82">
        <v>0</v>
      </c>
      <c r="T82">
        <v>2446.5</v>
      </c>
      <c r="U82">
        <f t="shared" si="4"/>
        <v>3495</v>
      </c>
      <c r="V82" t="str">
        <v xml:space="preserve">Mumbai  Terry Drop Shoulder T-Shirt in Black </v>
      </c>
    </row>
    <row r="83" spans="1:22" ht="19" x14ac:dyDescent="0.25">
      <c r="A83" t="s">
        <v>62</v>
      </c>
      <c r="B83" t="s">
        <v>622</v>
      </c>
      <c r="C83" t="s">
        <v>627</v>
      </c>
      <c r="D83" t="s">
        <v>23</v>
      </c>
      <c r="E83" t="s">
        <v>24</v>
      </c>
      <c r="F83" t="s">
        <v>25</v>
      </c>
      <c r="G83" t="s">
        <v>26</v>
      </c>
      <c r="H83" s="14" t="str">
        <f t="shared" si="3"/>
        <v>Mar</v>
      </c>
      <c r="I83" s="15">
        <v>8905202269298</v>
      </c>
      <c r="J83" t="s">
        <v>628</v>
      </c>
      <c r="K83">
        <v>8905202269298</v>
      </c>
      <c r="L83" t="s">
        <v>53</v>
      </c>
      <c r="M83" t="s">
        <v>54</v>
      </c>
      <c r="N83">
        <v>3495</v>
      </c>
      <c r="O83">
        <v>3495</v>
      </c>
      <c r="P83">
        <v>1</v>
      </c>
      <c r="Q83">
        <v>3495</v>
      </c>
      <c r="R83">
        <v>1048.5</v>
      </c>
      <c r="S83">
        <v>0</v>
      </c>
      <c r="T83">
        <v>2446.5</v>
      </c>
      <c r="U83">
        <f t="shared" si="4"/>
        <v>3495</v>
      </c>
      <c r="V83" t="str">
        <v xml:space="preserve">Back Graffti print Drop Shoulder Crew Neck T-Shirt                                                 </v>
      </c>
    </row>
    <row r="84" spans="1:22" ht="19" x14ac:dyDescent="0.25">
      <c r="A84" t="s">
        <v>62</v>
      </c>
      <c r="B84" t="s">
        <v>622</v>
      </c>
      <c r="C84" t="s">
        <v>629</v>
      </c>
      <c r="D84" t="s">
        <v>23</v>
      </c>
      <c r="E84" t="s">
        <v>136</v>
      </c>
      <c r="F84" t="s">
        <v>25</v>
      </c>
      <c r="G84" t="s">
        <v>26</v>
      </c>
      <c r="H84" s="14" t="str">
        <f t="shared" si="3"/>
        <v>Mar</v>
      </c>
      <c r="I84" s="15">
        <v>8905202268888</v>
      </c>
      <c r="J84" t="s">
        <v>630</v>
      </c>
      <c r="K84">
        <v>8905202268888</v>
      </c>
      <c r="L84" t="s">
        <v>631</v>
      </c>
      <c r="M84" t="s">
        <v>369</v>
      </c>
      <c r="N84">
        <v>1995</v>
      </c>
      <c r="O84">
        <v>1995</v>
      </c>
      <c r="P84">
        <v>1</v>
      </c>
      <c r="Q84">
        <v>1995</v>
      </c>
      <c r="R84">
        <v>299.25</v>
      </c>
      <c r="S84">
        <v>0</v>
      </c>
      <c r="T84">
        <v>1695.75</v>
      </c>
      <c r="U84">
        <f t="shared" si="4"/>
        <v>1995</v>
      </c>
      <c r="V84" t="str">
        <v>Cosmic Intruder Crop - Black</v>
      </c>
    </row>
    <row r="85" spans="1:22" ht="19" x14ac:dyDescent="0.25">
      <c r="A85" t="s">
        <v>62</v>
      </c>
      <c r="B85" t="s">
        <v>613</v>
      </c>
      <c r="C85" t="s">
        <v>614</v>
      </c>
      <c r="D85" t="s">
        <v>23</v>
      </c>
      <c r="E85" t="s">
        <v>24</v>
      </c>
      <c r="F85" t="s">
        <v>25</v>
      </c>
      <c r="G85" t="s">
        <v>34</v>
      </c>
      <c r="H85" s="14" t="str">
        <f t="shared" si="3"/>
        <v>Mar</v>
      </c>
      <c r="I85" s="15">
        <v>8905302263234</v>
      </c>
      <c r="J85" t="s">
        <v>41</v>
      </c>
      <c r="K85" t="s">
        <v>42</v>
      </c>
      <c r="L85" t="s">
        <v>43</v>
      </c>
      <c r="M85" t="s">
        <v>44</v>
      </c>
      <c r="N85">
        <v>5999</v>
      </c>
      <c r="O85">
        <v>5999</v>
      </c>
      <c r="P85">
        <v>1</v>
      </c>
      <c r="Q85">
        <v>5999</v>
      </c>
      <c r="R85">
        <v>899.85</v>
      </c>
      <c r="S85">
        <v>0</v>
      </c>
      <c r="T85">
        <v>5099.1499999999996</v>
      </c>
      <c r="U85">
        <f t="shared" si="4"/>
        <v>5999</v>
      </c>
      <c r="V85" t="str">
        <v>Oversized Mustard</v>
      </c>
    </row>
    <row r="86" spans="1:22" ht="19" x14ac:dyDescent="0.25">
      <c r="A86" t="s">
        <v>62</v>
      </c>
      <c r="B86" t="s">
        <v>613</v>
      </c>
      <c r="C86" t="s">
        <v>615</v>
      </c>
      <c r="D86" t="s">
        <v>23</v>
      </c>
      <c r="E86" t="s">
        <v>24</v>
      </c>
      <c r="F86" t="s">
        <v>25</v>
      </c>
      <c r="G86" t="s">
        <v>34</v>
      </c>
      <c r="H86" s="14" t="str">
        <f t="shared" si="3"/>
        <v>Mar</v>
      </c>
      <c r="I86" s="15">
        <v>8905302263232</v>
      </c>
      <c r="J86" t="s">
        <v>616</v>
      </c>
      <c r="K86" t="s">
        <v>617</v>
      </c>
      <c r="L86" t="s">
        <v>618</v>
      </c>
      <c r="M86" t="s">
        <v>38</v>
      </c>
      <c r="N86">
        <v>5999</v>
      </c>
      <c r="O86">
        <v>5999</v>
      </c>
      <c r="P86">
        <v>1</v>
      </c>
      <c r="Q86">
        <v>5999</v>
      </c>
      <c r="R86">
        <v>1799.7</v>
      </c>
      <c r="S86">
        <v>0</v>
      </c>
      <c r="T86">
        <v>4199.3</v>
      </c>
      <c r="U86">
        <f t="shared" si="4"/>
        <v>5999</v>
      </c>
      <c r="V86" t="str">
        <v>CD Drop Shoulder Beige</v>
      </c>
    </row>
    <row r="87" spans="1:22" ht="19" x14ac:dyDescent="0.25">
      <c r="A87" t="s">
        <v>62</v>
      </c>
      <c r="B87" t="s">
        <v>613</v>
      </c>
      <c r="C87" t="s">
        <v>615</v>
      </c>
      <c r="D87" t="s">
        <v>23</v>
      </c>
      <c r="E87" t="s">
        <v>24</v>
      </c>
      <c r="F87" t="s">
        <v>25</v>
      </c>
      <c r="G87" t="s">
        <v>34</v>
      </c>
      <c r="H87" s="14" t="str">
        <f t="shared" si="3"/>
        <v>Mar</v>
      </c>
      <c r="I87" s="15">
        <v>8905302263243</v>
      </c>
      <c r="J87" t="s">
        <v>619</v>
      </c>
      <c r="K87" t="s">
        <v>620</v>
      </c>
      <c r="L87" t="s">
        <v>621</v>
      </c>
      <c r="M87" t="s">
        <v>38</v>
      </c>
      <c r="N87">
        <v>5999</v>
      </c>
      <c r="O87">
        <v>5999</v>
      </c>
      <c r="P87">
        <v>1</v>
      </c>
      <c r="Q87">
        <v>5999</v>
      </c>
      <c r="R87">
        <v>1799.7</v>
      </c>
      <c r="S87">
        <v>0</v>
      </c>
      <c r="T87">
        <v>4199.3</v>
      </c>
      <c r="U87">
        <f t="shared" si="4"/>
        <v>5999</v>
      </c>
      <c r="V87" t="str">
        <v>Grunge Denim Blue</v>
      </c>
    </row>
    <row r="88" spans="1:22" ht="19" x14ac:dyDescent="0.25">
      <c r="A88" t="s">
        <v>62</v>
      </c>
      <c r="B88" t="s">
        <v>415</v>
      </c>
      <c r="C88" t="s">
        <v>418</v>
      </c>
      <c r="D88" t="s">
        <v>23</v>
      </c>
      <c r="E88" t="s">
        <v>24</v>
      </c>
      <c r="F88" t="s">
        <v>25</v>
      </c>
      <c r="G88" t="s">
        <v>34</v>
      </c>
      <c r="H88" s="14" t="str">
        <f t="shared" si="3"/>
        <v>Apr</v>
      </c>
      <c r="I88" s="15">
        <v>8905302263228</v>
      </c>
      <c r="J88" t="s">
        <v>421</v>
      </c>
      <c r="K88" t="s">
        <v>420</v>
      </c>
      <c r="L88" t="s">
        <v>419</v>
      </c>
      <c r="M88" t="s">
        <v>44</v>
      </c>
      <c r="N88">
        <v>5999</v>
      </c>
      <c r="O88">
        <v>5999</v>
      </c>
      <c r="P88">
        <v>1</v>
      </c>
      <c r="Q88">
        <v>5999</v>
      </c>
      <c r="R88">
        <v>1799.7</v>
      </c>
      <c r="S88">
        <v>0</v>
      </c>
      <c r="T88">
        <v>4199.3</v>
      </c>
      <c r="U88">
        <f t="shared" si="4"/>
        <v>5999</v>
      </c>
      <c r="V88" t="str">
        <v>CD Drop Shoulder Olive</v>
      </c>
    </row>
    <row r="89" spans="1:22" ht="19" x14ac:dyDescent="0.25">
      <c r="A89" t="s">
        <v>62</v>
      </c>
      <c r="B89" t="s">
        <v>415</v>
      </c>
      <c r="C89" t="s">
        <v>418</v>
      </c>
      <c r="D89" t="s">
        <v>23</v>
      </c>
      <c r="E89" t="s">
        <v>24</v>
      </c>
      <c r="F89" t="s">
        <v>25</v>
      </c>
      <c r="G89" t="s">
        <v>26</v>
      </c>
      <c r="H89" s="14" t="str">
        <f t="shared" si="3"/>
        <v>Apr</v>
      </c>
      <c r="I89" s="15">
        <v>8905202264880</v>
      </c>
      <c r="J89" t="s">
        <v>417</v>
      </c>
      <c r="K89">
        <v>8905202264880</v>
      </c>
      <c r="L89" t="s">
        <v>416</v>
      </c>
      <c r="M89" t="s">
        <v>54</v>
      </c>
      <c r="N89">
        <v>2995</v>
      </c>
      <c r="O89">
        <v>2995</v>
      </c>
      <c r="P89">
        <v>1</v>
      </c>
      <c r="Q89">
        <v>2995</v>
      </c>
      <c r="R89">
        <v>898.5</v>
      </c>
      <c r="S89">
        <v>0</v>
      </c>
      <c r="T89">
        <v>2096.5</v>
      </c>
      <c r="U89">
        <f t="shared" si="4"/>
        <v>2995</v>
      </c>
      <c r="V89" t="str">
        <v xml:space="preserve"> Ballet Queen Drop Shoulder T-Shirt in White</v>
      </c>
    </row>
    <row r="90" spans="1:22" ht="19" x14ac:dyDescent="0.25">
      <c r="A90" t="s">
        <v>62</v>
      </c>
      <c r="B90" t="s">
        <v>415</v>
      </c>
      <c r="C90" t="s">
        <v>414</v>
      </c>
      <c r="D90" t="s">
        <v>23</v>
      </c>
      <c r="E90" t="s">
        <v>24</v>
      </c>
      <c r="F90" t="s">
        <v>25</v>
      </c>
      <c r="G90" t="s">
        <v>26</v>
      </c>
      <c r="H90" s="14" t="str">
        <f t="shared" si="3"/>
        <v>Apr</v>
      </c>
      <c r="I90" s="15">
        <v>8905202265009</v>
      </c>
      <c r="J90" t="s">
        <v>413</v>
      </c>
      <c r="K90">
        <v>8905202265009</v>
      </c>
      <c r="L90" t="s">
        <v>412</v>
      </c>
      <c r="M90" t="s">
        <v>84</v>
      </c>
      <c r="N90">
        <v>2995</v>
      </c>
      <c r="O90">
        <v>2995</v>
      </c>
      <c r="P90">
        <v>1</v>
      </c>
      <c r="Q90">
        <v>2995</v>
      </c>
      <c r="R90">
        <v>449.25</v>
      </c>
      <c r="S90">
        <v>0</v>
      </c>
      <c r="T90">
        <v>2545.75</v>
      </c>
      <c r="U90">
        <f t="shared" si="4"/>
        <v>2995</v>
      </c>
      <c r="V90" t="str">
        <v xml:space="preserve"> Ballet Queen Drop Shoulder T-Shirt in White</v>
      </c>
    </row>
    <row r="91" spans="1:22" ht="19" x14ac:dyDescent="0.25">
      <c r="A91" t="s">
        <v>62</v>
      </c>
      <c r="B91" t="s">
        <v>426</v>
      </c>
      <c r="C91" t="s">
        <v>425</v>
      </c>
      <c r="D91" t="s">
        <v>23</v>
      </c>
      <c r="E91" t="s">
        <v>24</v>
      </c>
      <c r="F91" t="s">
        <v>25</v>
      </c>
      <c r="G91" t="s">
        <v>34</v>
      </c>
      <c r="H91" s="14" t="str">
        <f t="shared" si="3"/>
        <v>Apr</v>
      </c>
      <c r="I91" s="15">
        <v>8905302263248</v>
      </c>
      <c r="J91" t="s">
        <v>424</v>
      </c>
      <c r="K91" t="s">
        <v>423</v>
      </c>
      <c r="L91" t="s">
        <v>422</v>
      </c>
      <c r="M91" t="s">
        <v>38</v>
      </c>
      <c r="N91">
        <v>5999</v>
      </c>
      <c r="O91">
        <v>5999</v>
      </c>
      <c r="P91">
        <v>1</v>
      </c>
      <c r="Q91">
        <v>5999</v>
      </c>
      <c r="R91">
        <v>0</v>
      </c>
      <c r="S91">
        <v>0</v>
      </c>
      <c r="T91">
        <v>5999</v>
      </c>
      <c r="U91">
        <f t="shared" si="4"/>
        <v>5999</v>
      </c>
      <c r="V91" t="str">
        <v>Half Moon Blue</v>
      </c>
    </row>
    <row r="92" spans="1:22" ht="19" x14ac:dyDescent="0.25">
      <c r="A92" t="s">
        <v>20</v>
      </c>
      <c r="B92" t="s">
        <v>467</v>
      </c>
      <c r="C92" t="s">
        <v>466</v>
      </c>
      <c r="D92" t="s">
        <v>23</v>
      </c>
      <c r="E92" t="s">
        <v>24</v>
      </c>
      <c r="F92" t="s">
        <v>25</v>
      </c>
      <c r="G92" t="s">
        <v>26</v>
      </c>
      <c r="H92" s="14" t="str">
        <f t="shared" si="3"/>
        <v>Apr</v>
      </c>
      <c r="I92" s="15">
        <v>8905202264729</v>
      </c>
      <c r="J92" t="s">
        <v>28</v>
      </c>
      <c r="K92">
        <v>8905202264729</v>
      </c>
      <c r="L92" t="s">
        <v>29</v>
      </c>
      <c r="M92" t="s">
        <v>30</v>
      </c>
      <c r="N92">
        <v>2995</v>
      </c>
      <c r="O92">
        <v>2995</v>
      </c>
      <c r="P92">
        <v>1</v>
      </c>
      <c r="Q92">
        <v>2995</v>
      </c>
      <c r="R92">
        <v>0</v>
      </c>
      <c r="S92">
        <v>0</v>
      </c>
      <c r="T92">
        <v>2995</v>
      </c>
      <c r="U92">
        <f t="shared" si="4"/>
        <v>2995</v>
      </c>
      <c r="V92" t="str">
        <v xml:space="preserve">X Graphic Terry Free Size Tee in Black </v>
      </c>
    </row>
    <row r="93" spans="1:22" ht="19" x14ac:dyDescent="0.25">
      <c r="A93" t="s">
        <v>20</v>
      </c>
      <c r="B93" t="s">
        <v>469</v>
      </c>
      <c r="C93" t="s">
        <v>470</v>
      </c>
      <c r="D93" t="s">
        <v>23</v>
      </c>
      <c r="E93" t="s">
        <v>24</v>
      </c>
      <c r="F93" t="s">
        <v>25</v>
      </c>
      <c r="G93" t="s">
        <v>26</v>
      </c>
      <c r="H93" s="14" t="str">
        <f t="shared" si="3"/>
        <v>Apr</v>
      </c>
      <c r="I93" s="15">
        <v>8905202264873</v>
      </c>
      <c r="J93" t="s">
        <v>130</v>
      </c>
      <c r="K93" t="s">
        <v>131</v>
      </c>
      <c r="L93" t="s">
        <v>94</v>
      </c>
      <c r="M93" t="s">
        <v>44</v>
      </c>
      <c r="N93">
        <v>3995</v>
      </c>
      <c r="O93">
        <v>3995</v>
      </c>
      <c r="P93">
        <v>1</v>
      </c>
      <c r="Q93">
        <v>3995</v>
      </c>
      <c r="R93">
        <v>0</v>
      </c>
      <c r="S93">
        <v>0</v>
      </c>
      <c r="T93">
        <v>3995</v>
      </c>
      <c r="U93">
        <f t="shared" si="4"/>
        <v>3995</v>
      </c>
      <c r="V93" t="str">
        <v xml:space="preserve"> Psy Bear  Terry Drop Shoulder T-Shirt in Black </v>
      </c>
    </row>
    <row r="94" spans="1:22" ht="19" x14ac:dyDescent="0.25">
      <c r="A94" t="s">
        <v>20</v>
      </c>
      <c r="B94" t="s">
        <v>469</v>
      </c>
      <c r="C94" t="s">
        <v>468</v>
      </c>
      <c r="D94" t="s">
        <v>23</v>
      </c>
      <c r="E94" t="s">
        <v>24</v>
      </c>
      <c r="F94" t="s">
        <v>25</v>
      </c>
      <c r="G94" t="s">
        <v>26</v>
      </c>
      <c r="H94" s="14" t="str">
        <f t="shared" si="3"/>
        <v>Apr</v>
      </c>
      <c r="I94" s="15">
        <v>8905202264910</v>
      </c>
      <c r="J94" t="s">
        <v>85</v>
      </c>
      <c r="K94" t="s">
        <v>86</v>
      </c>
      <c r="L94" t="s">
        <v>87</v>
      </c>
      <c r="M94" t="s">
        <v>38</v>
      </c>
      <c r="N94">
        <v>2995</v>
      </c>
      <c r="O94">
        <v>2995</v>
      </c>
      <c r="P94">
        <v>1</v>
      </c>
      <c r="Q94">
        <v>2995</v>
      </c>
      <c r="R94">
        <v>0</v>
      </c>
      <c r="S94">
        <v>0</v>
      </c>
      <c r="T94">
        <v>2995</v>
      </c>
      <c r="U94">
        <f t="shared" si="4"/>
        <v>2995</v>
      </c>
      <c r="V94" t="str">
        <v xml:space="preserve">Stamp Tshirt in Blue </v>
      </c>
    </row>
    <row r="95" spans="1:22" ht="19" x14ac:dyDescent="0.25">
      <c r="A95" t="s">
        <v>20</v>
      </c>
      <c r="B95" t="s">
        <v>472</v>
      </c>
      <c r="C95" t="s">
        <v>471</v>
      </c>
      <c r="D95" t="s">
        <v>23</v>
      </c>
      <c r="E95" t="s">
        <v>24</v>
      </c>
      <c r="F95" t="s">
        <v>64</v>
      </c>
      <c r="G95" t="s">
        <v>65</v>
      </c>
      <c r="H95" s="14" t="str">
        <f t="shared" si="3"/>
        <v>Apr</v>
      </c>
      <c r="I95" s="15">
        <v>8905302263205</v>
      </c>
      <c r="J95" t="s">
        <v>461</v>
      </c>
      <c r="K95" t="s">
        <v>460</v>
      </c>
      <c r="L95" t="s">
        <v>459</v>
      </c>
      <c r="M95" t="s">
        <v>38</v>
      </c>
      <c r="N95">
        <v>6999</v>
      </c>
      <c r="O95">
        <v>6999</v>
      </c>
      <c r="P95">
        <v>1</v>
      </c>
      <c r="Q95">
        <v>6999</v>
      </c>
      <c r="R95">
        <v>0</v>
      </c>
      <c r="S95">
        <v>0</v>
      </c>
      <c r="T95">
        <v>6999</v>
      </c>
      <c r="U95">
        <f t="shared" si="4"/>
        <v>6999</v>
      </c>
      <c r="V95" t="str">
        <v>Open Bottom Black</v>
      </c>
    </row>
    <row r="96" spans="1:22" ht="19" x14ac:dyDescent="0.25">
      <c r="A96" t="s">
        <v>62</v>
      </c>
      <c r="B96" t="s">
        <v>431</v>
      </c>
      <c r="C96" t="s">
        <v>435</v>
      </c>
      <c r="D96" t="s">
        <v>23</v>
      </c>
      <c r="E96" t="s">
        <v>24</v>
      </c>
      <c r="F96" t="s">
        <v>25</v>
      </c>
      <c r="G96" t="s">
        <v>26</v>
      </c>
      <c r="H96" s="14" t="str">
        <f t="shared" si="3"/>
        <v>Apr</v>
      </c>
      <c r="I96" s="15">
        <v>8905202264705</v>
      </c>
      <c r="J96" t="s">
        <v>438</v>
      </c>
      <c r="K96" t="s">
        <v>437</v>
      </c>
      <c r="L96" t="s">
        <v>436</v>
      </c>
      <c r="M96" t="s">
        <v>30</v>
      </c>
      <c r="N96">
        <v>3495</v>
      </c>
      <c r="O96">
        <v>3495</v>
      </c>
      <c r="P96">
        <v>1</v>
      </c>
      <c r="Q96">
        <v>3495</v>
      </c>
      <c r="R96">
        <v>0</v>
      </c>
      <c r="S96">
        <v>0</v>
      </c>
      <c r="T96">
        <v>3495</v>
      </c>
      <c r="U96">
        <f t="shared" si="4"/>
        <v>3495</v>
      </c>
      <c r="V96" t="str">
        <v>Mosquito Embroidered Terry Free Size Tee in White</v>
      </c>
    </row>
    <row r="97" spans="1:22" ht="19" x14ac:dyDescent="0.25">
      <c r="A97" t="s">
        <v>62</v>
      </c>
      <c r="B97" t="s">
        <v>431</v>
      </c>
      <c r="C97" t="s">
        <v>435</v>
      </c>
      <c r="D97" t="s">
        <v>23</v>
      </c>
      <c r="E97" t="s">
        <v>24</v>
      </c>
      <c r="F97" t="s">
        <v>25</v>
      </c>
      <c r="G97" t="s">
        <v>26</v>
      </c>
      <c r="H97" s="14" t="str">
        <f t="shared" si="3"/>
        <v>Apr</v>
      </c>
      <c r="I97" s="15">
        <v>8905202264859</v>
      </c>
      <c r="J97" t="s">
        <v>249</v>
      </c>
      <c r="K97" t="s">
        <v>250</v>
      </c>
      <c r="L97" t="s">
        <v>251</v>
      </c>
      <c r="M97" t="s">
        <v>84</v>
      </c>
      <c r="N97">
        <v>3995</v>
      </c>
      <c r="O97">
        <v>3995</v>
      </c>
      <c r="P97">
        <v>1</v>
      </c>
      <c r="Q97">
        <v>3995</v>
      </c>
      <c r="R97">
        <v>0</v>
      </c>
      <c r="S97">
        <v>0</v>
      </c>
      <c r="T97">
        <v>3995</v>
      </c>
      <c r="U97">
        <f t="shared" si="4"/>
        <v>3995</v>
      </c>
      <c r="V97" t="str">
        <v xml:space="preserve"> Psy Bear  Terry Drop Shoulder T-Shirt in Black </v>
      </c>
    </row>
    <row r="98" spans="1:22" ht="19" x14ac:dyDescent="0.25">
      <c r="A98" t="s">
        <v>62</v>
      </c>
      <c r="B98" t="s">
        <v>431</v>
      </c>
      <c r="C98" t="s">
        <v>430</v>
      </c>
      <c r="D98" t="s">
        <v>23</v>
      </c>
      <c r="E98" t="s">
        <v>24</v>
      </c>
      <c r="F98" t="s">
        <v>64</v>
      </c>
      <c r="G98" t="s">
        <v>65</v>
      </c>
      <c r="H98" s="14" t="str">
        <f t="shared" si="3"/>
        <v>Apr</v>
      </c>
      <c r="I98" s="15">
        <v>8905302263198</v>
      </c>
      <c r="J98" t="s">
        <v>434</v>
      </c>
      <c r="K98" t="s">
        <v>433</v>
      </c>
      <c r="L98" t="s">
        <v>432</v>
      </c>
      <c r="M98" t="s">
        <v>44</v>
      </c>
      <c r="N98">
        <v>6999</v>
      </c>
      <c r="O98">
        <v>6999</v>
      </c>
      <c r="P98">
        <v>1</v>
      </c>
      <c r="Q98">
        <v>6999</v>
      </c>
      <c r="R98">
        <v>0</v>
      </c>
      <c r="S98">
        <v>0</v>
      </c>
      <c r="T98">
        <v>6999</v>
      </c>
      <c r="U98">
        <f t="shared" si="4"/>
        <v>6999</v>
      </c>
      <c r="V98" t="str">
        <v>Stud Black</v>
      </c>
    </row>
    <row r="99" spans="1:22" ht="19" x14ac:dyDescent="0.25">
      <c r="A99" t="s">
        <v>62</v>
      </c>
      <c r="B99" t="s">
        <v>431</v>
      </c>
      <c r="C99" t="s">
        <v>430</v>
      </c>
      <c r="D99" t="s">
        <v>23</v>
      </c>
      <c r="E99" t="s">
        <v>24</v>
      </c>
      <c r="F99" t="s">
        <v>64</v>
      </c>
      <c r="G99" t="s">
        <v>65</v>
      </c>
      <c r="H99" s="14" t="str">
        <f t="shared" si="3"/>
        <v>Apr</v>
      </c>
      <c r="I99" s="15">
        <v>8905302263208</v>
      </c>
      <c r="J99" t="s">
        <v>429</v>
      </c>
      <c r="K99" t="s">
        <v>428</v>
      </c>
      <c r="L99" t="s">
        <v>427</v>
      </c>
      <c r="M99" t="s">
        <v>44</v>
      </c>
      <c r="N99">
        <v>5999</v>
      </c>
      <c r="O99">
        <v>5999</v>
      </c>
      <c r="P99">
        <v>1</v>
      </c>
      <c r="Q99">
        <v>5999</v>
      </c>
      <c r="R99">
        <v>0</v>
      </c>
      <c r="S99">
        <v>0</v>
      </c>
      <c r="T99">
        <v>5999</v>
      </c>
      <c r="U99">
        <f t="shared" si="4"/>
        <v>5999</v>
      </c>
      <c r="V99" t="str">
        <v>Half Moon Blue</v>
      </c>
    </row>
    <row r="100" spans="1:22" ht="19" x14ac:dyDescent="0.25">
      <c r="A100" t="s">
        <v>20</v>
      </c>
      <c r="B100" t="s">
        <v>443</v>
      </c>
      <c r="C100" t="s">
        <v>482</v>
      </c>
      <c r="D100" t="s">
        <v>23</v>
      </c>
      <c r="E100" t="s">
        <v>24</v>
      </c>
      <c r="F100" t="s">
        <v>25</v>
      </c>
      <c r="G100" t="s">
        <v>26</v>
      </c>
      <c r="H100" s="14" t="str">
        <f t="shared" si="3"/>
        <v>Apr</v>
      </c>
      <c r="I100" s="15">
        <v>8905202264842</v>
      </c>
      <c r="J100" t="s">
        <v>58</v>
      </c>
      <c r="K100" t="s">
        <v>59</v>
      </c>
      <c r="L100" t="s">
        <v>60</v>
      </c>
      <c r="M100" t="s">
        <v>61</v>
      </c>
      <c r="N100">
        <v>3995</v>
      </c>
      <c r="O100">
        <v>3995</v>
      </c>
      <c r="P100">
        <v>1</v>
      </c>
      <c r="Q100">
        <v>3995</v>
      </c>
      <c r="R100">
        <v>599.25</v>
      </c>
      <c r="S100">
        <v>0</v>
      </c>
      <c r="T100">
        <v>3395.75</v>
      </c>
      <c r="U100">
        <f t="shared" si="4"/>
        <v>3995</v>
      </c>
      <c r="V100" t="str">
        <v xml:space="preserve"> Psy Bear  Terry Drop Shoulder T-Shirt in Black </v>
      </c>
    </row>
    <row r="101" spans="1:22" ht="19" x14ac:dyDescent="0.25">
      <c r="A101" t="s">
        <v>20</v>
      </c>
      <c r="B101" t="s">
        <v>443</v>
      </c>
      <c r="C101" t="s">
        <v>479</v>
      </c>
      <c r="D101" t="s">
        <v>23</v>
      </c>
      <c r="E101" t="s">
        <v>24</v>
      </c>
      <c r="F101" t="s">
        <v>25</v>
      </c>
      <c r="G101" t="s">
        <v>26</v>
      </c>
      <c r="H101" s="14" t="str">
        <f t="shared" si="3"/>
        <v>Apr</v>
      </c>
      <c r="I101" s="15">
        <v>8905202264675</v>
      </c>
      <c r="J101" t="s">
        <v>481</v>
      </c>
      <c r="K101" t="s">
        <v>480</v>
      </c>
      <c r="L101" t="s">
        <v>53</v>
      </c>
      <c r="M101" t="s">
        <v>54</v>
      </c>
      <c r="N101">
        <v>2995</v>
      </c>
      <c r="O101">
        <v>2995</v>
      </c>
      <c r="P101">
        <v>1</v>
      </c>
      <c r="Q101">
        <v>2995</v>
      </c>
      <c r="R101">
        <v>898.5</v>
      </c>
      <c r="S101">
        <v>0</v>
      </c>
      <c r="T101">
        <v>2096.5</v>
      </c>
      <c r="U101">
        <f t="shared" si="4"/>
        <v>2995</v>
      </c>
      <c r="V101" t="str">
        <v xml:space="preserve">David full print Drop Shoulder Crew Neck T-Shirt                                                 </v>
      </c>
    </row>
    <row r="102" spans="1:22" ht="19" x14ac:dyDescent="0.25">
      <c r="A102" t="s">
        <v>20</v>
      </c>
      <c r="B102" t="s">
        <v>443</v>
      </c>
      <c r="C102" t="s">
        <v>479</v>
      </c>
      <c r="D102" t="s">
        <v>23</v>
      </c>
      <c r="E102" t="s">
        <v>24</v>
      </c>
      <c r="F102" t="s">
        <v>25</v>
      </c>
      <c r="G102" t="s">
        <v>26</v>
      </c>
      <c r="H102" s="14" t="str">
        <f t="shared" si="3"/>
        <v>Apr</v>
      </c>
      <c r="I102" s="15">
        <v>8905202269090</v>
      </c>
      <c r="J102" t="s">
        <v>478</v>
      </c>
      <c r="K102" t="s">
        <v>477</v>
      </c>
      <c r="L102" t="s">
        <v>416</v>
      </c>
      <c r="M102" t="s">
        <v>54</v>
      </c>
      <c r="N102">
        <v>3495</v>
      </c>
      <c r="O102">
        <v>3495</v>
      </c>
      <c r="P102">
        <v>1</v>
      </c>
      <c r="Q102">
        <v>3495</v>
      </c>
      <c r="R102">
        <v>1048.5</v>
      </c>
      <c r="S102">
        <v>0</v>
      </c>
      <c r="T102">
        <v>2446.5</v>
      </c>
      <c r="U102">
        <f t="shared" si="4"/>
        <v>3495</v>
      </c>
      <c r="V102" t="str">
        <v>MENS  Oversized  T-Shirt London</v>
      </c>
    </row>
    <row r="103" spans="1:22" ht="19" x14ac:dyDescent="0.25">
      <c r="A103" t="s">
        <v>20</v>
      </c>
      <c r="B103" t="s">
        <v>443</v>
      </c>
      <c r="C103" t="s">
        <v>476</v>
      </c>
      <c r="D103" t="s">
        <v>23</v>
      </c>
      <c r="E103" t="s">
        <v>24</v>
      </c>
      <c r="F103" t="s">
        <v>64</v>
      </c>
      <c r="G103" t="s">
        <v>65</v>
      </c>
      <c r="H103" s="14" t="str">
        <f t="shared" si="3"/>
        <v>Apr</v>
      </c>
      <c r="I103" s="15">
        <v>8905302263202</v>
      </c>
      <c r="J103" t="s">
        <v>475</v>
      </c>
      <c r="K103" t="s">
        <v>474</v>
      </c>
      <c r="L103" t="s">
        <v>473</v>
      </c>
      <c r="M103" t="s">
        <v>61</v>
      </c>
      <c r="N103">
        <v>6999</v>
      </c>
      <c r="O103">
        <v>6999</v>
      </c>
      <c r="P103">
        <v>1</v>
      </c>
      <c r="Q103">
        <v>6999</v>
      </c>
      <c r="R103">
        <v>1049.8499999999999</v>
      </c>
      <c r="S103">
        <v>0</v>
      </c>
      <c r="T103">
        <v>5949.15</v>
      </c>
      <c r="U103">
        <f t="shared" si="4"/>
        <v>6999</v>
      </c>
      <c r="V103" t="str">
        <v>Open Bottom Black</v>
      </c>
    </row>
    <row r="104" spans="1:22" ht="19" x14ac:dyDescent="0.25">
      <c r="A104" t="s">
        <v>62</v>
      </c>
      <c r="B104" t="s">
        <v>443</v>
      </c>
      <c r="C104" t="s">
        <v>444</v>
      </c>
      <c r="D104" t="s">
        <v>23</v>
      </c>
      <c r="E104" t="s">
        <v>24</v>
      </c>
      <c r="F104" t="s">
        <v>25</v>
      </c>
      <c r="G104" t="s">
        <v>26</v>
      </c>
      <c r="H104" s="14" t="str">
        <f t="shared" si="3"/>
        <v>Apr</v>
      </c>
      <c r="I104" s="15">
        <v>8905202264705</v>
      </c>
      <c r="J104" t="s">
        <v>438</v>
      </c>
      <c r="K104" t="s">
        <v>437</v>
      </c>
      <c r="L104" t="s">
        <v>436</v>
      </c>
      <c r="M104" t="s">
        <v>30</v>
      </c>
      <c r="N104">
        <v>3495</v>
      </c>
      <c r="O104">
        <v>3495</v>
      </c>
      <c r="P104">
        <v>1</v>
      </c>
      <c r="Q104">
        <v>3495</v>
      </c>
      <c r="R104">
        <v>524.25</v>
      </c>
      <c r="S104">
        <v>0</v>
      </c>
      <c r="T104">
        <v>2970.75</v>
      </c>
      <c r="U104">
        <f t="shared" si="4"/>
        <v>3495</v>
      </c>
      <c r="V104" t="str">
        <v>Mosquito Embroidered Terry Free Size Tee in White</v>
      </c>
    </row>
    <row r="105" spans="1:22" ht="19" x14ac:dyDescent="0.25">
      <c r="A105" t="s">
        <v>62</v>
      </c>
      <c r="B105" t="s">
        <v>443</v>
      </c>
      <c r="C105" t="s">
        <v>442</v>
      </c>
      <c r="D105" t="s">
        <v>23</v>
      </c>
      <c r="E105" t="s">
        <v>24</v>
      </c>
      <c r="F105" t="s">
        <v>25</v>
      </c>
      <c r="G105" t="s">
        <v>34</v>
      </c>
      <c r="H105" s="14" t="str">
        <f t="shared" si="3"/>
        <v>Apr</v>
      </c>
      <c r="I105" s="15">
        <v>8905302263249</v>
      </c>
      <c r="J105" t="s">
        <v>441</v>
      </c>
      <c r="K105" t="s">
        <v>440</v>
      </c>
      <c r="L105" t="s">
        <v>439</v>
      </c>
      <c r="M105" t="s">
        <v>84</v>
      </c>
      <c r="N105">
        <v>5999</v>
      </c>
      <c r="O105">
        <v>5999</v>
      </c>
      <c r="P105">
        <v>1</v>
      </c>
      <c r="Q105">
        <v>5999</v>
      </c>
      <c r="R105">
        <v>899.85</v>
      </c>
      <c r="S105">
        <v>0</v>
      </c>
      <c r="T105">
        <v>5099.1499999999996</v>
      </c>
      <c r="U105">
        <f t="shared" si="4"/>
        <v>5999</v>
      </c>
      <c r="V105" t="str">
        <v>Distress Drawsting</v>
      </c>
    </row>
    <row r="106" spans="1:22" ht="19" x14ac:dyDescent="0.25">
      <c r="A106" t="s">
        <v>20</v>
      </c>
      <c r="B106" t="s">
        <v>487</v>
      </c>
      <c r="C106" t="s">
        <v>486</v>
      </c>
      <c r="D106" t="s">
        <v>23</v>
      </c>
      <c r="E106" t="s">
        <v>24</v>
      </c>
      <c r="F106" t="s">
        <v>64</v>
      </c>
      <c r="G106" t="s">
        <v>65</v>
      </c>
      <c r="H106" s="14" t="str">
        <f t="shared" si="3"/>
        <v>Apr</v>
      </c>
      <c r="I106" s="15">
        <v>8905302263183</v>
      </c>
      <c r="J106" t="s">
        <v>485</v>
      </c>
      <c r="K106" t="s">
        <v>484</v>
      </c>
      <c r="L106" t="s">
        <v>483</v>
      </c>
      <c r="M106" t="s">
        <v>38</v>
      </c>
      <c r="N106">
        <v>5999</v>
      </c>
      <c r="O106">
        <v>5999</v>
      </c>
      <c r="P106">
        <v>1</v>
      </c>
      <c r="Q106">
        <v>5999</v>
      </c>
      <c r="R106">
        <v>899.85</v>
      </c>
      <c r="S106">
        <v>0</v>
      </c>
      <c r="T106">
        <v>5099.1499999999996</v>
      </c>
      <c r="U106">
        <f t="shared" si="4"/>
        <v>5999</v>
      </c>
      <c r="V106" t="str">
        <v>Barell Fit Grey</v>
      </c>
    </row>
    <row r="107" spans="1:22" ht="19" x14ac:dyDescent="0.25">
      <c r="A107" t="s">
        <v>62</v>
      </c>
      <c r="B107" t="s">
        <v>448</v>
      </c>
      <c r="C107" t="s">
        <v>453</v>
      </c>
      <c r="D107" t="s">
        <v>23</v>
      </c>
      <c r="E107" t="s">
        <v>24</v>
      </c>
      <c r="F107" t="s">
        <v>25</v>
      </c>
      <c r="G107" t="s">
        <v>34</v>
      </c>
      <c r="H107" s="14" t="str">
        <f t="shared" si="3"/>
        <v>Apr</v>
      </c>
      <c r="I107" s="15">
        <v>8905302263251</v>
      </c>
      <c r="J107" t="s">
        <v>452</v>
      </c>
      <c r="K107" t="s">
        <v>451</v>
      </c>
      <c r="L107" t="s">
        <v>450</v>
      </c>
      <c r="M107" t="s">
        <v>61</v>
      </c>
      <c r="N107">
        <v>4999</v>
      </c>
      <c r="O107">
        <v>4999</v>
      </c>
      <c r="P107">
        <v>1</v>
      </c>
      <c r="Q107">
        <v>4999</v>
      </c>
      <c r="R107">
        <v>749.85</v>
      </c>
      <c r="S107">
        <v>0</v>
      </c>
      <c r="T107">
        <v>4249.1499999999996</v>
      </c>
      <c r="U107">
        <f t="shared" si="4"/>
        <v>4999</v>
      </c>
      <c r="V107" t="str">
        <v>School Micro checks  Black</v>
      </c>
    </row>
    <row r="108" spans="1:22" ht="19" x14ac:dyDescent="0.25">
      <c r="A108" t="s">
        <v>62</v>
      </c>
      <c r="B108" t="s">
        <v>448</v>
      </c>
      <c r="C108" t="s">
        <v>102</v>
      </c>
      <c r="D108" t="s">
        <v>23</v>
      </c>
      <c r="E108" t="s">
        <v>24</v>
      </c>
      <c r="F108" t="s">
        <v>25</v>
      </c>
      <c r="G108" t="s">
        <v>34</v>
      </c>
      <c r="H108" s="14" t="str">
        <f t="shared" si="3"/>
        <v>Apr</v>
      </c>
      <c r="I108" s="15">
        <v>8905302263235</v>
      </c>
      <c r="J108" t="s">
        <v>447</v>
      </c>
      <c r="K108" t="s">
        <v>446</v>
      </c>
      <c r="L108" t="s">
        <v>445</v>
      </c>
      <c r="M108" t="s">
        <v>38</v>
      </c>
      <c r="N108">
        <v>5999</v>
      </c>
      <c r="O108">
        <v>5999</v>
      </c>
      <c r="P108">
        <v>1</v>
      </c>
      <c r="Q108">
        <v>5999</v>
      </c>
      <c r="R108">
        <v>899.85</v>
      </c>
      <c r="S108">
        <v>0</v>
      </c>
      <c r="T108">
        <v>5099.1499999999996</v>
      </c>
      <c r="U108">
        <f t="shared" si="4"/>
        <v>5999</v>
      </c>
      <c r="V108" t="str">
        <v>Oversized Mustard</v>
      </c>
    </row>
    <row r="109" spans="1:22" ht="19" x14ac:dyDescent="0.25">
      <c r="A109" t="s">
        <v>20</v>
      </c>
      <c r="B109" t="s">
        <v>455</v>
      </c>
      <c r="C109" t="s">
        <v>488</v>
      </c>
      <c r="D109" t="s">
        <v>23</v>
      </c>
      <c r="E109" t="s">
        <v>24</v>
      </c>
      <c r="F109" t="s">
        <v>64</v>
      </c>
      <c r="G109" t="s">
        <v>65</v>
      </c>
      <c r="H109" s="14" t="str">
        <f t="shared" si="3"/>
        <v>Apr</v>
      </c>
      <c r="I109" s="15">
        <v>8905302263192</v>
      </c>
      <c r="J109" t="s">
        <v>465</v>
      </c>
      <c r="K109" t="s">
        <v>464</v>
      </c>
      <c r="L109" t="s">
        <v>463</v>
      </c>
      <c r="M109" t="s">
        <v>38</v>
      </c>
      <c r="N109">
        <v>7999</v>
      </c>
      <c r="O109">
        <v>7999</v>
      </c>
      <c r="P109">
        <v>1</v>
      </c>
      <c r="Q109">
        <v>7999</v>
      </c>
      <c r="R109">
        <v>1199.8499999999999</v>
      </c>
      <c r="S109">
        <v>0</v>
      </c>
      <c r="T109">
        <v>6799.15</v>
      </c>
      <c r="U109">
        <f t="shared" si="4"/>
        <v>7999</v>
      </c>
      <c r="V109" t="str">
        <v>Duo Pocket Vintage</v>
      </c>
    </row>
    <row r="110" spans="1:22" ht="19" x14ac:dyDescent="0.25">
      <c r="A110" t="s">
        <v>62</v>
      </c>
      <c r="B110" t="s">
        <v>455</v>
      </c>
      <c r="C110" t="s">
        <v>462</v>
      </c>
      <c r="D110" t="s">
        <v>23</v>
      </c>
      <c r="E110" t="s">
        <v>24</v>
      </c>
      <c r="F110" t="s">
        <v>64</v>
      </c>
      <c r="G110" t="s">
        <v>65</v>
      </c>
      <c r="H110" s="14" t="str">
        <f t="shared" si="3"/>
        <v>Apr</v>
      </c>
      <c r="I110" s="15">
        <v>8905302263192</v>
      </c>
      <c r="J110" t="s">
        <v>465</v>
      </c>
      <c r="K110" t="s">
        <v>464</v>
      </c>
      <c r="L110" t="s">
        <v>463</v>
      </c>
      <c r="M110" t="s">
        <v>38</v>
      </c>
      <c r="N110">
        <v>7999</v>
      </c>
      <c r="O110">
        <v>7999</v>
      </c>
      <c r="P110">
        <v>1</v>
      </c>
      <c r="Q110">
        <v>7999</v>
      </c>
      <c r="R110">
        <v>2399.6999999999998</v>
      </c>
      <c r="S110">
        <v>0</v>
      </c>
      <c r="T110">
        <v>5599.3</v>
      </c>
      <c r="U110">
        <f t="shared" si="4"/>
        <v>7999</v>
      </c>
      <c r="V110" t="str">
        <v>Duo Pocket Vintage</v>
      </c>
    </row>
    <row r="111" spans="1:22" ht="19" x14ac:dyDescent="0.25">
      <c r="A111" t="s">
        <v>62</v>
      </c>
      <c r="B111" t="s">
        <v>455</v>
      </c>
      <c r="C111" t="s">
        <v>462</v>
      </c>
      <c r="D111" t="s">
        <v>23</v>
      </c>
      <c r="E111" t="s">
        <v>24</v>
      </c>
      <c r="F111" t="s">
        <v>64</v>
      </c>
      <c r="G111" t="s">
        <v>65</v>
      </c>
      <c r="H111" s="14" t="str">
        <f t="shared" si="3"/>
        <v>Apr</v>
      </c>
      <c r="I111" s="15">
        <v>8905302263205</v>
      </c>
      <c r="J111" t="s">
        <v>461</v>
      </c>
      <c r="K111" t="s">
        <v>460</v>
      </c>
      <c r="L111" t="s">
        <v>459</v>
      </c>
      <c r="M111" t="s">
        <v>38</v>
      </c>
      <c r="N111">
        <v>6999</v>
      </c>
      <c r="O111">
        <v>6999</v>
      </c>
      <c r="P111">
        <v>1</v>
      </c>
      <c r="Q111">
        <v>6999</v>
      </c>
      <c r="R111">
        <v>2099.6999999999998</v>
      </c>
      <c r="S111">
        <v>0</v>
      </c>
      <c r="T111">
        <v>4899.3</v>
      </c>
      <c r="U111">
        <f t="shared" si="4"/>
        <v>6999</v>
      </c>
      <c r="V111" t="str">
        <v>Open Bottom Black</v>
      </c>
    </row>
    <row r="112" spans="1:22" ht="19" x14ac:dyDescent="0.25">
      <c r="A112" t="s">
        <v>62</v>
      </c>
      <c r="B112" t="s">
        <v>455</v>
      </c>
      <c r="C112" t="s">
        <v>458</v>
      </c>
      <c r="D112" t="s">
        <v>23</v>
      </c>
      <c r="E112" t="s">
        <v>24</v>
      </c>
      <c r="F112" t="s">
        <v>64</v>
      </c>
      <c r="G112" t="s">
        <v>359</v>
      </c>
      <c r="H112" s="14" t="str">
        <f t="shared" si="3"/>
        <v>Apr</v>
      </c>
      <c r="I112" s="15">
        <v>8905202268710</v>
      </c>
      <c r="J112" t="s">
        <v>457</v>
      </c>
      <c r="K112">
        <v>8905202268710</v>
      </c>
      <c r="L112" t="s">
        <v>456</v>
      </c>
      <c r="M112" t="s">
        <v>38</v>
      </c>
      <c r="N112">
        <v>3995</v>
      </c>
      <c r="O112">
        <v>3995</v>
      </c>
      <c r="P112">
        <v>1</v>
      </c>
      <c r="Q112">
        <v>3995</v>
      </c>
      <c r="R112">
        <v>599.25</v>
      </c>
      <c r="S112">
        <v>0</v>
      </c>
      <c r="T112">
        <v>3395.75</v>
      </c>
      <c r="U112">
        <f t="shared" si="4"/>
        <v>3995</v>
      </c>
      <c r="V112" t="str">
        <v>Bad Attitude Jogger Black</v>
      </c>
    </row>
    <row r="113" spans="1:22" ht="19" x14ac:dyDescent="0.25">
      <c r="A113" t="s">
        <v>62</v>
      </c>
      <c r="B113" t="s">
        <v>455</v>
      </c>
      <c r="C113" t="s">
        <v>454</v>
      </c>
      <c r="D113" t="s">
        <v>23</v>
      </c>
      <c r="E113" t="s">
        <v>24</v>
      </c>
      <c r="F113" t="s">
        <v>25</v>
      </c>
      <c r="G113" t="s">
        <v>26</v>
      </c>
      <c r="H113" s="14" t="str">
        <f t="shared" si="3"/>
        <v>Apr</v>
      </c>
      <c r="I113" s="15">
        <v>8905202264873</v>
      </c>
      <c r="J113" t="s">
        <v>130</v>
      </c>
      <c r="K113" t="s">
        <v>131</v>
      </c>
      <c r="L113" t="s">
        <v>94</v>
      </c>
      <c r="M113" t="s">
        <v>44</v>
      </c>
      <c r="N113">
        <v>3995</v>
      </c>
      <c r="O113">
        <v>3995</v>
      </c>
      <c r="P113">
        <v>1</v>
      </c>
      <c r="Q113">
        <v>3995</v>
      </c>
      <c r="R113">
        <v>599.25</v>
      </c>
      <c r="S113">
        <v>0</v>
      </c>
      <c r="T113">
        <v>3395.75</v>
      </c>
      <c r="U113">
        <f t="shared" si="4"/>
        <v>3995</v>
      </c>
      <c r="V113" t="str">
        <v xml:space="preserve"> Psy Bear  Terry Drop Shoulder T-Shirt in Black </v>
      </c>
    </row>
    <row r="114" spans="1:22" ht="19" x14ac:dyDescent="0.25">
      <c r="A114" t="s">
        <v>62</v>
      </c>
      <c r="B114" t="s">
        <v>527</v>
      </c>
      <c r="C114" t="s">
        <v>528</v>
      </c>
      <c r="D114" t="s">
        <v>23</v>
      </c>
      <c r="E114" t="s">
        <v>24</v>
      </c>
      <c r="F114" t="s">
        <v>25</v>
      </c>
      <c r="G114" t="s">
        <v>26</v>
      </c>
      <c r="H114" s="14" t="str">
        <f t="shared" si="3"/>
        <v>Apr</v>
      </c>
      <c r="I114" s="15">
        <v>8905202264682</v>
      </c>
      <c r="J114" t="s">
        <v>529</v>
      </c>
      <c r="K114" t="s">
        <v>530</v>
      </c>
      <c r="L114" t="s">
        <v>149</v>
      </c>
      <c r="M114" t="s">
        <v>38</v>
      </c>
      <c r="N114">
        <v>2995</v>
      </c>
      <c r="O114">
        <v>2995</v>
      </c>
      <c r="P114">
        <v>1</v>
      </c>
      <c r="Q114">
        <v>2995</v>
      </c>
      <c r="R114">
        <v>898.5</v>
      </c>
      <c r="S114">
        <v>0</v>
      </c>
      <c r="T114">
        <v>2096.5</v>
      </c>
      <c r="U114">
        <f t="shared" si="4"/>
        <v>2995</v>
      </c>
      <c r="V114" t="str">
        <v xml:space="preserve">David full print Drop Shoulder Crew Neck T-Shirt                                                 </v>
      </c>
    </row>
    <row r="115" spans="1:22" ht="19" x14ac:dyDescent="0.25">
      <c r="A115" t="s">
        <v>62</v>
      </c>
      <c r="B115" t="s">
        <v>527</v>
      </c>
      <c r="C115" t="s">
        <v>528</v>
      </c>
      <c r="D115" t="s">
        <v>23</v>
      </c>
      <c r="E115" t="s">
        <v>24</v>
      </c>
      <c r="F115" t="s">
        <v>25</v>
      </c>
      <c r="G115" t="s">
        <v>26</v>
      </c>
      <c r="H115" s="14" t="str">
        <f t="shared" si="3"/>
        <v>Apr</v>
      </c>
      <c r="I115" s="15">
        <v>8905202269281</v>
      </c>
      <c r="J115" t="s">
        <v>531</v>
      </c>
      <c r="K115" t="s">
        <v>532</v>
      </c>
      <c r="L115" t="s">
        <v>60</v>
      </c>
      <c r="M115" t="s">
        <v>61</v>
      </c>
      <c r="N115">
        <v>3495</v>
      </c>
      <c r="O115">
        <v>3495</v>
      </c>
      <c r="P115">
        <v>1</v>
      </c>
      <c r="Q115">
        <v>3495</v>
      </c>
      <c r="R115">
        <v>1048.5</v>
      </c>
      <c r="S115">
        <v>0</v>
      </c>
      <c r="T115">
        <v>2446.5</v>
      </c>
      <c r="U115">
        <f t="shared" si="4"/>
        <v>3495</v>
      </c>
      <c r="V115" t="str">
        <v xml:space="preserve">Back Graffti print Drop Shoulder Crew Neck T-Shirt                                                 </v>
      </c>
    </row>
    <row r="116" spans="1:22" ht="19" x14ac:dyDescent="0.25">
      <c r="A116" t="s">
        <v>62</v>
      </c>
      <c r="B116" t="s">
        <v>563</v>
      </c>
      <c r="C116" t="s">
        <v>564</v>
      </c>
      <c r="D116" t="s">
        <v>23</v>
      </c>
      <c r="E116" t="s">
        <v>24</v>
      </c>
      <c r="F116" t="s">
        <v>64</v>
      </c>
      <c r="G116" t="s">
        <v>65</v>
      </c>
      <c r="H116" s="14" t="str">
        <f t="shared" si="3"/>
        <v>Apr</v>
      </c>
      <c r="I116" s="15">
        <v>8905302263201</v>
      </c>
      <c r="J116" t="s">
        <v>565</v>
      </c>
      <c r="K116" t="s">
        <v>566</v>
      </c>
      <c r="L116" t="s">
        <v>567</v>
      </c>
      <c r="M116" t="s">
        <v>84</v>
      </c>
      <c r="N116">
        <v>6999</v>
      </c>
      <c r="O116">
        <v>6999</v>
      </c>
      <c r="P116">
        <v>1</v>
      </c>
      <c r="Q116">
        <v>6999</v>
      </c>
      <c r="R116">
        <v>2099.6999999999998</v>
      </c>
      <c r="S116">
        <v>0</v>
      </c>
      <c r="T116">
        <v>4899.3</v>
      </c>
      <c r="U116">
        <f t="shared" si="4"/>
        <v>6999</v>
      </c>
      <c r="V116" t="str">
        <v>Stud Black</v>
      </c>
    </row>
    <row r="117" spans="1:22" ht="19" x14ac:dyDescent="0.25">
      <c r="A117" t="s">
        <v>62</v>
      </c>
      <c r="B117" t="s">
        <v>563</v>
      </c>
      <c r="C117" t="s">
        <v>564</v>
      </c>
      <c r="D117" t="s">
        <v>23</v>
      </c>
      <c r="E117" t="s">
        <v>136</v>
      </c>
      <c r="F117" t="s">
        <v>25</v>
      </c>
      <c r="G117" t="s">
        <v>26</v>
      </c>
      <c r="H117" s="14" t="str">
        <f t="shared" si="3"/>
        <v>Apr</v>
      </c>
      <c r="I117" s="15">
        <v>8905202269243</v>
      </c>
      <c r="J117" t="s">
        <v>568</v>
      </c>
      <c r="K117">
        <v>8905202269243</v>
      </c>
      <c r="L117" t="s">
        <v>569</v>
      </c>
      <c r="M117" t="s">
        <v>38</v>
      </c>
      <c r="N117">
        <v>1995</v>
      </c>
      <c r="O117">
        <v>1995</v>
      </c>
      <c r="P117">
        <v>1</v>
      </c>
      <c r="Q117">
        <v>1995</v>
      </c>
      <c r="R117">
        <v>598.5</v>
      </c>
      <c r="S117">
        <v>0</v>
      </c>
      <c r="T117">
        <v>1396.5</v>
      </c>
      <c r="U117">
        <f t="shared" si="4"/>
        <v>1995</v>
      </c>
      <c r="V117" t="str">
        <v>Cosmic Intruder Crop - Black</v>
      </c>
    </row>
    <row r="118" spans="1:22" ht="19" x14ac:dyDescent="0.25">
      <c r="A118" t="s">
        <v>62</v>
      </c>
      <c r="B118" t="s">
        <v>559</v>
      </c>
      <c r="C118" t="s">
        <v>560</v>
      </c>
      <c r="D118" t="s">
        <v>23</v>
      </c>
      <c r="E118" t="s">
        <v>24</v>
      </c>
      <c r="F118" t="s">
        <v>64</v>
      </c>
      <c r="G118" t="s">
        <v>294</v>
      </c>
      <c r="H118" s="14" t="str">
        <f t="shared" si="3"/>
        <v>Apr</v>
      </c>
      <c r="I118" s="15">
        <v>8905202269069</v>
      </c>
      <c r="J118" t="s">
        <v>561</v>
      </c>
      <c r="K118">
        <v>8905202269069</v>
      </c>
      <c r="L118" t="s">
        <v>562</v>
      </c>
      <c r="M118" t="s">
        <v>61</v>
      </c>
      <c r="N118">
        <v>2995</v>
      </c>
      <c r="O118">
        <v>2995</v>
      </c>
      <c r="P118">
        <v>1</v>
      </c>
      <c r="Q118">
        <v>2995</v>
      </c>
      <c r="R118">
        <v>449.25</v>
      </c>
      <c r="S118">
        <v>0</v>
      </c>
      <c r="T118">
        <v>2545.75</v>
      </c>
      <c r="U118">
        <f t="shared" si="4"/>
        <v>2995</v>
      </c>
      <c r="V118" t="str">
        <v>Official Shorts Navy</v>
      </c>
    </row>
    <row r="119" spans="1:22" ht="19" x14ac:dyDescent="0.25">
      <c r="A119" t="s">
        <v>62</v>
      </c>
      <c r="B119" t="s">
        <v>557</v>
      </c>
      <c r="C119" t="s">
        <v>558</v>
      </c>
      <c r="D119" t="s">
        <v>23</v>
      </c>
      <c r="E119" t="s">
        <v>24</v>
      </c>
      <c r="F119" t="s">
        <v>64</v>
      </c>
      <c r="G119" t="s">
        <v>65</v>
      </c>
      <c r="H119" s="14" t="str">
        <f t="shared" si="3"/>
        <v>Apr</v>
      </c>
      <c r="I119" s="15">
        <v>8905302263203</v>
      </c>
      <c r="J119" t="s">
        <v>290</v>
      </c>
      <c r="K119" t="s">
        <v>291</v>
      </c>
      <c r="L119" t="s">
        <v>292</v>
      </c>
      <c r="M119" t="s">
        <v>44</v>
      </c>
      <c r="N119">
        <v>6999</v>
      </c>
      <c r="O119">
        <v>6999</v>
      </c>
      <c r="P119">
        <v>1</v>
      </c>
      <c r="Q119">
        <v>6999</v>
      </c>
      <c r="R119">
        <v>1049.8499999999999</v>
      </c>
      <c r="S119">
        <v>0</v>
      </c>
      <c r="T119">
        <v>5949.15</v>
      </c>
      <c r="U119">
        <f t="shared" si="4"/>
        <v>6999</v>
      </c>
      <c r="V119" t="str">
        <v>Open Bottom Black</v>
      </c>
    </row>
    <row r="120" spans="1:22" ht="19" x14ac:dyDescent="0.25">
      <c r="A120" t="s">
        <v>20</v>
      </c>
      <c r="B120" t="s">
        <v>546</v>
      </c>
      <c r="C120" t="s">
        <v>547</v>
      </c>
      <c r="D120" t="s">
        <v>23</v>
      </c>
      <c r="E120" t="s">
        <v>24</v>
      </c>
      <c r="F120" t="s">
        <v>25</v>
      </c>
      <c r="G120" t="s">
        <v>26</v>
      </c>
      <c r="H120" s="14" t="str">
        <f t="shared" si="3"/>
        <v>Apr</v>
      </c>
      <c r="I120" s="15">
        <v>8905202264606</v>
      </c>
      <c r="J120" t="s">
        <v>93</v>
      </c>
      <c r="K120">
        <v>8905202264606</v>
      </c>
      <c r="L120" t="s">
        <v>94</v>
      </c>
      <c r="M120" t="s">
        <v>44</v>
      </c>
      <c r="N120">
        <v>3495</v>
      </c>
      <c r="O120">
        <v>3495</v>
      </c>
      <c r="P120">
        <v>1</v>
      </c>
      <c r="Q120">
        <v>3495</v>
      </c>
      <c r="R120">
        <v>524.25</v>
      </c>
      <c r="S120">
        <v>0</v>
      </c>
      <c r="T120">
        <v>2970.75</v>
      </c>
      <c r="U120">
        <f t="shared" si="4"/>
        <v>3495</v>
      </c>
      <c r="V120" t="str">
        <v xml:space="preserve">Mumbai  Terry Drop Shoulder T-Shirt in Black </v>
      </c>
    </row>
    <row r="121" spans="1:22" ht="19" x14ac:dyDescent="0.25">
      <c r="A121" t="s">
        <v>62</v>
      </c>
      <c r="B121" t="s">
        <v>550</v>
      </c>
      <c r="C121" t="s">
        <v>551</v>
      </c>
      <c r="D121" t="s">
        <v>23</v>
      </c>
      <c r="E121" t="s">
        <v>24</v>
      </c>
      <c r="F121" t="s">
        <v>25</v>
      </c>
      <c r="G121" t="s">
        <v>26</v>
      </c>
      <c r="H121" s="14" t="str">
        <f t="shared" si="3"/>
        <v>Apr</v>
      </c>
      <c r="I121" s="15">
        <v>8905202264835</v>
      </c>
      <c r="J121" t="s">
        <v>552</v>
      </c>
      <c r="K121" t="s">
        <v>553</v>
      </c>
      <c r="L121" t="s">
        <v>53</v>
      </c>
      <c r="M121" t="s">
        <v>54</v>
      </c>
      <c r="N121">
        <v>3995</v>
      </c>
      <c r="O121">
        <v>3995</v>
      </c>
      <c r="P121">
        <v>1</v>
      </c>
      <c r="Q121">
        <v>3995</v>
      </c>
      <c r="R121">
        <v>1198.5</v>
      </c>
      <c r="S121">
        <v>0</v>
      </c>
      <c r="T121">
        <v>2796.5</v>
      </c>
      <c r="U121">
        <f t="shared" si="4"/>
        <v>3995</v>
      </c>
      <c r="V121" t="str">
        <v xml:space="preserve"> Psy Bear  Terry Drop Shoulder T-Shirt in Black </v>
      </c>
    </row>
    <row r="122" spans="1:22" ht="19" x14ac:dyDescent="0.25">
      <c r="A122" t="s">
        <v>62</v>
      </c>
      <c r="B122" t="s">
        <v>550</v>
      </c>
      <c r="C122" t="s">
        <v>551</v>
      </c>
      <c r="D122" t="s">
        <v>23</v>
      </c>
      <c r="E122" t="s">
        <v>24</v>
      </c>
      <c r="F122" t="s">
        <v>25</v>
      </c>
      <c r="G122" t="s">
        <v>26</v>
      </c>
      <c r="H122" s="14" t="str">
        <f t="shared" si="3"/>
        <v>Apr</v>
      </c>
      <c r="I122" s="15">
        <v>8905202269441</v>
      </c>
      <c r="J122" t="s">
        <v>554</v>
      </c>
      <c r="K122" t="s">
        <v>555</v>
      </c>
      <c r="L122" t="s">
        <v>556</v>
      </c>
      <c r="M122" t="s">
        <v>54</v>
      </c>
      <c r="N122">
        <v>3995</v>
      </c>
      <c r="O122">
        <v>3995</v>
      </c>
      <c r="P122">
        <v>1</v>
      </c>
      <c r="Q122">
        <v>3995</v>
      </c>
      <c r="R122">
        <v>1198.5</v>
      </c>
      <c r="S122">
        <v>0</v>
      </c>
      <c r="T122">
        <v>2796.5</v>
      </c>
      <c r="U122">
        <f t="shared" si="4"/>
        <v>3995</v>
      </c>
      <c r="V122" t="str">
        <v>Surfer print  drop shoulder crew neck oversized t-shirt.</v>
      </c>
    </row>
    <row r="123" spans="1:22" ht="19" x14ac:dyDescent="0.25">
      <c r="A123" t="s">
        <v>20</v>
      </c>
      <c r="B123" t="s">
        <v>541</v>
      </c>
      <c r="C123" t="s">
        <v>542</v>
      </c>
      <c r="D123" t="s">
        <v>23</v>
      </c>
      <c r="E123" t="s">
        <v>24</v>
      </c>
      <c r="F123" t="s">
        <v>64</v>
      </c>
      <c r="G123" t="s">
        <v>65</v>
      </c>
      <c r="H123" s="14" t="str">
        <f t="shared" si="3"/>
        <v>Apr</v>
      </c>
      <c r="I123" s="15">
        <v>8905302263197</v>
      </c>
      <c r="J123" t="s">
        <v>543</v>
      </c>
      <c r="K123" t="s">
        <v>544</v>
      </c>
      <c r="L123" t="s">
        <v>545</v>
      </c>
      <c r="M123" t="s">
        <v>61</v>
      </c>
      <c r="N123">
        <v>6999</v>
      </c>
      <c r="O123">
        <v>6999</v>
      </c>
      <c r="P123">
        <v>1</v>
      </c>
      <c r="Q123">
        <v>6999</v>
      </c>
      <c r="R123">
        <v>1049.8499999999999</v>
      </c>
      <c r="S123">
        <v>0</v>
      </c>
      <c r="T123">
        <v>5949.15</v>
      </c>
      <c r="U123">
        <f t="shared" si="4"/>
        <v>6999</v>
      </c>
      <c r="V123" t="str">
        <v>Stud Black</v>
      </c>
    </row>
    <row r="124" spans="1:22" ht="19" x14ac:dyDescent="0.25">
      <c r="A124" t="s">
        <v>62</v>
      </c>
      <c r="B124" t="s">
        <v>548</v>
      </c>
      <c r="C124" t="s">
        <v>549</v>
      </c>
      <c r="D124" t="s">
        <v>23</v>
      </c>
      <c r="E124" t="s">
        <v>24</v>
      </c>
      <c r="F124" t="s">
        <v>25</v>
      </c>
      <c r="G124" t="s">
        <v>26</v>
      </c>
      <c r="H124" s="14" t="str">
        <f t="shared" si="3"/>
        <v>Apr</v>
      </c>
      <c r="I124" s="15">
        <v>8905202264859</v>
      </c>
      <c r="J124" t="s">
        <v>249</v>
      </c>
      <c r="K124" t="s">
        <v>250</v>
      </c>
      <c r="L124" t="s">
        <v>251</v>
      </c>
      <c r="M124" t="s">
        <v>84</v>
      </c>
      <c r="N124">
        <v>3995</v>
      </c>
      <c r="O124">
        <v>3995</v>
      </c>
      <c r="P124">
        <v>1</v>
      </c>
      <c r="Q124">
        <v>3995</v>
      </c>
      <c r="R124">
        <v>599.25</v>
      </c>
      <c r="S124">
        <v>0</v>
      </c>
      <c r="T124">
        <v>3395.75</v>
      </c>
      <c r="U124">
        <f t="shared" si="4"/>
        <v>3995</v>
      </c>
      <c r="V124" t="str">
        <v xml:space="preserve"> Psy Bear  Terry Drop Shoulder T-Shirt in Black </v>
      </c>
    </row>
    <row r="125" spans="1:22" ht="19" x14ac:dyDescent="0.25">
      <c r="A125" t="s">
        <v>62</v>
      </c>
      <c r="B125" t="s">
        <v>570</v>
      </c>
      <c r="C125" t="s">
        <v>571</v>
      </c>
      <c r="D125" t="s">
        <v>23</v>
      </c>
      <c r="E125" t="s">
        <v>24</v>
      </c>
      <c r="F125" t="s">
        <v>25</v>
      </c>
      <c r="G125" t="s">
        <v>26</v>
      </c>
      <c r="H125" s="14" t="str">
        <f t="shared" si="3"/>
        <v>Apr</v>
      </c>
      <c r="I125" s="15">
        <v>8905202264637</v>
      </c>
      <c r="J125" t="s">
        <v>572</v>
      </c>
      <c r="K125">
        <v>8905202264637</v>
      </c>
      <c r="L125" t="s">
        <v>149</v>
      </c>
      <c r="M125" t="s">
        <v>38</v>
      </c>
      <c r="N125">
        <v>3495</v>
      </c>
      <c r="O125">
        <v>3495</v>
      </c>
      <c r="P125">
        <v>1</v>
      </c>
      <c r="Q125">
        <v>3495</v>
      </c>
      <c r="R125">
        <v>524.25</v>
      </c>
      <c r="S125">
        <v>0</v>
      </c>
      <c r="T125">
        <v>2970.75</v>
      </c>
      <c r="U125">
        <f t="shared" si="4"/>
        <v>3495</v>
      </c>
      <c r="V125" t="str">
        <v xml:space="preserve">Mumbai  Terry Drop Shoulder T-Shirt in Black </v>
      </c>
    </row>
    <row r="126" spans="1:22" ht="19" x14ac:dyDescent="0.25">
      <c r="A126" t="s">
        <v>62</v>
      </c>
      <c r="B126" t="s">
        <v>573</v>
      </c>
      <c r="C126" t="s">
        <v>574</v>
      </c>
      <c r="D126" t="s">
        <v>23</v>
      </c>
      <c r="E126" t="s">
        <v>24</v>
      </c>
      <c r="F126" t="s">
        <v>25</v>
      </c>
      <c r="G126" t="s">
        <v>26</v>
      </c>
      <c r="H126" s="14" t="str">
        <f t="shared" si="3"/>
        <v>Apr</v>
      </c>
      <c r="I126" s="15">
        <v>8905202269434</v>
      </c>
      <c r="J126" t="s">
        <v>155</v>
      </c>
      <c r="K126" t="s">
        <v>156</v>
      </c>
      <c r="L126" t="s">
        <v>157</v>
      </c>
      <c r="M126" t="s">
        <v>61</v>
      </c>
      <c r="N126">
        <v>3995</v>
      </c>
      <c r="O126">
        <v>3995</v>
      </c>
      <c r="P126">
        <v>1</v>
      </c>
      <c r="Q126">
        <v>3995</v>
      </c>
      <c r="R126">
        <v>599.25</v>
      </c>
      <c r="S126">
        <v>0</v>
      </c>
      <c r="T126">
        <v>3395.75</v>
      </c>
      <c r="U126">
        <f t="shared" si="4"/>
        <v>3995</v>
      </c>
      <c r="V126" t="str">
        <v>Surfer print  drop shoulder crew neck oversized t-shirt.</v>
      </c>
    </row>
    <row r="127" spans="1:22" ht="19" x14ac:dyDescent="0.25">
      <c r="A127" t="s">
        <v>575</v>
      </c>
      <c r="B127" t="s">
        <v>573</v>
      </c>
      <c r="C127" t="s">
        <v>576</v>
      </c>
      <c r="D127" t="s">
        <v>23</v>
      </c>
      <c r="E127" t="s">
        <v>24</v>
      </c>
      <c r="F127" t="s">
        <v>25</v>
      </c>
      <c r="G127" t="s">
        <v>26</v>
      </c>
      <c r="H127" s="14" t="str">
        <f t="shared" si="3"/>
        <v>Apr</v>
      </c>
      <c r="I127" s="15">
        <v>8905202264873</v>
      </c>
      <c r="J127" t="s">
        <v>130</v>
      </c>
      <c r="K127" t="s">
        <v>131</v>
      </c>
      <c r="L127" t="s">
        <v>94</v>
      </c>
      <c r="M127" t="s">
        <v>44</v>
      </c>
      <c r="N127">
        <v>3995</v>
      </c>
      <c r="O127">
        <v>3995</v>
      </c>
      <c r="P127">
        <v>1</v>
      </c>
      <c r="Q127">
        <v>3995</v>
      </c>
      <c r="R127">
        <v>0</v>
      </c>
      <c r="S127">
        <v>0</v>
      </c>
      <c r="T127">
        <v>3995</v>
      </c>
      <c r="U127">
        <f t="shared" si="4"/>
        <v>3995</v>
      </c>
      <c r="V127" t="str">
        <v xml:space="preserve"> Psy Bear  Terry Drop Shoulder T-Shirt in Black </v>
      </c>
    </row>
    <row r="128" spans="1:22" ht="19" x14ac:dyDescent="0.25">
      <c r="A128" t="s">
        <v>62</v>
      </c>
      <c r="B128" t="s">
        <v>577</v>
      </c>
      <c r="C128" t="s">
        <v>578</v>
      </c>
      <c r="D128" t="s">
        <v>23</v>
      </c>
      <c r="E128" t="s">
        <v>24</v>
      </c>
      <c r="F128" t="s">
        <v>25</v>
      </c>
      <c r="G128" t="s">
        <v>26</v>
      </c>
      <c r="H128" s="14" t="str">
        <f t="shared" si="3"/>
        <v>Apr</v>
      </c>
      <c r="I128" s="15">
        <v>8905302263247</v>
      </c>
      <c r="J128" t="s">
        <v>579</v>
      </c>
      <c r="K128" t="s">
        <v>580</v>
      </c>
      <c r="L128" t="s">
        <v>581</v>
      </c>
      <c r="M128" t="s">
        <v>84</v>
      </c>
      <c r="N128">
        <v>4495</v>
      </c>
      <c r="O128">
        <v>4495</v>
      </c>
      <c r="P128">
        <v>1</v>
      </c>
      <c r="Q128">
        <v>4495</v>
      </c>
      <c r="R128">
        <v>674.25</v>
      </c>
      <c r="S128">
        <v>0</v>
      </c>
      <c r="T128">
        <v>3820.75</v>
      </c>
      <c r="U128">
        <f t="shared" si="4"/>
        <v>4495</v>
      </c>
      <c r="V128" t="str">
        <v>Dual Snakes</v>
      </c>
    </row>
    <row r="129" spans="1:22" ht="19" x14ac:dyDescent="0.25">
      <c r="A129" t="s">
        <v>62</v>
      </c>
      <c r="B129" t="s">
        <v>577</v>
      </c>
      <c r="C129" t="s">
        <v>583</v>
      </c>
      <c r="D129" t="s">
        <v>23</v>
      </c>
      <c r="E129" t="s">
        <v>24</v>
      </c>
      <c r="F129" t="s">
        <v>64</v>
      </c>
      <c r="G129" t="s">
        <v>65</v>
      </c>
      <c r="H129" s="14" t="str">
        <f t="shared" si="3"/>
        <v>Apr</v>
      </c>
      <c r="I129" s="15">
        <v>8905302263200</v>
      </c>
      <c r="J129" t="s">
        <v>584</v>
      </c>
      <c r="K129" t="s">
        <v>585</v>
      </c>
      <c r="L129" t="s">
        <v>586</v>
      </c>
      <c r="M129" t="s">
        <v>38</v>
      </c>
      <c r="N129">
        <v>6999</v>
      </c>
      <c r="O129">
        <v>6999</v>
      </c>
      <c r="P129">
        <v>1</v>
      </c>
      <c r="Q129">
        <v>6999</v>
      </c>
      <c r="R129">
        <v>2099.6999999999998</v>
      </c>
      <c r="S129">
        <v>0</v>
      </c>
      <c r="T129">
        <v>4899.3</v>
      </c>
      <c r="U129">
        <f t="shared" si="4"/>
        <v>6999</v>
      </c>
      <c r="V129" t="str">
        <v>Stud Black</v>
      </c>
    </row>
    <row r="130" spans="1:22" ht="19" x14ac:dyDescent="0.25">
      <c r="A130" t="s">
        <v>62</v>
      </c>
      <c r="B130" t="s">
        <v>577</v>
      </c>
      <c r="C130" t="s">
        <v>583</v>
      </c>
      <c r="D130" t="s">
        <v>23</v>
      </c>
      <c r="E130" t="s">
        <v>24</v>
      </c>
      <c r="F130" t="s">
        <v>64</v>
      </c>
      <c r="G130" t="s">
        <v>65</v>
      </c>
      <c r="H130" s="14" t="str">
        <f t="shared" si="3"/>
        <v>Apr</v>
      </c>
      <c r="I130" s="15">
        <v>8905302263206</v>
      </c>
      <c r="J130" t="s">
        <v>587</v>
      </c>
      <c r="K130" t="s">
        <v>588</v>
      </c>
      <c r="L130" t="s">
        <v>589</v>
      </c>
      <c r="M130" t="s">
        <v>84</v>
      </c>
      <c r="N130">
        <v>6999</v>
      </c>
      <c r="O130">
        <v>6999</v>
      </c>
      <c r="P130">
        <v>1</v>
      </c>
      <c r="Q130">
        <v>6999</v>
      </c>
      <c r="R130">
        <v>2099.6999999999998</v>
      </c>
      <c r="S130">
        <v>0</v>
      </c>
      <c r="T130">
        <v>4899.3</v>
      </c>
      <c r="U130">
        <f t="shared" si="4"/>
        <v>6999</v>
      </c>
      <c r="V130" t="str">
        <v>Open Bottom Black</v>
      </c>
    </row>
    <row r="131" spans="1:22" ht="19" x14ac:dyDescent="0.25">
      <c r="A131" t="s">
        <v>62</v>
      </c>
      <c r="B131" t="s">
        <v>577</v>
      </c>
      <c r="C131" t="s">
        <v>590</v>
      </c>
      <c r="D131" t="s">
        <v>23</v>
      </c>
      <c r="E131" t="s">
        <v>24</v>
      </c>
      <c r="F131" t="s">
        <v>25</v>
      </c>
      <c r="G131" t="s">
        <v>34</v>
      </c>
      <c r="H131" s="14" t="str">
        <f t="shared" ref="H131:H145" si="5">TEXT(DATE(RIGHT(B131,4),MID(B131,4,2),LEFT(B131,2)),"mmm")</f>
        <v>Apr</v>
      </c>
      <c r="I131" s="15">
        <v>8905302263253</v>
      </c>
      <c r="J131" t="s">
        <v>591</v>
      </c>
      <c r="K131" t="s">
        <v>592</v>
      </c>
      <c r="L131" t="s">
        <v>593</v>
      </c>
      <c r="M131" t="s">
        <v>54</v>
      </c>
      <c r="N131">
        <v>4999</v>
      </c>
      <c r="O131">
        <v>4999</v>
      </c>
      <c r="P131">
        <v>1</v>
      </c>
      <c r="Q131">
        <v>4999</v>
      </c>
      <c r="R131">
        <v>749.85</v>
      </c>
      <c r="S131">
        <v>0</v>
      </c>
      <c r="T131">
        <v>4249.1499999999996</v>
      </c>
      <c r="U131">
        <f t="shared" si="4"/>
        <v>4999</v>
      </c>
      <c r="V131" t="str">
        <v>School Micro checks  Green</v>
      </c>
    </row>
    <row r="132" spans="1:22" ht="19" x14ac:dyDescent="0.25">
      <c r="A132" t="s">
        <v>62</v>
      </c>
      <c r="B132" t="s">
        <v>594</v>
      </c>
      <c r="C132" t="s">
        <v>595</v>
      </c>
      <c r="D132" t="s">
        <v>23</v>
      </c>
      <c r="E132" t="s">
        <v>24</v>
      </c>
      <c r="F132" t="s">
        <v>25</v>
      </c>
      <c r="G132" t="s">
        <v>26</v>
      </c>
      <c r="H132" s="14" t="str">
        <f t="shared" si="5"/>
        <v>Apr</v>
      </c>
      <c r="I132" s="15">
        <v>8905202264842</v>
      </c>
      <c r="J132" t="s">
        <v>58</v>
      </c>
      <c r="K132" t="s">
        <v>59</v>
      </c>
      <c r="L132" t="s">
        <v>60</v>
      </c>
      <c r="M132" t="s">
        <v>61</v>
      </c>
      <c r="N132">
        <v>3995</v>
      </c>
      <c r="O132">
        <v>3995</v>
      </c>
      <c r="P132">
        <v>1</v>
      </c>
      <c r="Q132">
        <v>3995</v>
      </c>
      <c r="R132">
        <v>599.25</v>
      </c>
      <c r="S132">
        <v>0</v>
      </c>
      <c r="T132">
        <v>3395.75</v>
      </c>
      <c r="U132">
        <f t="shared" ref="U132:U195" si="6">P132*N132</f>
        <v>3995</v>
      </c>
      <c r="V132" t="str">
        <v xml:space="preserve"> Psy Bear  Terry Drop Shoulder T-Shirt in Black </v>
      </c>
    </row>
    <row r="133" spans="1:22" ht="19" x14ac:dyDescent="0.25">
      <c r="A133" t="s">
        <v>62</v>
      </c>
      <c r="B133" t="s">
        <v>594</v>
      </c>
      <c r="C133" t="s">
        <v>596</v>
      </c>
      <c r="D133" t="s">
        <v>23</v>
      </c>
      <c r="E133" t="s">
        <v>24</v>
      </c>
      <c r="F133" t="s">
        <v>25</v>
      </c>
      <c r="G133" t="s">
        <v>26</v>
      </c>
      <c r="H133" s="14" t="str">
        <f t="shared" si="5"/>
        <v>Apr</v>
      </c>
      <c r="I133" s="15">
        <v>8905202264880</v>
      </c>
      <c r="J133" t="s">
        <v>417</v>
      </c>
      <c r="K133">
        <v>8905202264880</v>
      </c>
      <c r="L133" t="s">
        <v>416</v>
      </c>
      <c r="M133" t="s">
        <v>54</v>
      </c>
      <c r="N133">
        <v>2995</v>
      </c>
      <c r="O133">
        <v>2995</v>
      </c>
      <c r="P133">
        <v>1</v>
      </c>
      <c r="Q133">
        <v>2995</v>
      </c>
      <c r="R133">
        <v>449.25</v>
      </c>
      <c r="S133">
        <v>0</v>
      </c>
      <c r="T133">
        <v>2545.75</v>
      </c>
      <c r="U133">
        <f t="shared" si="6"/>
        <v>2995</v>
      </c>
      <c r="V133" t="str">
        <v xml:space="preserve"> Ballet Queen Drop Shoulder T-Shirt in White</v>
      </c>
    </row>
    <row r="134" spans="1:22" ht="19" x14ac:dyDescent="0.25">
      <c r="A134" t="s">
        <v>20</v>
      </c>
      <c r="B134" t="s">
        <v>597</v>
      </c>
      <c r="C134" t="s">
        <v>598</v>
      </c>
      <c r="D134" t="s">
        <v>23</v>
      </c>
      <c r="E134" t="s">
        <v>24</v>
      </c>
      <c r="F134" t="s">
        <v>64</v>
      </c>
      <c r="G134" t="s">
        <v>65</v>
      </c>
      <c r="H134" s="14" t="str">
        <f t="shared" si="5"/>
        <v>Apr</v>
      </c>
      <c r="I134" s="15">
        <v>8905302263314</v>
      </c>
      <c r="J134" t="s">
        <v>599</v>
      </c>
      <c r="K134" t="s">
        <v>600</v>
      </c>
      <c r="L134" t="s">
        <v>601</v>
      </c>
      <c r="M134" t="s">
        <v>61</v>
      </c>
      <c r="N134">
        <v>6999</v>
      </c>
      <c r="O134">
        <v>6999</v>
      </c>
      <c r="P134">
        <v>1</v>
      </c>
      <c r="Q134">
        <v>6999</v>
      </c>
      <c r="R134">
        <v>2099.6999999999998</v>
      </c>
      <c r="S134">
        <v>0</v>
      </c>
      <c r="T134">
        <v>4899.3</v>
      </c>
      <c r="U134">
        <f t="shared" si="6"/>
        <v>6999</v>
      </c>
      <c r="V134" t="str">
        <v>Blue Paint Brush</v>
      </c>
    </row>
    <row r="135" spans="1:22" ht="19" x14ac:dyDescent="0.25">
      <c r="A135" t="s">
        <v>20</v>
      </c>
      <c r="B135" t="s">
        <v>597</v>
      </c>
      <c r="C135" t="s">
        <v>598</v>
      </c>
      <c r="D135" t="s">
        <v>23</v>
      </c>
      <c r="E135" t="s">
        <v>24</v>
      </c>
      <c r="F135" t="s">
        <v>64</v>
      </c>
      <c r="G135" t="s">
        <v>65</v>
      </c>
      <c r="H135" s="14" t="str">
        <f t="shared" si="5"/>
        <v>Apr</v>
      </c>
      <c r="I135" s="15">
        <v>8905302263362</v>
      </c>
      <c r="J135" t="s">
        <v>602</v>
      </c>
      <c r="K135" t="s">
        <v>603</v>
      </c>
      <c r="L135" t="s">
        <v>604</v>
      </c>
      <c r="M135" t="s">
        <v>61</v>
      </c>
      <c r="N135">
        <v>7999</v>
      </c>
      <c r="O135">
        <v>7999</v>
      </c>
      <c r="P135">
        <v>1</v>
      </c>
      <c r="Q135">
        <v>7999</v>
      </c>
      <c r="R135">
        <v>2399.6999999999998</v>
      </c>
      <c r="S135">
        <v>0</v>
      </c>
      <c r="T135">
        <v>5599.3</v>
      </c>
      <c r="U135">
        <f t="shared" si="6"/>
        <v>7999</v>
      </c>
      <c r="V135" t="str">
        <v>Black Paint Splash</v>
      </c>
    </row>
    <row r="136" spans="1:22" ht="19" x14ac:dyDescent="0.25">
      <c r="A136" t="s">
        <v>20</v>
      </c>
      <c r="B136" t="s">
        <v>597</v>
      </c>
      <c r="C136" t="s">
        <v>605</v>
      </c>
      <c r="D136" t="s">
        <v>23</v>
      </c>
      <c r="E136" t="s">
        <v>24</v>
      </c>
      <c r="F136" t="s">
        <v>25</v>
      </c>
      <c r="G136" t="s">
        <v>34</v>
      </c>
      <c r="H136" s="14" t="str">
        <f t="shared" si="5"/>
        <v>Apr</v>
      </c>
      <c r="I136" s="15">
        <v>8905302263237</v>
      </c>
      <c r="J136" t="s">
        <v>606</v>
      </c>
      <c r="K136" t="s">
        <v>607</v>
      </c>
      <c r="L136" t="s">
        <v>608</v>
      </c>
      <c r="M136" t="s">
        <v>61</v>
      </c>
      <c r="N136">
        <v>5999</v>
      </c>
      <c r="O136">
        <v>5999</v>
      </c>
      <c r="P136">
        <v>1</v>
      </c>
      <c r="Q136">
        <v>5999</v>
      </c>
      <c r="R136">
        <v>899.85</v>
      </c>
      <c r="S136">
        <v>0</v>
      </c>
      <c r="T136">
        <v>5099.1499999999996</v>
      </c>
      <c r="U136">
        <f t="shared" si="6"/>
        <v>5999</v>
      </c>
      <c r="V136" t="str">
        <v>Grunge Denim Charcoal</v>
      </c>
    </row>
    <row r="137" spans="1:22" ht="19" x14ac:dyDescent="0.25">
      <c r="A137" t="s">
        <v>20</v>
      </c>
      <c r="B137" t="s">
        <v>597</v>
      </c>
      <c r="C137" t="s">
        <v>609</v>
      </c>
      <c r="D137" t="s">
        <v>23</v>
      </c>
      <c r="E137" t="s">
        <v>24</v>
      </c>
      <c r="F137" t="s">
        <v>25</v>
      </c>
      <c r="G137" t="s">
        <v>34</v>
      </c>
      <c r="H137" s="14" t="str">
        <f t="shared" si="5"/>
        <v>Apr</v>
      </c>
      <c r="I137" s="15">
        <v>8905302263345</v>
      </c>
      <c r="J137" t="s">
        <v>610</v>
      </c>
      <c r="K137" t="s">
        <v>611</v>
      </c>
      <c r="L137" t="s">
        <v>612</v>
      </c>
      <c r="M137" t="s">
        <v>61</v>
      </c>
      <c r="N137">
        <v>5999</v>
      </c>
      <c r="O137">
        <v>5999</v>
      </c>
      <c r="P137">
        <v>1</v>
      </c>
      <c r="Q137">
        <v>5999</v>
      </c>
      <c r="R137">
        <v>1799.7</v>
      </c>
      <c r="S137">
        <v>0</v>
      </c>
      <c r="T137">
        <v>4199.3</v>
      </c>
      <c r="U137">
        <f t="shared" si="6"/>
        <v>5999</v>
      </c>
      <c r="V137" t="str">
        <v>White Blue Stripe</v>
      </c>
    </row>
    <row r="138" spans="1:22" ht="19" x14ac:dyDescent="0.25">
      <c r="A138" t="s">
        <v>20</v>
      </c>
      <c r="B138" t="s">
        <v>597</v>
      </c>
      <c r="C138" t="s">
        <v>609</v>
      </c>
      <c r="D138" t="s">
        <v>23</v>
      </c>
      <c r="E138" t="s">
        <v>24</v>
      </c>
      <c r="F138" t="s">
        <v>25</v>
      </c>
      <c r="G138" t="s">
        <v>26</v>
      </c>
      <c r="H138" s="14" t="str">
        <f t="shared" si="5"/>
        <v>Apr</v>
      </c>
      <c r="I138" s="15">
        <v>8905202264743</v>
      </c>
      <c r="J138" t="s">
        <v>221</v>
      </c>
      <c r="K138" t="s">
        <v>222</v>
      </c>
      <c r="L138" t="s">
        <v>191</v>
      </c>
      <c r="M138" t="s">
        <v>61</v>
      </c>
      <c r="N138">
        <v>2495</v>
      </c>
      <c r="O138">
        <v>2495</v>
      </c>
      <c r="P138">
        <v>1</v>
      </c>
      <c r="Q138">
        <v>2495</v>
      </c>
      <c r="R138">
        <v>748.5</v>
      </c>
      <c r="S138">
        <v>0</v>
      </c>
      <c r="T138">
        <v>1746.5</v>
      </c>
      <c r="U138">
        <f t="shared" si="6"/>
        <v>2495</v>
      </c>
      <c r="V138" t="str">
        <v xml:space="preserve"> Pixel print drop  oversized unisex T shirt                     </v>
      </c>
    </row>
    <row r="139" spans="1:22" ht="19" x14ac:dyDescent="0.25">
      <c r="A139" t="s">
        <v>20</v>
      </c>
      <c r="B139" t="s">
        <v>636</v>
      </c>
      <c r="C139" t="s">
        <v>637</v>
      </c>
      <c r="D139" t="s">
        <v>23</v>
      </c>
      <c r="E139" t="s">
        <v>24</v>
      </c>
      <c r="F139" t="s">
        <v>25</v>
      </c>
      <c r="G139" t="s">
        <v>34</v>
      </c>
      <c r="H139" s="14" t="str">
        <f t="shared" si="5"/>
        <v>Apr</v>
      </c>
      <c r="I139" s="15">
        <v>8905302263224</v>
      </c>
      <c r="J139" t="s">
        <v>108</v>
      </c>
      <c r="K139" t="s">
        <v>109</v>
      </c>
      <c r="L139" t="s">
        <v>110</v>
      </c>
      <c r="M139" t="s">
        <v>61</v>
      </c>
      <c r="N139">
        <v>5999</v>
      </c>
      <c r="O139">
        <v>5999</v>
      </c>
      <c r="P139">
        <v>1</v>
      </c>
      <c r="Q139">
        <v>5999</v>
      </c>
      <c r="R139">
        <v>899.85</v>
      </c>
      <c r="S139">
        <v>0</v>
      </c>
      <c r="T139">
        <v>5099.1499999999996</v>
      </c>
      <c r="U139">
        <f t="shared" si="6"/>
        <v>5999</v>
      </c>
      <c r="V139" t="str">
        <v>Car Plaid Grey</v>
      </c>
    </row>
    <row r="140" spans="1:22" ht="19" x14ac:dyDescent="0.25">
      <c r="A140" t="s">
        <v>20</v>
      </c>
      <c r="B140" t="s">
        <v>636</v>
      </c>
      <c r="C140" t="s">
        <v>638</v>
      </c>
      <c r="D140" t="s">
        <v>23</v>
      </c>
      <c r="E140" t="s">
        <v>24</v>
      </c>
      <c r="F140" t="s">
        <v>25</v>
      </c>
      <c r="G140" t="s">
        <v>34</v>
      </c>
      <c r="H140" s="14" t="str">
        <f t="shared" si="5"/>
        <v>Apr</v>
      </c>
      <c r="I140" s="15">
        <v>8905302263238</v>
      </c>
      <c r="J140" t="s">
        <v>639</v>
      </c>
      <c r="K140" t="s">
        <v>640</v>
      </c>
      <c r="L140" t="s">
        <v>641</v>
      </c>
      <c r="M140" t="s">
        <v>44</v>
      </c>
      <c r="N140">
        <v>5999</v>
      </c>
      <c r="O140">
        <v>5999</v>
      </c>
      <c r="P140">
        <v>1</v>
      </c>
      <c r="Q140">
        <v>5999</v>
      </c>
      <c r="R140">
        <v>1799.7</v>
      </c>
      <c r="S140">
        <v>0</v>
      </c>
      <c r="T140">
        <v>4199.3</v>
      </c>
      <c r="U140">
        <f t="shared" si="6"/>
        <v>5999</v>
      </c>
      <c r="V140" t="str">
        <v>Grunge Denim Charcoal</v>
      </c>
    </row>
    <row r="141" spans="1:22" ht="19" x14ac:dyDescent="0.25">
      <c r="A141" t="s">
        <v>20</v>
      </c>
      <c r="B141" t="s">
        <v>636</v>
      </c>
      <c r="C141" t="s">
        <v>638</v>
      </c>
      <c r="D141" t="s">
        <v>23</v>
      </c>
      <c r="E141" t="s">
        <v>24</v>
      </c>
      <c r="F141" t="s">
        <v>25</v>
      </c>
      <c r="G141" t="s">
        <v>26</v>
      </c>
      <c r="H141" s="14" t="str">
        <f t="shared" si="5"/>
        <v>Apr</v>
      </c>
      <c r="I141" s="15">
        <v>8905202269274</v>
      </c>
      <c r="J141" t="s">
        <v>643</v>
      </c>
      <c r="K141" t="s">
        <v>644</v>
      </c>
      <c r="L141" t="s">
        <v>94</v>
      </c>
      <c r="M141" t="s">
        <v>44</v>
      </c>
      <c r="N141">
        <v>3495</v>
      </c>
      <c r="O141">
        <v>3495</v>
      </c>
      <c r="P141">
        <v>1</v>
      </c>
      <c r="Q141">
        <v>3495</v>
      </c>
      <c r="R141">
        <v>1048.5</v>
      </c>
      <c r="S141">
        <v>0</v>
      </c>
      <c r="T141">
        <v>2446.5</v>
      </c>
      <c r="U141">
        <f t="shared" si="6"/>
        <v>3495</v>
      </c>
      <c r="V141" t="str">
        <v xml:space="preserve">Back Graffti print Drop Shoulder Crew Neck T-Shirt                                                 </v>
      </c>
    </row>
    <row r="142" spans="1:22" ht="19" x14ac:dyDescent="0.25">
      <c r="A142" t="s">
        <v>62</v>
      </c>
      <c r="B142" t="s">
        <v>636</v>
      </c>
      <c r="C142" t="s">
        <v>645</v>
      </c>
      <c r="D142" t="s">
        <v>23</v>
      </c>
      <c r="E142" t="s">
        <v>24</v>
      </c>
      <c r="F142" t="s">
        <v>25</v>
      </c>
      <c r="G142" t="s">
        <v>26</v>
      </c>
      <c r="H142" s="14" t="str">
        <f t="shared" si="5"/>
        <v>Apr</v>
      </c>
      <c r="I142" s="15">
        <v>8905202264897</v>
      </c>
      <c r="J142" t="s">
        <v>203</v>
      </c>
      <c r="K142">
        <v>8905202264897</v>
      </c>
      <c r="L142" t="s">
        <v>191</v>
      </c>
      <c r="M142" t="s">
        <v>61</v>
      </c>
      <c r="N142">
        <v>2995</v>
      </c>
      <c r="O142">
        <v>2995</v>
      </c>
      <c r="P142">
        <v>1</v>
      </c>
      <c r="Q142">
        <v>2995</v>
      </c>
      <c r="R142">
        <v>449.25</v>
      </c>
      <c r="S142">
        <v>0</v>
      </c>
      <c r="T142">
        <v>2545.75</v>
      </c>
      <c r="U142">
        <f t="shared" si="6"/>
        <v>2995</v>
      </c>
      <c r="V142" t="str">
        <v xml:space="preserve"> Ballet Queen Drop Shoulder T-Shirt in White</v>
      </c>
    </row>
    <row r="143" spans="1:22" ht="19" x14ac:dyDescent="0.25">
      <c r="A143" t="s">
        <v>20</v>
      </c>
      <c r="B143" t="s">
        <v>648</v>
      </c>
      <c r="C143" t="s">
        <v>649</v>
      </c>
      <c r="D143" t="s">
        <v>23</v>
      </c>
      <c r="E143" t="s">
        <v>136</v>
      </c>
      <c r="F143" t="s">
        <v>25</v>
      </c>
      <c r="G143" t="s">
        <v>26</v>
      </c>
      <c r="H143" s="14" t="str">
        <f t="shared" si="5"/>
        <v>Apr</v>
      </c>
      <c r="I143" s="15">
        <v>8905202269229</v>
      </c>
      <c r="J143" t="s">
        <v>650</v>
      </c>
      <c r="K143">
        <v>8905202269229</v>
      </c>
      <c r="L143" t="s">
        <v>651</v>
      </c>
      <c r="M143" t="s">
        <v>54</v>
      </c>
      <c r="N143">
        <v>1995</v>
      </c>
      <c r="O143">
        <v>1995</v>
      </c>
      <c r="P143">
        <v>1</v>
      </c>
      <c r="Q143">
        <v>1995</v>
      </c>
      <c r="R143">
        <v>299.25</v>
      </c>
      <c r="S143">
        <v>0</v>
      </c>
      <c r="T143">
        <v>1695.75</v>
      </c>
      <c r="U143">
        <f t="shared" si="6"/>
        <v>1995</v>
      </c>
      <c r="V143" t="str">
        <v>Core Crop Red</v>
      </c>
    </row>
    <row r="144" spans="1:22" ht="19" x14ac:dyDescent="0.25">
      <c r="A144" t="s">
        <v>62</v>
      </c>
      <c r="B144" s="48" t="s">
        <v>646</v>
      </c>
      <c r="C144" s="48" t="s">
        <v>574</v>
      </c>
      <c r="D144" s="48" t="s">
        <v>23</v>
      </c>
      <c r="E144" s="48" t="s">
        <v>24</v>
      </c>
      <c r="F144" s="48" t="s">
        <v>25</v>
      </c>
      <c r="G144" s="48" t="s">
        <v>26</v>
      </c>
      <c r="H144" s="14" t="str">
        <f t="shared" si="5"/>
        <v>Apr</v>
      </c>
      <c r="I144" s="106">
        <v>8905202269434</v>
      </c>
      <c r="J144" s="48" t="s">
        <v>155</v>
      </c>
      <c r="K144" s="48" t="s">
        <v>156</v>
      </c>
      <c r="L144" s="48" t="s">
        <v>157</v>
      </c>
      <c r="M144" s="48" t="s">
        <v>61</v>
      </c>
      <c r="N144" s="48">
        <v>3995</v>
      </c>
      <c r="O144" s="48">
        <v>3995</v>
      </c>
      <c r="P144" s="48">
        <v>-1</v>
      </c>
      <c r="Q144" s="48">
        <v>-3995</v>
      </c>
      <c r="R144" s="48">
        <v>-599.25</v>
      </c>
      <c r="S144" s="48">
        <v>0</v>
      </c>
      <c r="T144" s="48">
        <v>-3395.75</v>
      </c>
      <c r="U144">
        <f t="shared" si="6"/>
        <v>-3995</v>
      </c>
      <c r="V144" t="str">
        <v>Surfer print  drop shoulder crew neck oversized t-shirt.</v>
      </c>
    </row>
    <row r="145" spans="1:22" ht="19" x14ac:dyDescent="0.25">
      <c r="A145" t="s">
        <v>62</v>
      </c>
      <c r="B145" s="48" t="s">
        <v>527</v>
      </c>
      <c r="C145" s="48" t="s">
        <v>458</v>
      </c>
      <c r="D145" s="48" t="s">
        <v>23</v>
      </c>
      <c r="E145" s="48" t="s">
        <v>24</v>
      </c>
      <c r="F145" s="48" t="s">
        <v>64</v>
      </c>
      <c r="G145" s="48" t="s">
        <v>359</v>
      </c>
      <c r="H145" s="14" t="str">
        <f t="shared" si="5"/>
        <v>Apr</v>
      </c>
      <c r="I145" s="106">
        <v>8905202268710</v>
      </c>
      <c r="J145" s="48" t="s">
        <v>457</v>
      </c>
      <c r="K145" s="48">
        <v>8905202268710</v>
      </c>
      <c r="L145" s="48" t="s">
        <v>456</v>
      </c>
      <c r="M145" s="48" t="s">
        <v>38</v>
      </c>
      <c r="N145" s="48">
        <v>3995</v>
      </c>
      <c r="O145" s="48">
        <v>3995</v>
      </c>
      <c r="P145" s="48">
        <v>-1</v>
      </c>
      <c r="Q145" s="48">
        <v>-3995</v>
      </c>
      <c r="R145" s="48">
        <v>-599.25</v>
      </c>
      <c r="S145" s="48">
        <v>0</v>
      </c>
      <c r="T145" s="48">
        <v>-3395.75</v>
      </c>
      <c r="U145">
        <f t="shared" si="6"/>
        <v>-3995</v>
      </c>
      <c r="V145" t="str">
        <v>Bad Attitude Jogger Black</v>
      </c>
    </row>
    <row r="146" spans="1:22" ht="19" x14ac:dyDescent="0.25">
      <c r="A146" t="s">
        <v>62</v>
      </c>
      <c r="B146" s="59" t="s">
        <v>823</v>
      </c>
      <c r="C146" s="59" t="s">
        <v>595</v>
      </c>
      <c r="D146" s="59" t="s">
        <v>23</v>
      </c>
      <c r="E146" s="59" t="s">
        <v>24</v>
      </c>
      <c r="F146" s="59" t="s">
        <v>25</v>
      </c>
      <c r="G146" s="59" t="s">
        <v>26</v>
      </c>
      <c r="H146" s="14" t="str">
        <f t="shared" ref="H146:H209" si="7">TEXT(DATE(RIGHT(B146,4),MID(B146,4,2),LEFT(B146,2)),"mmm")</f>
        <v>May</v>
      </c>
      <c r="I146" s="107">
        <v>8905202264842</v>
      </c>
      <c r="J146" s="59" t="s">
        <v>58</v>
      </c>
      <c r="K146" s="59" t="s">
        <v>59</v>
      </c>
      <c r="L146" s="59" t="s">
        <v>60</v>
      </c>
      <c r="M146" s="59" t="s">
        <v>61</v>
      </c>
      <c r="N146" s="59">
        <v>3995</v>
      </c>
      <c r="O146" s="59">
        <v>3995</v>
      </c>
      <c r="P146" s="59">
        <v>-1</v>
      </c>
      <c r="Q146" s="59">
        <v>-3995</v>
      </c>
      <c r="R146" s="59">
        <v>-599.25</v>
      </c>
      <c r="S146" s="59">
        <v>0</v>
      </c>
      <c r="T146" s="59">
        <v>-3395.75</v>
      </c>
      <c r="U146">
        <f t="shared" si="6"/>
        <v>-3995</v>
      </c>
      <c r="V146" t="str">
        <v xml:space="preserve"> Psy Bear  Terry Drop Shoulder T-Shirt in Black </v>
      </c>
    </row>
    <row r="147" spans="1:22" ht="19" x14ac:dyDescent="0.25">
      <c r="A147" t="s">
        <v>20</v>
      </c>
      <c r="B147" t="s">
        <v>668</v>
      </c>
      <c r="C147" t="s">
        <v>652</v>
      </c>
      <c r="D147" t="s">
        <v>23</v>
      </c>
      <c r="E147" t="s">
        <v>24</v>
      </c>
      <c r="F147" t="s">
        <v>25</v>
      </c>
      <c r="G147" t="s">
        <v>26</v>
      </c>
      <c r="H147" s="14" t="str">
        <f t="shared" si="7"/>
        <v>May</v>
      </c>
      <c r="I147" s="15">
        <v>8905202264866</v>
      </c>
      <c r="J147" t="s">
        <v>147</v>
      </c>
      <c r="K147" t="s">
        <v>148</v>
      </c>
      <c r="L147" t="s">
        <v>149</v>
      </c>
      <c r="M147" t="s">
        <v>38</v>
      </c>
      <c r="N147">
        <v>3995</v>
      </c>
      <c r="O147">
        <v>3995</v>
      </c>
      <c r="P147">
        <v>1</v>
      </c>
      <c r="Q147">
        <v>3995</v>
      </c>
      <c r="R147">
        <v>0</v>
      </c>
      <c r="S147">
        <v>0</v>
      </c>
      <c r="T147">
        <v>3995</v>
      </c>
      <c r="U147">
        <f t="shared" si="6"/>
        <v>3995</v>
      </c>
      <c r="V147" t="str">
        <v xml:space="preserve"> Psy Bear  Terry Drop Shoulder T-Shirt in Black </v>
      </c>
    </row>
    <row r="148" spans="1:22" ht="19" x14ac:dyDescent="0.25">
      <c r="A148" t="s">
        <v>20</v>
      </c>
      <c r="B148" t="s">
        <v>668</v>
      </c>
      <c r="C148" t="s">
        <v>653</v>
      </c>
      <c r="D148" t="s">
        <v>23</v>
      </c>
      <c r="E148" t="s">
        <v>24</v>
      </c>
      <c r="F148" t="s">
        <v>25</v>
      </c>
      <c r="G148" t="s">
        <v>26</v>
      </c>
      <c r="H148" s="14" t="str">
        <f t="shared" si="7"/>
        <v>May</v>
      </c>
      <c r="I148" s="15">
        <v>8905202264965</v>
      </c>
      <c r="J148" t="s">
        <v>654</v>
      </c>
      <c r="K148">
        <v>8905202264965</v>
      </c>
      <c r="L148" t="s">
        <v>49</v>
      </c>
      <c r="M148" t="s">
        <v>38</v>
      </c>
      <c r="N148">
        <v>2495</v>
      </c>
      <c r="O148">
        <v>2495</v>
      </c>
      <c r="P148">
        <v>1</v>
      </c>
      <c r="Q148">
        <v>2495</v>
      </c>
      <c r="R148">
        <v>0</v>
      </c>
      <c r="S148">
        <v>0</v>
      </c>
      <c r="T148">
        <v>2495</v>
      </c>
      <c r="U148">
        <f t="shared" si="6"/>
        <v>2495</v>
      </c>
      <c r="V148" t="str">
        <v>Be Crazy not Clown Tshirt</v>
      </c>
    </row>
    <row r="149" spans="1:22" ht="19" x14ac:dyDescent="0.25">
      <c r="A149" t="s">
        <v>20</v>
      </c>
      <c r="B149" t="s">
        <v>668</v>
      </c>
      <c r="C149" t="s">
        <v>655</v>
      </c>
      <c r="D149" t="s">
        <v>23</v>
      </c>
      <c r="E149" t="s">
        <v>24</v>
      </c>
      <c r="F149" t="s">
        <v>25</v>
      </c>
      <c r="G149" t="s">
        <v>26</v>
      </c>
      <c r="H149" s="14" t="str">
        <f t="shared" si="7"/>
        <v>May</v>
      </c>
      <c r="I149" s="15">
        <v>8905202269434</v>
      </c>
      <c r="J149" t="s">
        <v>155</v>
      </c>
      <c r="K149" t="s">
        <v>156</v>
      </c>
      <c r="L149" t="s">
        <v>157</v>
      </c>
      <c r="M149" t="s">
        <v>61</v>
      </c>
      <c r="N149">
        <v>3995</v>
      </c>
      <c r="O149">
        <v>3995</v>
      </c>
      <c r="P149">
        <v>2</v>
      </c>
      <c r="Q149">
        <v>7990</v>
      </c>
      <c r="R149">
        <v>0</v>
      </c>
      <c r="S149">
        <v>0</v>
      </c>
      <c r="T149">
        <v>7990</v>
      </c>
      <c r="U149">
        <f t="shared" si="6"/>
        <v>7990</v>
      </c>
      <c r="V149" t="str">
        <v>Surfer print  drop shoulder crew neck oversized t-shirt.</v>
      </c>
    </row>
    <row r="150" spans="1:22" ht="19" x14ac:dyDescent="0.25">
      <c r="A150" t="s">
        <v>20</v>
      </c>
      <c r="B150" t="s">
        <v>668</v>
      </c>
      <c r="C150" t="s">
        <v>656</v>
      </c>
      <c r="D150" t="s">
        <v>23</v>
      </c>
      <c r="E150" t="s">
        <v>136</v>
      </c>
      <c r="F150" t="s">
        <v>25</v>
      </c>
      <c r="G150" t="s">
        <v>26</v>
      </c>
      <c r="H150" s="14" t="str">
        <f t="shared" si="7"/>
        <v>May</v>
      </c>
      <c r="I150" s="15">
        <v>8905202268901</v>
      </c>
      <c r="J150" t="s">
        <v>137</v>
      </c>
      <c r="K150">
        <v>8905202268901</v>
      </c>
      <c r="L150" t="s">
        <v>138</v>
      </c>
      <c r="M150" t="s">
        <v>61</v>
      </c>
      <c r="N150">
        <v>1995</v>
      </c>
      <c r="O150">
        <v>1995</v>
      </c>
      <c r="P150">
        <v>1</v>
      </c>
      <c r="Q150">
        <v>1995</v>
      </c>
      <c r="R150">
        <v>0</v>
      </c>
      <c r="S150">
        <v>0</v>
      </c>
      <c r="T150">
        <v>1995</v>
      </c>
      <c r="U150">
        <f t="shared" si="6"/>
        <v>1995</v>
      </c>
      <c r="V150" t="str">
        <v>Cosmic Intruder Crop - Black</v>
      </c>
    </row>
    <row r="151" spans="1:22" ht="19" x14ac:dyDescent="0.25">
      <c r="A151" t="s">
        <v>20</v>
      </c>
      <c r="B151" t="s">
        <v>668</v>
      </c>
      <c r="C151" t="s">
        <v>657</v>
      </c>
      <c r="D151" t="s">
        <v>23</v>
      </c>
      <c r="E151" t="s">
        <v>24</v>
      </c>
      <c r="F151" t="s">
        <v>25</v>
      </c>
      <c r="G151" t="s">
        <v>26</v>
      </c>
      <c r="H151" s="14" t="str">
        <f t="shared" si="7"/>
        <v>May</v>
      </c>
      <c r="I151" s="15">
        <v>8905202264705</v>
      </c>
      <c r="J151" t="s">
        <v>438</v>
      </c>
      <c r="K151" t="s">
        <v>437</v>
      </c>
      <c r="L151" t="s">
        <v>436</v>
      </c>
      <c r="M151" t="s">
        <v>30</v>
      </c>
      <c r="N151">
        <v>3495</v>
      </c>
      <c r="O151">
        <v>3495</v>
      </c>
      <c r="P151">
        <v>1</v>
      </c>
      <c r="Q151">
        <v>3495</v>
      </c>
      <c r="R151">
        <v>0</v>
      </c>
      <c r="S151">
        <v>0</v>
      </c>
      <c r="T151">
        <v>3495</v>
      </c>
      <c r="U151">
        <f t="shared" si="6"/>
        <v>3495</v>
      </c>
      <c r="V151" t="str">
        <v>Mosquito Embroidered Terry Free Size Tee in White</v>
      </c>
    </row>
    <row r="152" spans="1:22" ht="19" x14ac:dyDescent="0.25">
      <c r="A152" t="s">
        <v>62</v>
      </c>
      <c r="B152" t="s">
        <v>668</v>
      </c>
      <c r="C152" t="s">
        <v>658</v>
      </c>
      <c r="D152" t="s">
        <v>23</v>
      </c>
      <c r="E152" t="s">
        <v>24</v>
      </c>
      <c r="F152" t="s">
        <v>25</v>
      </c>
      <c r="G152" t="s">
        <v>34</v>
      </c>
      <c r="H152" s="14" t="str">
        <f t="shared" si="7"/>
        <v>May</v>
      </c>
      <c r="I152" s="15">
        <v>8905302263254</v>
      </c>
      <c r="J152" t="s">
        <v>659</v>
      </c>
      <c r="K152" t="s">
        <v>660</v>
      </c>
      <c r="L152" t="s">
        <v>661</v>
      </c>
      <c r="M152" t="s">
        <v>61</v>
      </c>
      <c r="N152">
        <v>4999</v>
      </c>
      <c r="O152">
        <v>4999</v>
      </c>
      <c r="P152">
        <v>1</v>
      </c>
      <c r="Q152">
        <v>4999</v>
      </c>
      <c r="R152">
        <v>0</v>
      </c>
      <c r="S152">
        <v>0</v>
      </c>
      <c r="T152">
        <v>4999</v>
      </c>
      <c r="U152">
        <f t="shared" si="6"/>
        <v>4999</v>
      </c>
      <c r="V152" t="str">
        <v>School Micro checks  Green</v>
      </c>
    </row>
    <row r="153" spans="1:22" ht="19" x14ac:dyDescent="0.25">
      <c r="A153" t="s">
        <v>62</v>
      </c>
      <c r="B153" t="s">
        <v>668</v>
      </c>
      <c r="C153" t="s">
        <v>662</v>
      </c>
      <c r="D153" t="s">
        <v>23</v>
      </c>
      <c r="E153" t="s">
        <v>24</v>
      </c>
      <c r="F153" t="s">
        <v>64</v>
      </c>
      <c r="G153" t="s">
        <v>65</v>
      </c>
      <c r="H153" s="14" t="str">
        <f t="shared" si="7"/>
        <v>May</v>
      </c>
      <c r="I153" s="15">
        <v>8905302263192</v>
      </c>
      <c r="J153" t="s">
        <v>465</v>
      </c>
      <c r="K153" t="s">
        <v>464</v>
      </c>
      <c r="L153" t="s">
        <v>463</v>
      </c>
      <c r="M153" t="s">
        <v>38</v>
      </c>
      <c r="N153">
        <v>7999</v>
      </c>
      <c r="O153">
        <v>7999</v>
      </c>
      <c r="P153">
        <v>1</v>
      </c>
      <c r="Q153">
        <v>7999</v>
      </c>
      <c r="R153">
        <v>0</v>
      </c>
      <c r="S153">
        <v>0</v>
      </c>
      <c r="T153">
        <v>7999</v>
      </c>
      <c r="U153">
        <f t="shared" si="6"/>
        <v>7999</v>
      </c>
      <c r="V153" t="str">
        <v>Duo Pocket Vintage</v>
      </c>
    </row>
    <row r="154" spans="1:22" ht="19" x14ac:dyDescent="0.25">
      <c r="A154" t="s">
        <v>62</v>
      </c>
      <c r="B154" t="s">
        <v>663</v>
      </c>
      <c r="C154" t="s">
        <v>664</v>
      </c>
      <c r="D154" t="s">
        <v>23</v>
      </c>
      <c r="E154" t="s">
        <v>24</v>
      </c>
      <c r="F154" t="s">
        <v>25</v>
      </c>
      <c r="G154" t="s">
        <v>34</v>
      </c>
      <c r="H154" s="14" t="str">
        <f t="shared" si="7"/>
        <v>May</v>
      </c>
      <c r="I154" s="15">
        <v>8905302263259</v>
      </c>
      <c r="J154" t="s">
        <v>665</v>
      </c>
      <c r="K154" t="s">
        <v>666</v>
      </c>
      <c r="L154" t="s">
        <v>667</v>
      </c>
      <c r="M154" t="s">
        <v>54</v>
      </c>
      <c r="N154">
        <v>5999</v>
      </c>
      <c r="O154">
        <v>5999</v>
      </c>
      <c r="P154">
        <v>1</v>
      </c>
      <c r="Q154">
        <v>5999</v>
      </c>
      <c r="R154">
        <v>899.85</v>
      </c>
      <c r="S154">
        <v>0</v>
      </c>
      <c r="T154">
        <v>5099.1499999999996</v>
      </c>
      <c r="U154">
        <f t="shared" si="6"/>
        <v>5999</v>
      </c>
      <c r="V154" t="str">
        <v>Banana Shirt Blue</v>
      </c>
    </row>
    <row r="155" spans="1:22" ht="19" x14ac:dyDescent="0.25">
      <c r="A155" t="s">
        <v>575</v>
      </c>
      <c r="B155" t="s">
        <v>663</v>
      </c>
      <c r="C155" t="s">
        <v>669</v>
      </c>
      <c r="D155" t="s">
        <v>23</v>
      </c>
      <c r="E155" t="s">
        <v>24</v>
      </c>
      <c r="F155" t="s">
        <v>25</v>
      </c>
      <c r="G155" t="s">
        <v>26</v>
      </c>
      <c r="H155" s="14" t="str">
        <f t="shared" si="7"/>
        <v>May</v>
      </c>
      <c r="I155" s="15">
        <v>8905202264712</v>
      </c>
      <c r="J155" t="s">
        <v>670</v>
      </c>
      <c r="K155" t="s">
        <v>671</v>
      </c>
      <c r="L155" t="s">
        <v>29</v>
      </c>
      <c r="M155" t="s">
        <v>30</v>
      </c>
      <c r="N155">
        <v>3495</v>
      </c>
      <c r="O155">
        <v>3495</v>
      </c>
      <c r="P155">
        <v>1</v>
      </c>
      <c r="Q155">
        <v>3495</v>
      </c>
      <c r="R155">
        <v>524.25</v>
      </c>
      <c r="S155">
        <v>0</v>
      </c>
      <c r="T155">
        <v>2970.75</v>
      </c>
      <c r="U155">
        <f t="shared" si="6"/>
        <v>3495</v>
      </c>
      <c r="V155" t="str">
        <v>Grumpy Face Embroidered Terry Free Size Tee in Black</v>
      </c>
    </row>
    <row r="156" spans="1:22" ht="19" x14ac:dyDescent="0.25">
      <c r="A156" t="s">
        <v>575</v>
      </c>
      <c r="B156" t="s">
        <v>663</v>
      </c>
      <c r="C156" t="s">
        <v>672</v>
      </c>
      <c r="D156" t="s">
        <v>23</v>
      </c>
      <c r="E156" t="s">
        <v>24</v>
      </c>
      <c r="F156" t="s">
        <v>25</v>
      </c>
      <c r="G156" t="s">
        <v>26</v>
      </c>
      <c r="H156" s="14" t="str">
        <f t="shared" si="7"/>
        <v>May</v>
      </c>
      <c r="I156" s="15">
        <v>8905202264781</v>
      </c>
      <c r="J156" t="s">
        <v>673</v>
      </c>
      <c r="K156">
        <v>8905202264781</v>
      </c>
      <c r="L156" t="s">
        <v>674</v>
      </c>
      <c r="M156" t="s">
        <v>54</v>
      </c>
      <c r="N156">
        <v>4495</v>
      </c>
      <c r="O156">
        <v>4495</v>
      </c>
      <c r="P156">
        <v>1</v>
      </c>
      <c r="Q156">
        <v>4495</v>
      </c>
      <c r="R156">
        <v>674.25</v>
      </c>
      <c r="S156">
        <v>0</v>
      </c>
      <c r="T156">
        <v>3820.75</v>
      </c>
      <c r="U156">
        <f t="shared" si="6"/>
        <v>4495</v>
      </c>
      <c r="V156" t="str">
        <v xml:space="preserve"> Kitty Gang Oversized T shirt</v>
      </c>
    </row>
    <row r="157" spans="1:22" ht="19" x14ac:dyDescent="0.25">
      <c r="A157" t="s">
        <v>20</v>
      </c>
      <c r="B157" t="s">
        <v>675</v>
      </c>
      <c r="C157" t="s">
        <v>676</v>
      </c>
      <c r="D157" t="s">
        <v>23</v>
      </c>
      <c r="E157" t="s">
        <v>24</v>
      </c>
      <c r="F157" t="s">
        <v>25</v>
      </c>
      <c r="G157" t="s">
        <v>34</v>
      </c>
      <c r="H157" s="14" t="str">
        <f t="shared" si="7"/>
        <v>May</v>
      </c>
      <c r="I157" s="15">
        <v>8905302263345</v>
      </c>
      <c r="J157" t="s">
        <v>610</v>
      </c>
      <c r="K157" t="s">
        <v>611</v>
      </c>
      <c r="L157" t="s">
        <v>612</v>
      </c>
      <c r="M157" t="s">
        <v>61</v>
      </c>
      <c r="N157">
        <v>5999</v>
      </c>
      <c r="O157">
        <v>5999</v>
      </c>
      <c r="P157">
        <v>1</v>
      </c>
      <c r="Q157">
        <v>5999</v>
      </c>
      <c r="R157">
        <v>899.85</v>
      </c>
      <c r="S157">
        <v>0</v>
      </c>
      <c r="T157">
        <v>5099.1499999999996</v>
      </c>
      <c r="U157">
        <f t="shared" si="6"/>
        <v>5999</v>
      </c>
      <c r="V157" t="str">
        <v>White Blue Stripe</v>
      </c>
    </row>
    <row r="158" spans="1:22" ht="19" x14ac:dyDescent="0.25">
      <c r="A158" t="s">
        <v>62</v>
      </c>
      <c r="B158" t="s">
        <v>675</v>
      </c>
      <c r="C158" t="s">
        <v>677</v>
      </c>
      <c r="D158" t="s">
        <v>23</v>
      </c>
      <c r="E158" t="s">
        <v>24</v>
      </c>
      <c r="F158" t="s">
        <v>25</v>
      </c>
      <c r="G158" t="s">
        <v>34</v>
      </c>
      <c r="H158" s="14" t="str">
        <f t="shared" si="7"/>
        <v>May</v>
      </c>
      <c r="I158" s="15">
        <v>8905302263258</v>
      </c>
      <c r="J158" t="s">
        <v>678</v>
      </c>
      <c r="K158" t="s">
        <v>679</v>
      </c>
      <c r="L158" t="s">
        <v>37</v>
      </c>
      <c r="M158" t="s">
        <v>38</v>
      </c>
      <c r="N158">
        <v>5999</v>
      </c>
      <c r="O158">
        <v>5999</v>
      </c>
      <c r="P158">
        <v>1</v>
      </c>
      <c r="Q158">
        <v>5999</v>
      </c>
      <c r="R158">
        <v>899.85</v>
      </c>
      <c r="S158">
        <v>0</v>
      </c>
      <c r="T158">
        <v>5099.1499999999996</v>
      </c>
      <c r="U158">
        <f t="shared" si="6"/>
        <v>5999</v>
      </c>
      <c r="V158" t="str">
        <v>CD Drop Shoulder Grey</v>
      </c>
    </row>
    <row r="159" spans="1:22" ht="19" x14ac:dyDescent="0.25">
      <c r="A159" t="s">
        <v>62</v>
      </c>
      <c r="B159" t="s">
        <v>675</v>
      </c>
      <c r="C159" t="s">
        <v>680</v>
      </c>
      <c r="D159" t="s">
        <v>23</v>
      </c>
      <c r="E159" t="s">
        <v>24</v>
      </c>
      <c r="F159" t="s">
        <v>25</v>
      </c>
      <c r="G159" t="s">
        <v>26</v>
      </c>
      <c r="H159" s="14" t="str">
        <f t="shared" si="7"/>
        <v>May</v>
      </c>
      <c r="I159" s="15">
        <v>8905202264835</v>
      </c>
      <c r="J159" t="s">
        <v>552</v>
      </c>
      <c r="K159" t="s">
        <v>553</v>
      </c>
      <c r="L159" t="s">
        <v>53</v>
      </c>
      <c r="M159" t="s">
        <v>54</v>
      </c>
      <c r="N159">
        <v>3995</v>
      </c>
      <c r="O159">
        <v>3995</v>
      </c>
      <c r="P159">
        <v>1</v>
      </c>
      <c r="Q159">
        <v>3995</v>
      </c>
      <c r="R159">
        <v>599.25</v>
      </c>
      <c r="S159">
        <v>0</v>
      </c>
      <c r="T159">
        <v>3395.75</v>
      </c>
      <c r="U159">
        <f t="shared" si="6"/>
        <v>3995</v>
      </c>
      <c r="V159" t="str">
        <v xml:space="preserve"> Psy Bear  Terry Drop Shoulder T-Shirt in Black </v>
      </c>
    </row>
    <row r="160" spans="1:22" ht="19" x14ac:dyDescent="0.25">
      <c r="A160" t="s">
        <v>62</v>
      </c>
      <c r="B160" t="s">
        <v>681</v>
      </c>
      <c r="C160" t="s">
        <v>682</v>
      </c>
      <c r="D160" t="s">
        <v>23</v>
      </c>
      <c r="E160" t="s">
        <v>24</v>
      </c>
      <c r="F160" t="s">
        <v>25</v>
      </c>
      <c r="G160" t="s">
        <v>26</v>
      </c>
      <c r="H160" s="14" t="str">
        <f t="shared" si="7"/>
        <v>May</v>
      </c>
      <c r="I160" s="15">
        <v>8905202269465</v>
      </c>
      <c r="J160" t="s">
        <v>683</v>
      </c>
      <c r="K160" t="s">
        <v>684</v>
      </c>
      <c r="L160" t="s">
        <v>685</v>
      </c>
      <c r="M160" t="s">
        <v>84</v>
      </c>
      <c r="N160">
        <v>3995</v>
      </c>
      <c r="O160">
        <v>3995</v>
      </c>
      <c r="P160">
        <v>1</v>
      </c>
      <c r="Q160">
        <v>3995</v>
      </c>
      <c r="R160">
        <v>599.25</v>
      </c>
      <c r="S160">
        <v>0</v>
      </c>
      <c r="T160">
        <v>3395.75</v>
      </c>
      <c r="U160">
        <f t="shared" si="6"/>
        <v>3995</v>
      </c>
      <c r="V160" t="str">
        <v>Surfer print  drop shoulder crew neck oversized t-shirt.</v>
      </c>
    </row>
    <row r="161" spans="1:22" ht="19" x14ac:dyDescent="0.25">
      <c r="A161" t="s">
        <v>20</v>
      </c>
      <c r="B161" t="s">
        <v>686</v>
      </c>
      <c r="C161" t="s">
        <v>687</v>
      </c>
      <c r="D161" t="s">
        <v>23</v>
      </c>
      <c r="E161" t="s">
        <v>24</v>
      </c>
      <c r="F161" t="s">
        <v>25</v>
      </c>
      <c r="G161" t="s">
        <v>26</v>
      </c>
      <c r="H161" s="14" t="str">
        <f t="shared" si="7"/>
        <v>May</v>
      </c>
      <c r="I161" s="15">
        <v>8905202265030</v>
      </c>
      <c r="J161" t="s">
        <v>688</v>
      </c>
      <c r="K161" t="s">
        <v>689</v>
      </c>
      <c r="L161" t="s">
        <v>690</v>
      </c>
      <c r="M161" t="s">
        <v>54</v>
      </c>
      <c r="N161">
        <v>2995</v>
      </c>
      <c r="O161">
        <v>2995</v>
      </c>
      <c r="P161">
        <v>1</v>
      </c>
      <c r="Q161">
        <v>2995</v>
      </c>
      <c r="R161">
        <v>898.5</v>
      </c>
      <c r="S161">
        <v>0</v>
      </c>
      <c r="T161">
        <v>2096.5</v>
      </c>
      <c r="U161">
        <f t="shared" si="6"/>
        <v>2995</v>
      </c>
      <c r="V161" t="str">
        <v xml:space="preserve">Stamp Tshirt in Blue </v>
      </c>
    </row>
    <row r="162" spans="1:22" ht="19" x14ac:dyDescent="0.25">
      <c r="A162" t="s">
        <v>20</v>
      </c>
      <c r="B162" t="s">
        <v>686</v>
      </c>
      <c r="C162" t="s">
        <v>687</v>
      </c>
      <c r="D162" t="s">
        <v>23</v>
      </c>
      <c r="E162" t="s">
        <v>24</v>
      </c>
      <c r="F162" t="s">
        <v>25</v>
      </c>
      <c r="G162" t="s">
        <v>26</v>
      </c>
      <c r="H162" s="14" t="str">
        <f t="shared" si="7"/>
        <v>May</v>
      </c>
      <c r="I162" s="15">
        <v>8905202269083</v>
      </c>
      <c r="J162" t="s">
        <v>189</v>
      </c>
      <c r="K162" t="s">
        <v>190</v>
      </c>
      <c r="L162" t="s">
        <v>191</v>
      </c>
      <c r="M162" t="s">
        <v>61</v>
      </c>
      <c r="N162">
        <v>3495</v>
      </c>
      <c r="O162">
        <v>3495</v>
      </c>
      <c r="P162">
        <v>1</v>
      </c>
      <c r="Q162">
        <v>3495</v>
      </c>
      <c r="R162">
        <v>1048.5</v>
      </c>
      <c r="S162">
        <v>0</v>
      </c>
      <c r="T162">
        <v>2446.5</v>
      </c>
      <c r="U162">
        <f t="shared" si="6"/>
        <v>3495</v>
      </c>
      <c r="V162" t="str">
        <v>MENS  Oversized  T-Shirt London</v>
      </c>
    </row>
    <row r="163" spans="1:22" ht="19" x14ac:dyDescent="0.25">
      <c r="A163" t="s">
        <v>20</v>
      </c>
      <c r="B163" t="s">
        <v>686</v>
      </c>
      <c r="C163" t="s">
        <v>687</v>
      </c>
      <c r="D163" t="s">
        <v>23</v>
      </c>
      <c r="E163" t="s">
        <v>24</v>
      </c>
      <c r="F163" t="s">
        <v>25</v>
      </c>
      <c r="G163" t="s">
        <v>26</v>
      </c>
      <c r="H163" s="14" t="str">
        <f t="shared" si="7"/>
        <v>May</v>
      </c>
      <c r="I163" s="15">
        <v>8905202269441</v>
      </c>
      <c r="J163" t="s">
        <v>554</v>
      </c>
      <c r="K163" t="s">
        <v>555</v>
      </c>
      <c r="L163" t="s">
        <v>556</v>
      </c>
      <c r="M163" t="s">
        <v>54</v>
      </c>
      <c r="N163">
        <v>3995</v>
      </c>
      <c r="O163">
        <v>3995</v>
      </c>
      <c r="P163">
        <v>1</v>
      </c>
      <c r="Q163">
        <v>3995</v>
      </c>
      <c r="R163">
        <v>1198.5</v>
      </c>
      <c r="S163">
        <v>0</v>
      </c>
      <c r="T163">
        <v>2796.5</v>
      </c>
      <c r="U163">
        <f t="shared" si="6"/>
        <v>3995</v>
      </c>
      <c r="V163" t="str">
        <v>Surfer print  drop shoulder crew neck oversized t-shirt.</v>
      </c>
    </row>
    <row r="164" spans="1:22" ht="19" x14ac:dyDescent="0.25">
      <c r="A164" t="s">
        <v>62</v>
      </c>
      <c r="B164" t="s">
        <v>686</v>
      </c>
      <c r="C164" t="s">
        <v>691</v>
      </c>
      <c r="D164" t="s">
        <v>23</v>
      </c>
      <c r="E164" t="s">
        <v>24</v>
      </c>
      <c r="F164" t="s">
        <v>64</v>
      </c>
      <c r="G164" t="s">
        <v>65</v>
      </c>
      <c r="H164" s="14" t="str">
        <f t="shared" si="7"/>
        <v>May</v>
      </c>
      <c r="I164" s="15">
        <v>8905302263320</v>
      </c>
      <c r="J164" t="s">
        <v>692</v>
      </c>
      <c r="K164" t="s">
        <v>693</v>
      </c>
      <c r="L164" t="s">
        <v>694</v>
      </c>
      <c r="M164" t="s">
        <v>38</v>
      </c>
      <c r="N164">
        <v>6999</v>
      </c>
      <c r="O164">
        <v>6999</v>
      </c>
      <c r="P164">
        <v>1</v>
      </c>
      <c r="Q164">
        <v>6999</v>
      </c>
      <c r="R164">
        <v>1049.8499999999999</v>
      </c>
      <c r="S164">
        <v>0</v>
      </c>
      <c r="T164">
        <v>5949.15</v>
      </c>
      <c r="U164">
        <f t="shared" si="6"/>
        <v>6999</v>
      </c>
      <c r="V164" t="str">
        <v>Black Paint Brush</v>
      </c>
    </row>
    <row r="165" spans="1:22" ht="19" x14ac:dyDescent="0.25">
      <c r="A165" t="s">
        <v>62</v>
      </c>
      <c r="B165" t="s">
        <v>686</v>
      </c>
      <c r="C165" t="s">
        <v>695</v>
      </c>
      <c r="D165" t="s">
        <v>23</v>
      </c>
      <c r="E165" t="s">
        <v>24</v>
      </c>
      <c r="F165" t="s">
        <v>64</v>
      </c>
      <c r="G165" t="s">
        <v>65</v>
      </c>
      <c r="H165" s="14" t="str">
        <f t="shared" si="7"/>
        <v>May</v>
      </c>
      <c r="I165" s="15">
        <v>8905302263203</v>
      </c>
      <c r="J165" t="s">
        <v>290</v>
      </c>
      <c r="K165" t="s">
        <v>291</v>
      </c>
      <c r="L165" t="s">
        <v>292</v>
      </c>
      <c r="M165" t="s">
        <v>44</v>
      </c>
      <c r="N165">
        <v>6999</v>
      </c>
      <c r="O165">
        <v>6999</v>
      </c>
      <c r="P165">
        <v>1</v>
      </c>
      <c r="Q165">
        <v>6999</v>
      </c>
      <c r="R165">
        <v>1049.8499999999999</v>
      </c>
      <c r="S165">
        <v>0</v>
      </c>
      <c r="T165">
        <v>5949.15</v>
      </c>
      <c r="U165">
        <f t="shared" si="6"/>
        <v>6999</v>
      </c>
      <c r="V165" t="str">
        <v>Open Bottom Black</v>
      </c>
    </row>
    <row r="166" spans="1:22" ht="19" x14ac:dyDescent="0.25">
      <c r="A166" t="s">
        <v>575</v>
      </c>
      <c r="B166" t="s">
        <v>686</v>
      </c>
      <c r="C166" t="s">
        <v>696</v>
      </c>
      <c r="D166" t="s">
        <v>23</v>
      </c>
      <c r="E166" t="s">
        <v>24</v>
      </c>
      <c r="F166" t="s">
        <v>25</v>
      </c>
      <c r="G166" t="s">
        <v>26</v>
      </c>
      <c r="H166" s="14" t="str">
        <f t="shared" si="7"/>
        <v>May</v>
      </c>
      <c r="I166" s="15">
        <v>8905202264835</v>
      </c>
      <c r="J166" t="s">
        <v>552</v>
      </c>
      <c r="K166" t="s">
        <v>553</v>
      </c>
      <c r="L166" t="s">
        <v>53</v>
      </c>
      <c r="M166" t="s">
        <v>54</v>
      </c>
      <c r="N166">
        <v>3995</v>
      </c>
      <c r="O166">
        <v>3995</v>
      </c>
      <c r="P166">
        <v>1</v>
      </c>
      <c r="Q166">
        <v>3995</v>
      </c>
      <c r="R166">
        <v>599.25</v>
      </c>
      <c r="S166">
        <v>0</v>
      </c>
      <c r="T166">
        <v>3395.75</v>
      </c>
      <c r="U166">
        <f t="shared" si="6"/>
        <v>3995</v>
      </c>
      <c r="V166" t="str">
        <v xml:space="preserve"> Psy Bear  Terry Drop Shoulder T-Shirt in Black </v>
      </c>
    </row>
    <row r="167" spans="1:22" ht="19" x14ac:dyDescent="0.25">
      <c r="A167" t="s">
        <v>20</v>
      </c>
      <c r="B167" t="s">
        <v>697</v>
      </c>
      <c r="C167" t="s">
        <v>698</v>
      </c>
      <c r="D167" t="s">
        <v>23</v>
      </c>
      <c r="E167" t="s">
        <v>24</v>
      </c>
      <c r="F167" t="s">
        <v>25</v>
      </c>
      <c r="G167" t="s">
        <v>34</v>
      </c>
      <c r="H167" s="14" t="str">
        <f t="shared" si="7"/>
        <v>May</v>
      </c>
      <c r="I167" s="15">
        <v>8905302263346</v>
      </c>
      <c r="J167" t="s">
        <v>699</v>
      </c>
      <c r="K167" t="s">
        <v>700</v>
      </c>
      <c r="L167" t="s">
        <v>701</v>
      </c>
      <c r="M167" t="s">
        <v>44</v>
      </c>
      <c r="N167">
        <v>5999</v>
      </c>
      <c r="O167">
        <v>5999</v>
      </c>
      <c r="P167">
        <v>1</v>
      </c>
      <c r="Q167">
        <v>5999</v>
      </c>
      <c r="R167">
        <v>899.85</v>
      </c>
      <c r="S167">
        <v>0</v>
      </c>
      <c r="T167">
        <v>5099.1499999999996</v>
      </c>
      <c r="U167">
        <f t="shared" si="6"/>
        <v>5999</v>
      </c>
      <c r="V167" t="str">
        <v>White Blue Stripe</v>
      </c>
    </row>
    <row r="168" spans="1:22" ht="19" x14ac:dyDescent="0.25">
      <c r="A168" t="s">
        <v>62</v>
      </c>
      <c r="B168" t="s">
        <v>697</v>
      </c>
      <c r="C168" t="s">
        <v>702</v>
      </c>
      <c r="D168" t="s">
        <v>23</v>
      </c>
      <c r="E168" t="s">
        <v>24</v>
      </c>
      <c r="F168" t="s">
        <v>25</v>
      </c>
      <c r="G168" t="s">
        <v>26</v>
      </c>
      <c r="H168" s="14" t="str">
        <f t="shared" si="7"/>
        <v>May</v>
      </c>
      <c r="I168" s="15">
        <v>8905202264866</v>
      </c>
      <c r="J168" t="s">
        <v>147</v>
      </c>
      <c r="K168" t="s">
        <v>148</v>
      </c>
      <c r="L168" t="s">
        <v>149</v>
      </c>
      <c r="M168" t="s">
        <v>38</v>
      </c>
      <c r="N168">
        <v>3995</v>
      </c>
      <c r="O168">
        <v>3995</v>
      </c>
      <c r="P168">
        <v>1</v>
      </c>
      <c r="Q168">
        <v>3995</v>
      </c>
      <c r="R168">
        <v>599.25</v>
      </c>
      <c r="S168">
        <v>0</v>
      </c>
      <c r="T168">
        <v>3395.75</v>
      </c>
      <c r="U168">
        <f t="shared" si="6"/>
        <v>3995</v>
      </c>
      <c r="V168" t="str">
        <v xml:space="preserve"> Psy Bear  Terry Drop Shoulder T-Shirt in Black </v>
      </c>
    </row>
    <row r="169" spans="1:22" ht="19" x14ac:dyDescent="0.25">
      <c r="A169" t="s">
        <v>20</v>
      </c>
      <c r="B169" t="s">
        <v>709</v>
      </c>
      <c r="C169" t="s">
        <v>482</v>
      </c>
      <c r="D169" t="s">
        <v>23</v>
      </c>
      <c r="E169" t="s">
        <v>24</v>
      </c>
      <c r="F169" t="s">
        <v>25</v>
      </c>
      <c r="G169" t="s">
        <v>26</v>
      </c>
      <c r="H169" s="14" t="str">
        <f t="shared" si="7"/>
        <v>May</v>
      </c>
      <c r="I169" s="15">
        <v>8905202264705</v>
      </c>
      <c r="J169" t="s">
        <v>438</v>
      </c>
      <c r="K169" t="s">
        <v>437</v>
      </c>
      <c r="L169" t="s">
        <v>436</v>
      </c>
      <c r="M169" t="s">
        <v>30</v>
      </c>
      <c r="N169">
        <v>3495</v>
      </c>
      <c r="O169">
        <v>3495</v>
      </c>
      <c r="P169">
        <v>1</v>
      </c>
      <c r="Q169">
        <v>3495</v>
      </c>
      <c r="R169">
        <v>524.25</v>
      </c>
      <c r="S169">
        <v>0</v>
      </c>
      <c r="T169">
        <v>2970.75</v>
      </c>
      <c r="U169">
        <f t="shared" si="6"/>
        <v>3495</v>
      </c>
      <c r="V169" t="str">
        <v>Mosquito Embroidered Terry Free Size Tee in White</v>
      </c>
    </row>
    <row r="170" spans="1:22" ht="19" x14ac:dyDescent="0.25">
      <c r="A170" t="s">
        <v>62</v>
      </c>
      <c r="B170" t="s">
        <v>709</v>
      </c>
      <c r="C170" t="s">
        <v>710</v>
      </c>
      <c r="D170" t="s">
        <v>23</v>
      </c>
      <c r="E170" t="s">
        <v>24</v>
      </c>
      <c r="F170" t="s">
        <v>25</v>
      </c>
      <c r="G170" t="s">
        <v>26</v>
      </c>
      <c r="H170" s="14" t="str">
        <f t="shared" si="7"/>
        <v>May</v>
      </c>
      <c r="I170" s="15">
        <v>8905302263380</v>
      </c>
      <c r="J170" t="s">
        <v>711</v>
      </c>
      <c r="K170" t="s">
        <v>712</v>
      </c>
      <c r="L170" t="s">
        <v>94</v>
      </c>
      <c r="M170" t="s">
        <v>44</v>
      </c>
      <c r="N170">
        <v>3999</v>
      </c>
      <c r="O170">
        <v>3999</v>
      </c>
      <c r="P170">
        <v>1</v>
      </c>
      <c r="Q170">
        <v>3999</v>
      </c>
      <c r="R170">
        <v>599.85</v>
      </c>
      <c r="S170">
        <v>0</v>
      </c>
      <c r="T170">
        <v>3399.15</v>
      </c>
      <c r="U170">
        <f t="shared" si="6"/>
        <v>3999</v>
      </c>
      <c r="V170" t="str">
        <v>Butterfly</v>
      </c>
    </row>
    <row r="171" spans="1:22" ht="19" x14ac:dyDescent="0.25">
      <c r="A171" t="s">
        <v>575</v>
      </c>
      <c r="B171" t="s">
        <v>709</v>
      </c>
      <c r="C171" t="s">
        <v>135</v>
      </c>
      <c r="D171" t="s">
        <v>23</v>
      </c>
      <c r="E171" t="s">
        <v>24</v>
      </c>
      <c r="F171" t="s">
        <v>25</v>
      </c>
      <c r="G171" t="s">
        <v>34</v>
      </c>
      <c r="H171" s="14" t="str">
        <f t="shared" si="7"/>
        <v>May</v>
      </c>
      <c r="I171" s="15">
        <v>8905302263236</v>
      </c>
      <c r="J171" t="s">
        <v>76</v>
      </c>
      <c r="K171" t="s">
        <v>77</v>
      </c>
      <c r="L171" t="s">
        <v>78</v>
      </c>
      <c r="M171" t="s">
        <v>54</v>
      </c>
      <c r="N171">
        <v>5999</v>
      </c>
      <c r="O171">
        <v>5999</v>
      </c>
      <c r="P171">
        <v>1</v>
      </c>
      <c r="Q171">
        <v>5999</v>
      </c>
      <c r="R171">
        <v>899.85</v>
      </c>
      <c r="S171">
        <v>0</v>
      </c>
      <c r="T171">
        <v>5099.1499999999996</v>
      </c>
      <c r="U171">
        <f t="shared" si="6"/>
        <v>5999</v>
      </c>
      <c r="V171" t="str">
        <v>Grunge Denim Charcoal</v>
      </c>
    </row>
    <row r="172" spans="1:22" ht="19" x14ac:dyDescent="0.25">
      <c r="A172" t="s">
        <v>62</v>
      </c>
      <c r="B172" t="s">
        <v>703</v>
      </c>
      <c r="C172" t="s">
        <v>713</v>
      </c>
      <c r="D172" t="s">
        <v>23</v>
      </c>
      <c r="E172" t="s">
        <v>24</v>
      </c>
      <c r="F172" t="s">
        <v>64</v>
      </c>
      <c r="G172" t="s">
        <v>65</v>
      </c>
      <c r="H172" s="14" t="str">
        <f t="shared" si="7"/>
        <v>May</v>
      </c>
      <c r="I172" s="15">
        <v>8905302263213</v>
      </c>
      <c r="J172" t="s">
        <v>81</v>
      </c>
      <c r="K172" t="s">
        <v>82</v>
      </c>
      <c r="L172" t="s">
        <v>83</v>
      </c>
      <c r="M172" t="s">
        <v>84</v>
      </c>
      <c r="N172">
        <v>5999</v>
      </c>
      <c r="O172">
        <v>5999</v>
      </c>
      <c r="P172">
        <v>1</v>
      </c>
      <c r="Q172">
        <v>5999</v>
      </c>
      <c r="R172">
        <v>1799.7</v>
      </c>
      <c r="S172">
        <v>0</v>
      </c>
      <c r="T172">
        <v>4199.3</v>
      </c>
      <c r="U172">
        <f t="shared" si="6"/>
        <v>5999</v>
      </c>
      <c r="V172" t="str">
        <v>Distress Drawsting</v>
      </c>
    </row>
    <row r="173" spans="1:22" ht="19" x14ac:dyDescent="0.25">
      <c r="A173" t="s">
        <v>62</v>
      </c>
      <c r="B173" t="s">
        <v>703</v>
      </c>
      <c r="C173" t="s">
        <v>713</v>
      </c>
      <c r="D173" t="s">
        <v>23</v>
      </c>
      <c r="E173" t="s">
        <v>24</v>
      </c>
      <c r="F173" t="s">
        <v>25</v>
      </c>
      <c r="G173" t="s">
        <v>26</v>
      </c>
      <c r="H173" s="14" t="str">
        <f t="shared" si="7"/>
        <v>May</v>
      </c>
      <c r="I173" s="15">
        <v>8905202264729</v>
      </c>
      <c r="J173" t="s">
        <v>28</v>
      </c>
      <c r="K173">
        <v>8905202264729</v>
      </c>
      <c r="L173" t="s">
        <v>29</v>
      </c>
      <c r="M173" t="s">
        <v>30</v>
      </c>
      <c r="N173">
        <v>2995</v>
      </c>
      <c r="O173">
        <v>2995</v>
      </c>
      <c r="P173">
        <v>1</v>
      </c>
      <c r="Q173">
        <v>2995</v>
      </c>
      <c r="R173">
        <v>898.5</v>
      </c>
      <c r="S173">
        <v>0</v>
      </c>
      <c r="T173">
        <v>2096.5</v>
      </c>
      <c r="U173">
        <f t="shared" si="6"/>
        <v>2995</v>
      </c>
      <c r="V173" t="str">
        <v xml:space="preserve">X Graphic Terry Free Size Tee in Black </v>
      </c>
    </row>
    <row r="174" spans="1:22" ht="19" x14ac:dyDescent="0.25">
      <c r="A174" t="s">
        <v>62</v>
      </c>
      <c r="B174" t="s">
        <v>703</v>
      </c>
      <c r="C174" t="s">
        <v>714</v>
      </c>
      <c r="D174" t="s">
        <v>23</v>
      </c>
      <c r="E174" t="s">
        <v>24</v>
      </c>
      <c r="F174" t="s">
        <v>25</v>
      </c>
      <c r="G174" t="s">
        <v>34</v>
      </c>
      <c r="H174" s="14" t="str">
        <f t="shared" si="7"/>
        <v>May</v>
      </c>
      <c r="I174" s="15">
        <v>8905302263328</v>
      </c>
      <c r="J174" t="s">
        <v>715</v>
      </c>
      <c r="K174" t="s">
        <v>716</v>
      </c>
      <c r="L174" t="s">
        <v>717</v>
      </c>
      <c r="M174" t="s">
        <v>54</v>
      </c>
      <c r="N174">
        <v>4999</v>
      </c>
      <c r="O174">
        <v>4999</v>
      </c>
      <c r="P174">
        <v>1</v>
      </c>
      <c r="Q174">
        <v>4999</v>
      </c>
      <c r="R174">
        <v>749.85</v>
      </c>
      <c r="S174">
        <v>0</v>
      </c>
      <c r="T174">
        <v>4249.1499999999996</v>
      </c>
      <c r="U174">
        <f t="shared" si="6"/>
        <v>4999</v>
      </c>
      <c r="V174" t="str">
        <v>Orange Micro Check</v>
      </c>
    </row>
    <row r="175" spans="1:22" ht="19" x14ac:dyDescent="0.25">
      <c r="A175" t="s">
        <v>62</v>
      </c>
      <c r="B175" t="s">
        <v>703</v>
      </c>
      <c r="C175" t="s">
        <v>718</v>
      </c>
      <c r="D175" t="s">
        <v>23</v>
      </c>
      <c r="E175" t="s">
        <v>24</v>
      </c>
      <c r="F175" t="s">
        <v>25</v>
      </c>
      <c r="G175" t="s">
        <v>26</v>
      </c>
      <c r="H175" s="14" t="str">
        <f t="shared" si="7"/>
        <v>May</v>
      </c>
      <c r="I175" s="15">
        <v>8905202264958</v>
      </c>
      <c r="J175" t="s">
        <v>719</v>
      </c>
      <c r="K175">
        <v>8905202264958</v>
      </c>
      <c r="L175" t="s">
        <v>412</v>
      </c>
      <c r="M175" t="s">
        <v>84</v>
      </c>
      <c r="N175">
        <v>2495</v>
      </c>
      <c r="O175">
        <v>2495</v>
      </c>
      <c r="P175">
        <v>1</v>
      </c>
      <c r="Q175">
        <v>2495</v>
      </c>
      <c r="R175">
        <v>374.25</v>
      </c>
      <c r="S175">
        <v>0</v>
      </c>
      <c r="T175">
        <v>2120.75</v>
      </c>
      <c r="U175">
        <f t="shared" si="6"/>
        <v>2495</v>
      </c>
      <c r="V175" t="str">
        <v>Be Crazy not Clown Tshirt</v>
      </c>
    </row>
    <row r="176" spans="1:22" ht="19" x14ac:dyDescent="0.25">
      <c r="A176" t="s">
        <v>62</v>
      </c>
      <c r="B176" t="s">
        <v>703</v>
      </c>
      <c r="C176" t="s">
        <v>704</v>
      </c>
      <c r="D176" t="s">
        <v>23</v>
      </c>
      <c r="E176" t="s">
        <v>24</v>
      </c>
      <c r="F176" t="s">
        <v>64</v>
      </c>
      <c r="G176" t="s">
        <v>65</v>
      </c>
      <c r="H176" s="14" t="str">
        <f t="shared" si="7"/>
        <v>May</v>
      </c>
      <c r="I176" s="15">
        <v>8905302263320</v>
      </c>
      <c r="J176" t="s">
        <v>692</v>
      </c>
      <c r="K176" t="s">
        <v>693</v>
      </c>
      <c r="L176" t="s">
        <v>694</v>
      </c>
      <c r="M176" t="s">
        <v>38</v>
      </c>
      <c r="N176">
        <v>6999</v>
      </c>
      <c r="O176">
        <v>6999</v>
      </c>
      <c r="P176">
        <v>1</v>
      </c>
      <c r="Q176">
        <v>6999</v>
      </c>
      <c r="R176">
        <v>1049.8499999999999</v>
      </c>
      <c r="S176">
        <v>0</v>
      </c>
      <c r="T176">
        <v>5949.15</v>
      </c>
      <c r="U176">
        <f t="shared" si="6"/>
        <v>6999</v>
      </c>
      <c r="V176" t="str">
        <v>Black Paint Brush</v>
      </c>
    </row>
    <row r="177" spans="1:22" ht="19" x14ac:dyDescent="0.25">
      <c r="A177" t="s">
        <v>62</v>
      </c>
      <c r="B177" t="s">
        <v>703</v>
      </c>
      <c r="C177" t="s">
        <v>705</v>
      </c>
      <c r="D177" t="s">
        <v>23</v>
      </c>
      <c r="E177" t="s">
        <v>24</v>
      </c>
      <c r="F177" t="s">
        <v>25</v>
      </c>
      <c r="G177" t="s">
        <v>34</v>
      </c>
      <c r="H177" s="14" t="str">
        <f t="shared" si="7"/>
        <v>May</v>
      </c>
      <c r="I177" s="15">
        <v>8905302263330</v>
      </c>
      <c r="J177" t="s">
        <v>706</v>
      </c>
      <c r="K177" t="s">
        <v>707</v>
      </c>
      <c r="L177" t="s">
        <v>708</v>
      </c>
      <c r="M177" t="s">
        <v>44</v>
      </c>
      <c r="N177">
        <v>4999</v>
      </c>
      <c r="O177">
        <v>4999</v>
      </c>
      <c r="P177">
        <v>1</v>
      </c>
      <c r="Q177">
        <v>4999</v>
      </c>
      <c r="R177">
        <v>749.85</v>
      </c>
      <c r="S177">
        <v>0</v>
      </c>
      <c r="T177">
        <v>4249.1499999999996</v>
      </c>
      <c r="U177">
        <f t="shared" si="6"/>
        <v>4999</v>
      </c>
      <c r="V177" t="str">
        <v>Orange Micro Check</v>
      </c>
    </row>
    <row r="178" spans="1:22" ht="19" x14ac:dyDescent="0.25">
      <c r="A178" t="s">
        <v>20</v>
      </c>
      <c r="B178" t="s">
        <v>733</v>
      </c>
      <c r="C178" t="s">
        <v>135</v>
      </c>
      <c r="D178" t="s">
        <v>23</v>
      </c>
      <c r="E178" t="s">
        <v>24</v>
      </c>
      <c r="F178" t="s">
        <v>25</v>
      </c>
      <c r="G178" t="s">
        <v>34</v>
      </c>
      <c r="H178" s="14" t="str">
        <f t="shared" si="7"/>
        <v>May</v>
      </c>
      <c r="I178" s="15">
        <v>8905302263344</v>
      </c>
      <c r="J178" t="s">
        <v>734</v>
      </c>
      <c r="K178" t="s">
        <v>735</v>
      </c>
      <c r="L178" t="s">
        <v>736</v>
      </c>
      <c r="M178" t="s">
        <v>54</v>
      </c>
      <c r="N178">
        <v>5999</v>
      </c>
      <c r="O178">
        <v>5999</v>
      </c>
      <c r="P178">
        <v>1</v>
      </c>
      <c r="Q178">
        <v>5999</v>
      </c>
      <c r="R178">
        <v>1799.7</v>
      </c>
      <c r="S178">
        <v>0</v>
      </c>
      <c r="T178">
        <v>4199.3</v>
      </c>
      <c r="U178">
        <f t="shared" si="6"/>
        <v>5999</v>
      </c>
      <c r="V178" t="str">
        <v>White Blue Stripe</v>
      </c>
    </row>
    <row r="179" spans="1:22" ht="19" x14ac:dyDescent="0.25">
      <c r="A179" t="s">
        <v>20</v>
      </c>
      <c r="B179" t="s">
        <v>733</v>
      </c>
      <c r="C179" t="s">
        <v>135</v>
      </c>
      <c r="D179" t="s">
        <v>23</v>
      </c>
      <c r="E179" t="s">
        <v>24</v>
      </c>
      <c r="F179" t="s">
        <v>25</v>
      </c>
      <c r="G179" t="s">
        <v>26</v>
      </c>
      <c r="H179" s="14" t="str">
        <f t="shared" si="7"/>
        <v>May</v>
      </c>
      <c r="I179" s="15">
        <v>8905302263379</v>
      </c>
      <c r="J179" t="s">
        <v>737</v>
      </c>
      <c r="K179" t="s">
        <v>738</v>
      </c>
      <c r="L179" t="s">
        <v>60</v>
      </c>
      <c r="M179" t="s">
        <v>61</v>
      </c>
      <c r="N179">
        <v>3999</v>
      </c>
      <c r="O179">
        <v>3999</v>
      </c>
      <c r="P179">
        <v>1</v>
      </c>
      <c r="Q179">
        <v>3999</v>
      </c>
      <c r="R179">
        <v>1199.7</v>
      </c>
      <c r="S179">
        <v>0</v>
      </c>
      <c r="T179">
        <v>2799.3</v>
      </c>
      <c r="U179">
        <f t="shared" si="6"/>
        <v>3999</v>
      </c>
      <c r="V179" t="str">
        <v>Butterfly</v>
      </c>
    </row>
    <row r="180" spans="1:22" ht="19" x14ac:dyDescent="0.25">
      <c r="A180" t="s">
        <v>20</v>
      </c>
      <c r="B180" t="s">
        <v>739</v>
      </c>
      <c r="C180" t="s">
        <v>740</v>
      </c>
      <c r="D180" t="s">
        <v>23</v>
      </c>
      <c r="E180" t="s">
        <v>24</v>
      </c>
      <c r="F180" t="s">
        <v>64</v>
      </c>
      <c r="G180" t="s">
        <v>65</v>
      </c>
      <c r="H180" s="14" t="str">
        <f t="shared" si="7"/>
        <v>May</v>
      </c>
      <c r="I180" s="15">
        <v>8905302263316</v>
      </c>
      <c r="J180" t="s">
        <v>741</v>
      </c>
      <c r="K180" t="s">
        <v>742</v>
      </c>
      <c r="L180" t="s">
        <v>743</v>
      </c>
      <c r="M180" t="s">
        <v>38</v>
      </c>
      <c r="N180">
        <v>6999</v>
      </c>
      <c r="O180">
        <v>6999</v>
      </c>
      <c r="P180">
        <v>1</v>
      </c>
      <c r="Q180">
        <v>6999</v>
      </c>
      <c r="R180">
        <v>2099.6999999999998</v>
      </c>
      <c r="S180">
        <v>0</v>
      </c>
      <c r="T180">
        <v>4899.3</v>
      </c>
      <c r="U180">
        <f t="shared" si="6"/>
        <v>6999</v>
      </c>
      <c r="V180" t="str">
        <v>Blue Paint Brush</v>
      </c>
    </row>
    <row r="181" spans="1:22" ht="19" x14ac:dyDescent="0.25">
      <c r="A181" t="s">
        <v>20</v>
      </c>
      <c r="B181" t="s">
        <v>739</v>
      </c>
      <c r="C181" t="s">
        <v>740</v>
      </c>
      <c r="D181" t="s">
        <v>23</v>
      </c>
      <c r="E181" t="s">
        <v>24</v>
      </c>
      <c r="F181" t="s">
        <v>64</v>
      </c>
      <c r="G181" t="s">
        <v>65</v>
      </c>
      <c r="H181" s="14" t="str">
        <f t="shared" si="7"/>
        <v>May</v>
      </c>
      <c r="I181" s="15">
        <v>8905302263360</v>
      </c>
      <c r="J181" t="s">
        <v>744</v>
      </c>
      <c r="K181" t="s">
        <v>745</v>
      </c>
      <c r="L181" t="s">
        <v>743</v>
      </c>
      <c r="M181" t="s">
        <v>38</v>
      </c>
      <c r="N181">
        <v>7999</v>
      </c>
      <c r="O181">
        <v>7999</v>
      </c>
      <c r="P181">
        <v>1</v>
      </c>
      <c r="Q181">
        <v>7999</v>
      </c>
      <c r="R181">
        <v>2399.6999999999998</v>
      </c>
      <c r="S181">
        <v>0</v>
      </c>
      <c r="T181">
        <v>5599.3</v>
      </c>
      <c r="U181">
        <f t="shared" si="6"/>
        <v>7999</v>
      </c>
      <c r="V181" t="str">
        <v>Blue Paint Splash</v>
      </c>
    </row>
    <row r="182" spans="1:22" ht="19" x14ac:dyDescent="0.25">
      <c r="A182" t="s">
        <v>20</v>
      </c>
      <c r="B182" t="s">
        <v>739</v>
      </c>
      <c r="C182" t="s">
        <v>740</v>
      </c>
      <c r="D182" t="s">
        <v>23</v>
      </c>
      <c r="E182" t="s">
        <v>24</v>
      </c>
      <c r="F182" t="s">
        <v>25</v>
      </c>
      <c r="G182" t="s">
        <v>34</v>
      </c>
      <c r="H182" s="14" t="str">
        <f t="shared" si="7"/>
        <v>May</v>
      </c>
      <c r="I182" s="15">
        <v>8905302263286</v>
      </c>
      <c r="J182" t="s">
        <v>746</v>
      </c>
      <c r="K182" t="s">
        <v>747</v>
      </c>
      <c r="L182" t="s">
        <v>748</v>
      </c>
      <c r="M182" t="s">
        <v>44</v>
      </c>
      <c r="N182">
        <v>5999</v>
      </c>
      <c r="O182">
        <v>5999</v>
      </c>
      <c r="P182">
        <v>1</v>
      </c>
      <c r="Q182">
        <v>5999</v>
      </c>
      <c r="R182">
        <v>1799.7</v>
      </c>
      <c r="S182">
        <v>0</v>
      </c>
      <c r="T182">
        <v>4199.3</v>
      </c>
      <c r="U182">
        <f t="shared" si="6"/>
        <v>5999</v>
      </c>
      <c r="V182" t="str">
        <v>Mushroom Red</v>
      </c>
    </row>
    <row r="183" spans="1:22" ht="19" x14ac:dyDescent="0.25">
      <c r="A183" t="s">
        <v>62</v>
      </c>
      <c r="B183" t="s">
        <v>739</v>
      </c>
      <c r="C183" t="s">
        <v>749</v>
      </c>
      <c r="D183" t="s">
        <v>23</v>
      </c>
      <c r="E183" t="s">
        <v>24</v>
      </c>
      <c r="F183" t="s">
        <v>25</v>
      </c>
      <c r="G183" t="s">
        <v>34</v>
      </c>
      <c r="H183" s="14" t="str">
        <f t="shared" si="7"/>
        <v>May</v>
      </c>
      <c r="I183" s="15">
        <v>8905302263256</v>
      </c>
      <c r="J183" t="s">
        <v>750</v>
      </c>
      <c r="K183" t="s">
        <v>751</v>
      </c>
      <c r="L183" t="s">
        <v>110</v>
      </c>
      <c r="M183" t="s">
        <v>61</v>
      </c>
      <c r="N183">
        <v>5999</v>
      </c>
      <c r="O183">
        <v>5999</v>
      </c>
      <c r="P183">
        <v>1</v>
      </c>
      <c r="Q183">
        <v>5999</v>
      </c>
      <c r="R183">
        <v>899.85</v>
      </c>
      <c r="S183">
        <v>0</v>
      </c>
      <c r="T183">
        <v>5099.1499999999996</v>
      </c>
      <c r="U183">
        <f t="shared" si="6"/>
        <v>5999</v>
      </c>
      <c r="V183" t="str">
        <v>CD Drop Shoulder Grey</v>
      </c>
    </row>
    <row r="184" spans="1:22" ht="19" x14ac:dyDescent="0.25">
      <c r="A184" t="s">
        <v>20</v>
      </c>
      <c r="B184" t="s">
        <v>752</v>
      </c>
      <c r="C184" t="s">
        <v>753</v>
      </c>
      <c r="D184" t="s">
        <v>23</v>
      </c>
      <c r="E184" t="s">
        <v>24</v>
      </c>
      <c r="F184" t="s">
        <v>25</v>
      </c>
      <c r="G184" t="s">
        <v>34</v>
      </c>
      <c r="H184" s="14" t="str">
        <f t="shared" si="7"/>
        <v>May</v>
      </c>
      <c r="I184" s="15">
        <v>8905302263285</v>
      </c>
      <c r="J184" t="s">
        <v>754</v>
      </c>
      <c r="K184" t="s">
        <v>755</v>
      </c>
      <c r="L184" t="s">
        <v>756</v>
      </c>
      <c r="M184" t="s">
        <v>61</v>
      </c>
      <c r="N184">
        <v>5999</v>
      </c>
      <c r="O184">
        <v>5999</v>
      </c>
      <c r="P184">
        <v>1</v>
      </c>
      <c r="Q184">
        <v>5999</v>
      </c>
      <c r="R184">
        <v>899.85</v>
      </c>
      <c r="S184">
        <v>0</v>
      </c>
      <c r="T184">
        <v>5099.1499999999996</v>
      </c>
      <c r="U184">
        <f t="shared" si="6"/>
        <v>5999</v>
      </c>
      <c r="V184" t="str">
        <v>Mushroom Red</v>
      </c>
    </row>
    <row r="185" spans="1:22" ht="19" x14ac:dyDescent="0.25">
      <c r="A185" t="s">
        <v>62</v>
      </c>
      <c r="B185" t="s">
        <v>752</v>
      </c>
      <c r="C185" t="s">
        <v>758</v>
      </c>
      <c r="D185" t="s">
        <v>23</v>
      </c>
      <c r="E185" t="s">
        <v>24</v>
      </c>
      <c r="F185" t="s">
        <v>25</v>
      </c>
      <c r="G185" t="s">
        <v>34</v>
      </c>
      <c r="H185" s="14" t="str">
        <f t="shared" si="7"/>
        <v>May</v>
      </c>
      <c r="I185" s="15">
        <v>8905302263257</v>
      </c>
      <c r="J185" t="s">
        <v>759</v>
      </c>
      <c r="K185" t="s">
        <v>760</v>
      </c>
      <c r="L185" t="s">
        <v>118</v>
      </c>
      <c r="M185" t="s">
        <v>44</v>
      </c>
      <c r="N185">
        <v>5999</v>
      </c>
      <c r="O185">
        <v>5999</v>
      </c>
      <c r="P185">
        <v>1</v>
      </c>
      <c r="Q185">
        <v>5999</v>
      </c>
      <c r="R185">
        <v>899.85</v>
      </c>
      <c r="S185">
        <v>0</v>
      </c>
      <c r="T185">
        <v>5099.1499999999996</v>
      </c>
      <c r="U185">
        <f t="shared" si="6"/>
        <v>5999</v>
      </c>
      <c r="V185" t="str">
        <v>CD Drop Shoulder Grey</v>
      </c>
    </row>
    <row r="186" spans="1:22" ht="19" x14ac:dyDescent="0.25">
      <c r="A186" t="s">
        <v>62</v>
      </c>
      <c r="B186" t="s">
        <v>752</v>
      </c>
      <c r="C186" t="s">
        <v>578</v>
      </c>
      <c r="D186" t="s">
        <v>23</v>
      </c>
      <c r="E186" t="s">
        <v>24</v>
      </c>
      <c r="F186" t="s">
        <v>25</v>
      </c>
      <c r="G186" t="s">
        <v>26</v>
      </c>
      <c r="H186" s="14" t="str">
        <f t="shared" si="7"/>
        <v>May</v>
      </c>
      <c r="I186" s="15">
        <v>8905302263398</v>
      </c>
      <c r="J186" t="s">
        <v>761</v>
      </c>
      <c r="K186" t="s">
        <v>762</v>
      </c>
      <c r="L186" t="s">
        <v>763</v>
      </c>
      <c r="M186" t="s">
        <v>764</v>
      </c>
      <c r="N186">
        <v>4495</v>
      </c>
      <c r="O186">
        <v>4495</v>
      </c>
      <c r="P186">
        <v>1</v>
      </c>
      <c r="Q186">
        <v>4495</v>
      </c>
      <c r="R186">
        <v>674.25</v>
      </c>
      <c r="S186">
        <v>0</v>
      </c>
      <c r="T186">
        <v>3820.75</v>
      </c>
      <c r="U186">
        <f t="shared" si="6"/>
        <v>4495</v>
      </c>
      <c r="V186" t="str">
        <v>Dual Snakes</v>
      </c>
    </row>
    <row r="187" spans="1:22" ht="19" x14ac:dyDescent="0.25">
      <c r="A187" t="s">
        <v>62</v>
      </c>
      <c r="B187" t="s">
        <v>752</v>
      </c>
      <c r="C187" t="s">
        <v>765</v>
      </c>
      <c r="D187" t="s">
        <v>23</v>
      </c>
      <c r="E187" t="s">
        <v>24</v>
      </c>
      <c r="F187" t="s">
        <v>25</v>
      </c>
      <c r="G187" t="s">
        <v>26</v>
      </c>
      <c r="H187" s="14" t="str">
        <f t="shared" si="7"/>
        <v>May</v>
      </c>
      <c r="I187" s="15">
        <v>8905202264873</v>
      </c>
      <c r="J187" t="s">
        <v>130</v>
      </c>
      <c r="K187" t="s">
        <v>131</v>
      </c>
      <c r="L187" t="s">
        <v>94</v>
      </c>
      <c r="M187" t="s">
        <v>44</v>
      </c>
      <c r="N187">
        <v>3995</v>
      </c>
      <c r="O187">
        <v>3995</v>
      </c>
      <c r="P187">
        <v>1</v>
      </c>
      <c r="Q187">
        <v>3995</v>
      </c>
      <c r="R187">
        <v>599.25</v>
      </c>
      <c r="S187">
        <v>0</v>
      </c>
      <c r="T187">
        <v>3395.75</v>
      </c>
      <c r="U187">
        <f t="shared" si="6"/>
        <v>3995</v>
      </c>
      <c r="V187" t="str">
        <v xml:space="preserve"> Psy Bear  Terry Drop Shoulder T-Shirt in Black </v>
      </c>
    </row>
    <row r="188" spans="1:22" ht="19" x14ac:dyDescent="0.25">
      <c r="A188" t="s">
        <v>62</v>
      </c>
      <c r="B188" t="s">
        <v>752</v>
      </c>
      <c r="C188" t="s">
        <v>757</v>
      </c>
      <c r="D188" t="s">
        <v>23</v>
      </c>
      <c r="E188" t="s">
        <v>24</v>
      </c>
      <c r="F188" t="s">
        <v>64</v>
      </c>
      <c r="G188" t="s">
        <v>65</v>
      </c>
      <c r="H188" s="14" t="str">
        <f t="shared" si="7"/>
        <v>May</v>
      </c>
      <c r="I188" s="15">
        <v>8905302263183</v>
      </c>
      <c r="J188" t="s">
        <v>485</v>
      </c>
      <c r="K188" t="s">
        <v>484</v>
      </c>
      <c r="L188" t="s">
        <v>483</v>
      </c>
      <c r="M188" t="s">
        <v>38</v>
      </c>
      <c r="N188">
        <v>5999</v>
      </c>
      <c r="O188">
        <v>5999</v>
      </c>
      <c r="P188">
        <v>1</v>
      </c>
      <c r="Q188">
        <v>5999</v>
      </c>
      <c r="R188">
        <v>899.85</v>
      </c>
      <c r="S188">
        <v>0</v>
      </c>
      <c r="T188">
        <v>5099.1499999999996</v>
      </c>
      <c r="U188">
        <f t="shared" si="6"/>
        <v>5999</v>
      </c>
      <c r="V188" t="str">
        <v>Barell Fit Grey</v>
      </c>
    </row>
    <row r="189" spans="1:22" ht="19" x14ac:dyDescent="0.25">
      <c r="A189" t="s">
        <v>575</v>
      </c>
      <c r="B189" t="s">
        <v>752</v>
      </c>
      <c r="C189" t="s">
        <v>766</v>
      </c>
      <c r="D189" t="s">
        <v>23</v>
      </c>
      <c r="E189" t="s">
        <v>24</v>
      </c>
      <c r="F189" t="s">
        <v>25</v>
      </c>
      <c r="G189" t="s">
        <v>26</v>
      </c>
      <c r="H189" s="14" t="str">
        <f t="shared" si="7"/>
        <v>May</v>
      </c>
      <c r="I189" s="15">
        <v>8905202264705</v>
      </c>
      <c r="J189" t="s">
        <v>438</v>
      </c>
      <c r="K189" t="s">
        <v>437</v>
      </c>
      <c r="L189" t="s">
        <v>436</v>
      </c>
      <c r="M189" t="s">
        <v>30</v>
      </c>
      <c r="N189">
        <v>3495</v>
      </c>
      <c r="O189">
        <v>3495</v>
      </c>
      <c r="P189">
        <v>1</v>
      </c>
      <c r="Q189">
        <v>3495</v>
      </c>
      <c r="R189">
        <v>1048.5</v>
      </c>
      <c r="S189">
        <v>0</v>
      </c>
      <c r="T189">
        <v>2446.5</v>
      </c>
      <c r="U189">
        <f t="shared" si="6"/>
        <v>3495</v>
      </c>
      <c r="V189" t="str">
        <v>Mosquito Embroidered Terry Free Size Tee in White</v>
      </c>
    </row>
    <row r="190" spans="1:22" ht="19" x14ac:dyDescent="0.25">
      <c r="A190" t="s">
        <v>575</v>
      </c>
      <c r="B190" t="s">
        <v>752</v>
      </c>
      <c r="C190" t="s">
        <v>766</v>
      </c>
      <c r="D190" t="s">
        <v>23</v>
      </c>
      <c r="E190" t="s">
        <v>24</v>
      </c>
      <c r="F190" t="s">
        <v>25</v>
      </c>
      <c r="G190" t="s">
        <v>26</v>
      </c>
      <c r="H190" s="14" t="str">
        <f t="shared" si="7"/>
        <v>May</v>
      </c>
      <c r="I190" s="15">
        <v>8905202264729</v>
      </c>
      <c r="J190" t="s">
        <v>28</v>
      </c>
      <c r="K190">
        <v>8905202264729</v>
      </c>
      <c r="L190" t="s">
        <v>29</v>
      </c>
      <c r="M190" t="s">
        <v>30</v>
      </c>
      <c r="N190">
        <v>2995</v>
      </c>
      <c r="O190">
        <v>2995</v>
      </c>
      <c r="P190">
        <v>1</v>
      </c>
      <c r="Q190">
        <v>2995</v>
      </c>
      <c r="R190">
        <v>898.5</v>
      </c>
      <c r="S190">
        <v>0</v>
      </c>
      <c r="T190">
        <v>2096.5</v>
      </c>
      <c r="U190">
        <f t="shared" si="6"/>
        <v>2995</v>
      </c>
      <c r="V190" t="str">
        <v xml:space="preserve">X Graphic Terry Free Size Tee in Black </v>
      </c>
    </row>
    <row r="191" spans="1:22" ht="19" x14ac:dyDescent="0.25">
      <c r="A191" t="s">
        <v>20</v>
      </c>
      <c r="B191" t="s">
        <v>767</v>
      </c>
      <c r="C191" t="s">
        <v>768</v>
      </c>
      <c r="D191" t="s">
        <v>23</v>
      </c>
      <c r="E191" t="s">
        <v>24</v>
      </c>
      <c r="F191" t="s">
        <v>64</v>
      </c>
      <c r="G191" t="s">
        <v>359</v>
      </c>
      <c r="H191" s="14" t="str">
        <f t="shared" si="7"/>
        <v>May</v>
      </c>
      <c r="I191" s="15">
        <v>8905202268697</v>
      </c>
      <c r="J191" t="s">
        <v>769</v>
      </c>
      <c r="K191" t="s">
        <v>770</v>
      </c>
      <c r="L191" t="s">
        <v>771</v>
      </c>
      <c r="M191" t="s">
        <v>38</v>
      </c>
      <c r="N191">
        <v>3995</v>
      </c>
      <c r="O191">
        <v>3995</v>
      </c>
      <c r="P191">
        <v>1</v>
      </c>
      <c r="Q191">
        <v>3995</v>
      </c>
      <c r="R191">
        <v>0</v>
      </c>
      <c r="S191">
        <v>0</v>
      </c>
      <c r="T191">
        <v>3995</v>
      </c>
      <c r="U191">
        <f t="shared" si="6"/>
        <v>3995</v>
      </c>
      <c r="V191" t="str">
        <v>Bad Attitude Jogger Navy</v>
      </c>
    </row>
    <row r="192" spans="1:22" ht="19" x14ac:dyDescent="0.25">
      <c r="A192" t="s">
        <v>20</v>
      </c>
      <c r="B192" t="s">
        <v>767</v>
      </c>
      <c r="C192" t="s">
        <v>768</v>
      </c>
      <c r="D192" t="s">
        <v>23</v>
      </c>
      <c r="E192" t="s">
        <v>24</v>
      </c>
      <c r="F192" t="s">
        <v>64</v>
      </c>
      <c r="G192" t="s">
        <v>359</v>
      </c>
      <c r="H192" s="14" t="str">
        <f t="shared" si="7"/>
        <v>May</v>
      </c>
      <c r="I192" s="15">
        <v>8905202268710</v>
      </c>
      <c r="J192" t="s">
        <v>457</v>
      </c>
      <c r="K192">
        <v>8905202268710</v>
      </c>
      <c r="L192" t="s">
        <v>456</v>
      </c>
      <c r="M192" t="s">
        <v>38</v>
      </c>
      <c r="N192">
        <v>3995</v>
      </c>
      <c r="O192">
        <v>3995</v>
      </c>
      <c r="P192">
        <v>1</v>
      </c>
      <c r="Q192">
        <v>3995</v>
      </c>
      <c r="R192">
        <v>0</v>
      </c>
      <c r="S192">
        <v>0</v>
      </c>
      <c r="T192">
        <v>3995</v>
      </c>
      <c r="U192">
        <f t="shared" si="6"/>
        <v>3995</v>
      </c>
      <c r="V192" t="str">
        <v>Bad Attitude Jogger Black</v>
      </c>
    </row>
    <row r="193" spans="1:22" ht="19" x14ac:dyDescent="0.25">
      <c r="A193" t="s">
        <v>62</v>
      </c>
      <c r="B193" t="s">
        <v>767</v>
      </c>
      <c r="C193" t="s">
        <v>772</v>
      </c>
      <c r="D193" t="s">
        <v>23</v>
      </c>
      <c r="E193" t="s">
        <v>24</v>
      </c>
      <c r="F193" t="s">
        <v>25</v>
      </c>
      <c r="G193" t="s">
        <v>26</v>
      </c>
      <c r="H193" s="14" t="str">
        <f t="shared" si="7"/>
        <v>May</v>
      </c>
      <c r="I193" s="15">
        <v>8905302263380</v>
      </c>
      <c r="J193" t="s">
        <v>711</v>
      </c>
      <c r="K193" t="s">
        <v>712</v>
      </c>
      <c r="L193" t="s">
        <v>94</v>
      </c>
      <c r="M193" t="s">
        <v>44</v>
      </c>
      <c r="N193">
        <v>3999</v>
      </c>
      <c r="O193">
        <v>3999</v>
      </c>
      <c r="P193">
        <v>1</v>
      </c>
      <c r="Q193">
        <v>3999</v>
      </c>
      <c r="R193">
        <v>0</v>
      </c>
      <c r="S193">
        <v>0</v>
      </c>
      <c r="T193">
        <v>3999</v>
      </c>
      <c r="U193">
        <f t="shared" si="6"/>
        <v>3999</v>
      </c>
      <c r="V193" t="str">
        <v>Butterfly</v>
      </c>
    </row>
    <row r="194" spans="1:22" ht="19" x14ac:dyDescent="0.25">
      <c r="A194" t="s">
        <v>62</v>
      </c>
      <c r="B194" t="s">
        <v>767</v>
      </c>
      <c r="C194" t="s">
        <v>773</v>
      </c>
      <c r="D194" t="s">
        <v>23</v>
      </c>
      <c r="E194" t="s">
        <v>24</v>
      </c>
      <c r="F194" t="s">
        <v>25</v>
      </c>
      <c r="G194" t="s">
        <v>26</v>
      </c>
      <c r="H194" s="14" t="str">
        <f t="shared" si="7"/>
        <v>May</v>
      </c>
      <c r="I194" s="15">
        <v>8905302263378</v>
      </c>
      <c r="J194" t="s">
        <v>774</v>
      </c>
      <c r="K194" t="s">
        <v>775</v>
      </c>
      <c r="L194" t="s">
        <v>776</v>
      </c>
      <c r="M194" t="s">
        <v>38</v>
      </c>
      <c r="N194">
        <v>3999</v>
      </c>
      <c r="O194">
        <v>3999</v>
      </c>
      <c r="P194">
        <v>1</v>
      </c>
      <c r="Q194">
        <v>3999</v>
      </c>
      <c r="R194">
        <v>0</v>
      </c>
      <c r="S194">
        <v>0</v>
      </c>
      <c r="T194">
        <v>3999</v>
      </c>
      <c r="U194">
        <f t="shared" si="6"/>
        <v>3999</v>
      </c>
      <c r="V194" t="str">
        <v>Monaco</v>
      </c>
    </row>
    <row r="195" spans="1:22" ht="19" x14ac:dyDescent="0.25">
      <c r="A195" t="s">
        <v>20</v>
      </c>
      <c r="B195" t="s">
        <v>780</v>
      </c>
      <c r="C195" t="s">
        <v>781</v>
      </c>
      <c r="D195" t="s">
        <v>23</v>
      </c>
      <c r="E195" t="s">
        <v>24</v>
      </c>
      <c r="F195" t="s">
        <v>64</v>
      </c>
      <c r="G195" t="s">
        <v>65</v>
      </c>
      <c r="H195" s="14" t="str">
        <f t="shared" si="7"/>
        <v>May</v>
      </c>
      <c r="I195" s="15">
        <v>8905302263362</v>
      </c>
      <c r="J195" t="s">
        <v>602</v>
      </c>
      <c r="K195" t="s">
        <v>603</v>
      </c>
      <c r="L195" t="s">
        <v>604</v>
      </c>
      <c r="M195" t="s">
        <v>61</v>
      </c>
      <c r="N195">
        <v>7999</v>
      </c>
      <c r="O195">
        <v>7999</v>
      </c>
      <c r="P195">
        <v>1</v>
      </c>
      <c r="Q195">
        <v>7999</v>
      </c>
      <c r="R195">
        <v>0</v>
      </c>
      <c r="S195">
        <v>0</v>
      </c>
      <c r="T195">
        <v>7999</v>
      </c>
      <c r="U195">
        <f t="shared" si="6"/>
        <v>7999</v>
      </c>
      <c r="V195" t="str">
        <v>Black Paint Splash</v>
      </c>
    </row>
    <row r="196" spans="1:22" ht="19" x14ac:dyDescent="0.25">
      <c r="A196" t="s">
        <v>62</v>
      </c>
      <c r="B196" t="s">
        <v>780</v>
      </c>
      <c r="C196" t="s">
        <v>782</v>
      </c>
      <c r="D196" t="s">
        <v>23</v>
      </c>
      <c r="E196" t="s">
        <v>24</v>
      </c>
      <c r="F196" t="s">
        <v>25</v>
      </c>
      <c r="G196" t="s">
        <v>26</v>
      </c>
      <c r="H196" s="14" t="str">
        <f t="shared" si="7"/>
        <v>May</v>
      </c>
      <c r="I196" s="15">
        <v>8905202264651</v>
      </c>
      <c r="J196" t="s">
        <v>783</v>
      </c>
      <c r="K196" t="s">
        <v>784</v>
      </c>
      <c r="L196" t="s">
        <v>94</v>
      </c>
      <c r="M196" t="s">
        <v>44</v>
      </c>
      <c r="N196">
        <v>2995</v>
      </c>
      <c r="O196">
        <v>2995</v>
      </c>
      <c r="P196">
        <v>1</v>
      </c>
      <c r="Q196">
        <v>2995</v>
      </c>
      <c r="R196">
        <v>1048.25</v>
      </c>
      <c r="S196">
        <v>0</v>
      </c>
      <c r="T196">
        <v>1946.75</v>
      </c>
      <c r="U196">
        <f t="shared" ref="U196:U259" si="8">P196*N196</f>
        <v>2995</v>
      </c>
      <c r="V196" t="str">
        <v xml:space="preserve">David full print Drop Shoulder Crew Neck T-Shirt                                                 </v>
      </c>
    </row>
    <row r="197" spans="1:22" ht="19" x14ac:dyDescent="0.25">
      <c r="A197" t="s">
        <v>62</v>
      </c>
      <c r="B197" t="s">
        <v>780</v>
      </c>
      <c r="C197" t="s">
        <v>785</v>
      </c>
      <c r="D197" t="s">
        <v>23</v>
      </c>
      <c r="E197" t="s">
        <v>24</v>
      </c>
      <c r="F197" t="s">
        <v>25</v>
      </c>
      <c r="G197" t="s">
        <v>26</v>
      </c>
      <c r="H197" s="14" t="str">
        <f t="shared" si="7"/>
        <v>May</v>
      </c>
      <c r="I197" s="15">
        <v>8905202264729</v>
      </c>
      <c r="J197" t="s">
        <v>28</v>
      </c>
      <c r="K197">
        <v>8905202264729</v>
      </c>
      <c r="L197" t="s">
        <v>29</v>
      </c>
      <c r="M197" t="s">
        <v>30</v>
      </c>
      <c r="N197">
        <v>2995</v>
      </c>
      <c r="O197">
        <v>2995</v>
      </c>
      <c r="P197">
        <v>1</v>
      </c>
      <c r="Q197">
        <v>2995</v>
      </c>
      <c r="R197">
        <v>1048.25</v>
      </c>
      <c r="S197">
        <v>0</v>
      </c>
      <c r="T197">
        <v>1946.75</v>
      </c>
      <c r="U197">
        <f t="shared" si="8"/>
        <v>2995</v>
      </c>
      <c r="V197" t="str">
        <v xml:space="preserve">X Graphic Terry Free Size Tee in Black </v>
      </c>
    </row>
    <row r="198" spans="1:22" ht="19" x14ac:dyDescent="0.25">
      <c r="A198" t="s">
        <v>62</v>
      </c>
      <c r="B198" t="s">
        <v>780</v>
      </c>
      <c r="C198" t="s">
        <v>786</v>
      </c>
      <c r="D198" t="s">
        <v>23</v>
      </c>
      <c r="E198" t="s">
        <v>24</v>
      </c>
      <c r="F198" t="s">
        <v>25</v>
      </c>
      <c r="G198" t="s">
        <v>26</v>
      </c>
      <c r="H198" s="14" t="str">
        <f t="shared" si="7"/>
        <v>May</v>
      </c>
      <c r="I198" s="15">
        <v>8905202264668</v>
      </c>
      <c r="J198" t="s">
        <v>787</v>
      </c>
      <c r="K198" t="s">
        <v>788</v>
      </c>
      <c r="L198" t="s">
        <v>60</v>
      </c>
      <c r="M198" t="s">
        <v>61</v>
      </c>
      <c r="N198">
        <v>2995</v>
      </c>
      <c r="O198">
        <v>2995</v>
      </c>
      <c r="P198">
        <v>1</v>
      </c>
      <c r="Q198">
        <v>2995</v>
      </c>
      <c r="R198">
        <v>1048.25</v>
      </c>
      <c r="S198">
        <v>0</v>
      </c>
      <c r="T198">
        <v>1946.75</v>
      </c>
      <c r="U198">
        <f t="shared" si="8"/>
        <v>2995</v>
      </c>
      <c r="V198" t="str">
        <v xml:space="preserve">David full print Drop Shoulder Crew Neck T-Shirt                                                 </v>
      </c>
    </row>
    <row r="199" spans="1:22" ht="19" x14ac:dyDescent="0.25">
      <c r="A199" t="s">
        <v>62</v>
      </c>
      <c r="B199" t="s">
        <v>780</v>
      </c>
      <c r="C199" t="s">
        <v>786</v>
      </c>
      <c r="D199" t="s">
        <v>23</v>
      </c>
      <c r="E199" t="s">
        <v>24</v>
      </c>
      <c r="F199" t="s">
        <v>25</v>
      </c>
      <c r="G199" t="s">
        <v>26</v>
      </c>
      <c r="H199" s="14" t="str">
        <f t="shared" si="7"/>
        <v>May</v>
      </c>
      <c r="I199" s="15">
        <v>8905202269335</v>
      </c>
      <c r="J199" t="s">
        <v>182</v>
      </c>
      <c r="K199" t="s">
        <v>183</v>
      </c>
      <c r="L199" t="s">
        <v>184</v>
      </c>
      <c r="M199" t="s">
        <v>61</v>
      </c>
      <c r="N199">
        <v>3495</v>
      </c>
      <c r="O199">
        <v>3495</v>
      </c>
      <c r="P199">
        <v>1</v>
      </c>
      <c r="Q199">
        <v>3495</v>
      </c>
      <c r="R199">
        <v>1223.25</v>
      </c>
      <c r="S199">
        <v>0</v>
      </c>
      <c r="T199">
        <v>2271.75</v>
      </c>
      <c r="U199">
        <f t="shared" si="8"/>
        <v>3495</v>
      </c>
      <c r="V199" t="str">
        <v xml:space="preserve">Delusion Front Full Print drop shoulder oversized T shirt                     </v>
      </c>
    </row>
    <row r="200" spans="1:22" ht="19" x14ac:dyDescent="0.25">
      <c r="A200" t="s">
        <v>575</v>
      </c>
      <c r="B200" t="s">
        <v>780</v>
      </c>
      <c r="C200" t="s">
        <v>789</v>
      </c>
      <c r="D200" t="s">
        <v>23</v>
      </c>
      <c r="E200" t="s">
        <v>24</v>
      </c>
      <c r="F200" t="s">
        <v>25</v>
      </c>
      <c r="G200" t="s">
        <v>26</v>
      </c>
      <c r="H200" s="14" t="str">
        <f t="shared" si="7"/>
        <v>May</v>
      </c>
      <c r="I200" s="15">
        <v>8905202264927</v>
      </c>
      <c r="J200" t="s">
        <v>232</v>
      </c>
      <c r="K200" t="s">
        <v>233</v>
      </c>
      <c r="L200" t="s">
        <v>123</v>
      </c>
      <c r="M200" t="s">
        <v>44</v>
      </c>
      <c r="N200">
        <v>2995</v>
      </c>
      <c r="O200">
        <v>2995</v>
      </c>
      <c r="P200">
        <v>1</v>
      </c>
      <c r="Q200">
        <v>2995</v>
      </c>
      <c r="R200">
        <v>1048.25</v>
      </c>
      <c r="S200">
        <v>0</v>
      </c>
      <c r="T200">
        <v>1946.75</v>
      </c>
      <c r="U200">
        <f t="shared" si="8"/>
        <v>2995</v>
      </c>
      <c r="V200" t="str">
        <v xml:space="preserve">Stamp Tshirt in Blue </v>
      </c>
    </row>
    <row r="201" spans="1:22" ht="19" x14ac:dyDescent="0.25">
      <c r="A201" t="s">
        <v>575</v>
      </c>
      <c r="B201" t="s">
        <v>780</v>
      </c>
      <c r="C201" t="s">
        <v>790</v>
      </c>
      <c r="D201" t="s">
        <v>23</v>
      </c>
      <c r="E201" t="s">
        <v>24</v>
      </c>
      <c r="F201" t="s">
        <v>25</v>
      </c>
      <c r="G201" t="s">
        <v>26</v>
      </c>
      <c r="H201" s="14" t="str">
        <f t="shared" si="7"/>
        <v>May</v>
      </c>
      <c r="I201" s="15">
        <v>8905202264880</v>
      </c>
      <c r="J201" t="s">
        <v>417</v>
      </c>
      <c r="K201">
        <v>8905202264880</v>
      </c>
      <c r="L201" t="s">
        <v>416</v>
      </c>
      <c r="M201" t="s">
        <v>54</v>
      </c>
      <c r="N201">
        <v>2995</v>
      </c>
      <c r="O201">
        <v>2995</v>
      </c>
      <c r="P201">
        <v>1</v>
      </c>
      <c r="Q201">
        <v>2995</v>
      </c>
      <c r="R201">
        <v>1048.25</v>
      </c>
      <c r="S201">
        <v>0</v>
      </c>
      <c r="T201">
        <v>1946.75</v>
      </c>
      <c r="U201">
        <f t="shared" si="8"/>
        <v>2995</v>
      </c>
      <c r="V201" t="str">
        <v xml:space="preserve"> Ballet Queen Drop Shoulder T-Shirt in White</v>
      </c>
    </row>
    <row r="202" spans="1:22" ht="19" x14ac:dyDescent="0.25">
      <c r="A202" t="s">
        <v>575</v>
      </c>
      <c r="B202" t="s">
        <v>780</v>
      </c>
      <c r="C202" t="s">
        <v>791</v>
      </c>
      <c r="D202" t="s">
        <v>23</v>
      </c>
      <c r="E202" t="s">
        <v>24</v>
      </c>
      <c r="F202" t="s">
        <v>25</v>
      </c>
      <c r="G202" t="s">
        <v>26</v>
      </c>
      <c r="H202" s="14" t="str">
        <f t="shared" si="7"/>
        <v>May</v>
      </c>
      <c r="I202" s="15">
        <v>8905202264910</v>
      </c>
      <c r="J202" t="s">
        <v>85</v>
      </c>
      <c r="K202" t="s">
        <v>86</v>
      </c>
      <c r="L202" t="s">
        <v>87</v>
      </c>
      <c r="M202" t="s">
        <v>38</v>
      </c>
      <c r="N202">
        <v>2995</v>
      </c>
      <c r="O202">
        <v>2995</v>
      </c>
      <c r="P202">
        <v>1</v>
      </c>
      <c r="Q202">
        <v>2995</v>
      </c>
      <c r="R202">
        <v>1048.25</v>
      </c>
      <c r="S202">
        <v>0</v>
      </c>
      <c r="T202">
        <v>1946.75</v>
      </c>
      <c r="U202">
        <f t="shared" si="8"/>
        <v>2995</v>
      </c>
      <c r="V202" t="str">
        <v xml:space="preserve">Stamp Tshirt in Blue </v>
      </c>
    </row>
    <row r="203" spans="1:22" ht="19" x14ac:dyDescent="0.25">
      <c r="A203" t="s">
        <v>62</v>
      </c>
      <c r="B203" t="s">
        <v>792</v>
      </c>
      <c r="C203" t="s">
        <v>793</v>
      </c>
      <c r="D203" t="s">
        <v>23</v>
      </c>
      <c r="E203" t="s">
        <v>24</v>
      </c>
      <c r="F203" t="s">
        <v>25</v>
      </c>
      <c r="G203" t="s">
        <v>34</v>
      </c>
      <c r="H203" s="14" t="str">
        <f t="shared" si="7"/>
        <v>May</v>
      </c>
      <c r="I203" s="15">
        <v>8905302263237</v>
      </c>
      <c r="J203" t="s">
        <v>606</v>
      </c>
      <c r="K203" t="s">
        <v>607</v>
      </c>
      <c r="L203" t="s">
        <v>608</v>
      </c>
      <c r="M203" t="s">
        <v>61</v>
      </c>
      <c r="N203">
        <v>5999</v>
      </c>
      <c r="O203">
        <v>5999</v>
      </c>
      <c r="P203">
        <v>1</v>
      </c>
      <c r="Q203">
        <v>5999</v>
      </c>
      <c r="R203">
        <v>0</v>
      </c>
      <c r="S203">
        <v>0</v>
      </c>
      <c r="T203">
        <v>5999</v>
      </c>
      <c r="U203">
        <f t="shared" si="8"/>
        <v>5999</v>
      </c>
      <c r="V203" t="str">
        <v>Grunge Denim Charcoal</v>
      </c>
    </row>
    <row r="204" spans="1:22" ht="19" x14ac:dyDescent="0.25">
      <c r="A204" t="s">
        <v>62</v>
      </c>
      <c r="B204" t="s">
        <v>792</v>
      </c>
      <c r="C204" t="s">
        <v>794</v>
      </c>
      <c r="D204" t="s">
        <v>23</v>
      </c>
      <c r="E204" t="s">
        <v>24</v>
      </c>
      <c r="F204" t="s">
        <v>25</v>
      </c>
      <c r="G204" t="s">
        <v>26</v>
      </c>
      <c r="H204" s="14" t="str">
        <f t="shared" si="7"/>
        <v>May</v>
      </c>
      <c r="I204" s="15">
        <v>8905202269335</v>
      </c>
      <c r="J204" t="s">
        <v>182</v>
      </c>
      <c r="K204" t="s">
        <v>183</v>
      </c>
      <c r="L204" t="s">
        <v>184</v>
      </c>
      <c r="M204" t="s">
        <v>61</v>
      </c>
      <c r="N204">
        <v>3495</v>
      </c>
      <c r="O204">
        <v>3495</v>
      </c>
      <c r="P204">
        <v>1</v>
      </c>
      <c r="Q204">
        <v>3495</v>
      </c>
      <c r="R204">
        <v>1223.25</v>
      </c>
      <c r="S204">
        <v>0</v>
      </c>
      <c r="T204">
        <v>2271.75</v>
      </c>
      <c r="U204">
        <f t="shared" si="8"/>
        <v>3495</v>
      </c>
      <c r="V204" t="str">
        <v xml:space="preserve">Delusion Front Full Print drop shoulder oversized T shirt                     </v>
      </c>
    </row>
    <row r="205" spans="1:22" ht="19" x14ac:dyDescent="0.25">
      <c r="A205" t="s">
        <v>62</v>
      </c>
      <c r="B205" t="s">
        <v>792</v>
      </c>
      <c r="C205" t="s">
        <v>795</v>
      </c>
      <c r="D205" t="s">
        <v>23</v>
      </c>
      <c r="E205" t="s">
        <v>24</v>
      </c>
      <c r="F205" t="s">
        <v>25</v>
      </c>
      <c r="G205" t="s">
        <v>26</v>
      </c>
      <c r="H205" s="14" t="str">
        <f t="shared" si="7"/>
        <v>May</v>
      </c>
      <c r="I205" s="15">
        <v>8905202264613</v>
      </c>
      <c r="J205" t="s">
        <v>796</v>
      </c>
      <c r="K205">
        <v>8905202264613</v>
      </c>
      <c r="L205" t="s">
        <v>60</v>
      </c>
      <c r="M205" t="s">
        <v>61</v>
      </c>
      <c r="N205">
        <v>3495</v>
      </c>
      <c r="O205">
        <v>3495</v>
      </c>
      <c r="P205">
        <v>1</v>
      </c>
      <c r="Q205">
        <v>3495</v>
      </c>
      <c r="R205">
        <v>1223.25</v>
      </c>
      <c r="S205">
        <v>0</v>
      </c>
      <c r="T205">
        <v>2271.75</v>
      </c>
      <c r="U205">
        <f t="shared" si="8"/>
        <v>3495</v>
      </c>
      <c r="V205" t="str">
        <v xml:space="preserve">Mumbai  Terry Drop Shoulder T-Shirt in Black </v>
      </c>
    </row>
    <row r="206" spans="1:22" ht="19" x14ac:dyDescent="0.25">
      <c r="A206" t="s">
        <v>62</v>
      </c>
      <c r="B206" t="s">
        <v>792</v>
      </c>
      <c r="C206" t="s">
        <v>795</v>
      </c>
      <c r="D206" t="s">
        <v>23</v>
      </c>
      <c r="E206" t="s">
        <v>24</v>
      </c>
      <c r="F206" t="s">
        <v>25</v>
      </c>
      <c r="G206" t="s">
        <v>26</v>
      </c>
      <c r="H206" s="14" t="str">
        <f t="shared" si="7"/>
        <v>May</v>
      </c>
      <c r="I206" s="15">
        <v>8905202265047</v>
      </c>
      <c r="J206" t="s">
        <v>213</v>
      </c>
      <c r="K206" t="s">
        <v>214</v>
      </c>
      <c r="L206" t="s">
        <v>184</v>
      </c>
      <c r="M206" t="s">
        <v>61</v>
      </c>
      <c r="N206">
        <v>2995</v>
      </c>
      <c r="O206">
        <v>2995</v>
      </c>
      <c r="P206">
        <v>1</v>
      </c>
      <c r="Q206">
        <v>2995</v>
      </c>
      <c r="R206">
        <v>1048.25</v>
      </c>
      <c r="S206">
        <v>0</v>
      </c>
      <c r="T206">
        <v>1946.75</v>
      </c>
      <c r="U206">
        <f t="shared" si="8"/>
        <v>2995</v>
      </c>
      <c r="V206" t="str">
        <v xml:space="preserve">Stamp Tshirt in Blue </v>
      </c>
    </row>
    <row r="207" spans="1:22" ht="19" x14ac:dyDescent="0.25">
      <c r="A207" t="s">
        <v>62</v>
      </c>
      <c r="B207" t="s">
        <v>797</v>
      </c>
      <c r="C207">
        <v>3.6434033199999998E+99</v>
      </c>
      <c r="D207" t="s">
        <v>23</v>
      </c>
      <c r="E207" t="s">
        <v>24</v>
      </c>
      <c r="F207" t="s">
        <v>25</v>
      </c>
      <c r="G207" t="s">
        <v>26</v>
      </c>
      <c r="H207" s="14" t="str">
        <f t="shared" si="7"/>
        <v>May</v>
      </c>
      <c r="I207" s="15">
        <v>8905202264729</v>
      </c>
      <c r="J207" t="s">
        <v>28</v>
      </c>
      <c r="K207">
        <v>8905202264729</v>
      </c>
      <c r="L207" t="s">
        <v>29</v>
      </c>
      <c r="M207" t="s">
        <v>30</v>
      </c>
      <c r="N207">
        <v>2995</v>
      </c>
      <c r="O207">
        <v>2995</v>
      </c>
      <c r="P207">
        <v>1</v>
      </c>
      <c r="Q207">
        <v>2995</v>
      </c>
      <c r="R207">
        <v>1048.25</v>
      </c>
      <c r="S207">
        <v>0</v>
      </c>
      <c r="T207">
        <v>1946.75</v>
      </c>
      <c r="U207">
        <f t="shared" si="8"/>
        <v>2995</v>
      </c>
      <c r="V207" t="str">
        <v xml:space="preserve">X Graphic Terry Free Size Tee in Black </v>
      </c>
    </row>
    <row r="208" spans="1:22" ht="19" x14ac:dyDescent="0.25">
      <c r="A208" t="s">
        <v>62</v>
      </c>
      <c r="B208" t="s">
        <v>797</v>
      </c>
      <c r="C208" t="s">
        <v>798</v>
      </c>
      <c r="D208" t="s">
        <v>23</v>
      </c>
      <c r="E208" t="s">
        <v>24</v>
      </c>
      <c r="F208" t="s">
        <v>25</v>
      </c>
      <c r="G208" t="s">
        <v>26</v>
      </c>
      <c r="H208" s="14" t="str">
        <f t="shared" si="7"/>
        <v>May</v>
      </c>
      <c r="I208" s="15">
        <v>8905202264682</v>
      </c>
      <c r="J208" t="s">
        <v>529</v>
      </c>
      <c r="K208" t="s">
        <v>530</v>
      </c>
      <c r="L208" t="s">
        <v>149</v>
      </c>
      <c r="M208" t="s">
        <v>38</v>
      </c>
      <c r="N208">
        <v>2995</v>
      </c>
      <c r="O208">
        <v>2995</v>
      </c>
      <c r="P208">
        <v>1</v>
      </c>
      <c r="Q208">
        <v>2995</v>
      </c>
      <c r="R208">
        <v>1048.25</v>
      </c>
      <c r="S208">
        <v>0</v>
      </c>
      <c r="T208">
        <v>1946.75</v>
      </c>
      <c r="U208">
        <f t="shared" si="8"/>
        <v>2995</v>
      </c>
      <c r="V208" t="str">
        <v xml:space="preserve">David full print Drop Shoulder Crew Neck T-Shirt                                                 </v>
      </c>
    </row>
    <row r="209" spans="1:22" ht="19" x14ac:dyDescent="0.25">
      <c r="A209" t="s">
        <v>62</v>
      </c>
      <c r="B209" t="s">
        <v>797</v>
      </c>
      <c r="C209" t="s">
        <v>798</v>
      </c>
      <c r="D209" t="s">
        <v>23</v>
      </c>
      <c r="E209" t="s">
        <v>24</v>
      </c>
      <c r="F209" t="s">
        <v>25</v>
      </c>
      <c r="G209" t="s">
        <v>26</v>
      </c>
      <c r="H209" s="14" t="str">
        <f t="shared" si="7"/>
        <v>May</v>
      </c>
      <c r="I209" s="15">
        <v>8905202264897</v>
      </c>
      <c r="J209" t="s">
        <v>203</v>
      </c>
      <c r="K209">
        <v>8905202264897</v>
      </c>
      <c r="L209" t="s">
        <v>191</v>
      </c>
      <c r="M209" t="s">
        <v>61</v>
      </c>
      <c r="N209">
        <v>2995</v>
      </c>
      <c r="O209">
        <v>2995</v>
      </c>
      <c r="P209">
        <v>1</v>
      </c>
      <c r="Q209">
        <v>2995</v>
      </c>
      <c r="R209">
        <v>1048.25</v>
      </c>
      <c r="S209">
        <v>0</v>
      </c>
      <c r="T209">
        <v>1946.75</v>
      </c>
      <c r="U209">
        <f t="shared" si="8"/>
        <v>2995</v>
      </c>
      <c r="V209" t="str">
        <v xml:space="preserve"> Ballet Queen Drop Shoulder T-Shirt in White</v>
      </c>
    </row>
    <row r="210" spans="1:22" ht="19" x14ac:dyDescent="0.25">
      <c r="A210" t="s">
        <v>20</v>
      </c>
      <c r="B210" t="s">
        <v>803</v>
      </c>
      <c r="C210" t="s">
        <v>804</v>
      </c>
      <c r="D210" t="s">
        <v>23</v>
      </c>
      <c r="E210" t="s">
        <v>24</v>
      </c>
      <c r="F210" t="s">
        <v>25</v>
      </c>
      <c r="G210" t="s">
        <v>26</v>
      </c>
      <c r="H210" s="14" t="str">
        <f t="shared" ref="H210:H273" si="9">TEXT(DATE(RIGHT(B210,4),MID(B210,4,2),LEFT(B210,2)),"mmm")</f>
        <v>May</v>
      </c>
      <c r="I210" s="15">
        <v>8905202264729</v>
      </c>
      <c r="J210" t="s">
        <v>28</v>
      </c>
      <c r="K210">
        <v>8905202264729</v>
      </c>
      <c r="L210" t="s">
        <v>29</v>
      </c>
      <c r="M210" t="s">
        <v>30</v>
      </c>
      <c r="N210">
        <v>2995</v>
      </c>
      <c r="O210">
        <v>2995</v>
      </c>
      <c r="P210">
        <v>1</v>
      </c>
      <c r="Q210">
        <v>2995</v>
      </c>
      <c r="R210">
        <v>1048.25</v>
      </c>
      <c r="S210">
        <v>0</v>
      </c>
      <c r="T210">
        <v>1946.75</v>
      </c>
      <c r="U210">
        <f t="shared" si="8"/>
        <v>2995</v>
      </c>
      <c r="V210" t="str">
        <v xml:space="preserve">X Graphic Terry Free Size Tee in Black </v>
      </c>
    </row>
    <row r="211" spans="1:22" ht="19" x14ac:dyDescent="0.25">
      <c r="A211" t="s">
        <v>62</v>
      </c>
      <c r="B211" t="s">
        <v>803</v>
      </c>
      <c r="C211" t="s">
        <v>805</v>
      </c>
      <c r="D211" t="s">
        <v>23</v>
      </c>
      <c r="E211" t="s">
        <v>24</v>
      </c>
      <c r="F211" t="s">
        <v>64</v>
      </c>
      <c r="G211" t="s">
        <v>65</v>
      </c>
      <c r="H211" s="14" t="str">
        <f t="shared" si="9"/>
        <v>May</v>
      </c>
      <c r="I211" s="15">
        <v>8905302263360</v>
      </c>
      <c r="J211" t="s">
        <v>744</v>
      </c>
      <c r="K211" t="s">
        <v>745</v>
      </c>
      <c r="L211" t="s">
        <v>743</v>
      </c>
      <c r="M211" t="s">
        <v>38</v>
      </c>
      <c r="N211">
        <v>7999</v>
      </c>
      <c r="O211">
        <v>7999</v>
      </c>
      <c r="P211">
        <v>1</v>
      </c>
      <c r="Q211">
        <v>7999</v>
      </c>
      <c r="R211">
        <v>0</v>
      </c>
      <c r="S211">
        <v>0</v>
      </c>
      <c r="T211">
        <v>7999</v>
      </c>
      <c r="U211">
        <f t="shared" si="8"/>
        <v>7999</v>
      </c>
      <c r="V211" t="str">
        <v>Blue Paint Splash</v>
      </c>
    </row>
    <row r="212" spans="1:22" ht="19" x14ac:dyDescent="0.25">
      <c r="A212" t="s">
        <v>62</v>
      </c>
      <c r="B212" t="s">
        <v>803</v>
      </c>
      <c r="C212" t="s">
        <v>806</v>
      </c>
      <c r="D212" t="s">
        <v>23</v>
      </c>
      <c r="E212" t="s">
        <v>24</v>
      </c>
      <c r="F212" t="s">
        <v>25</v>
      </c>
      <c r="G212" t="s">
        <v>26</v>
      </c>
      <c r="H212" s="14" t="str">
        <f t="shared" si="9"/>
        <v>May</v>
      </c>
      <c r="I212" s="15">
        <v>8905202264699</v>
      </c>
      <c r="J212" t="s">
        <v>807</v>
      </c>
      <c r="K212" t="s">
        <v>808</v>
      </c>
      <c r="L212" t="s">
        <v>251</v>
      </c>
      <c r="M212" t="s">
        <v>84</v>
      </c>
      <c r="N212">
        <v>2995</v>
      </c>
      <c r="O212">
        <v>2995</v>
      </c>
      <c r="P212">
        <v>1</v>
      </c>
      <c r="Q212">
        <v>2995</v>
      </c>
      <c r="R212">
        <v>1048.25</v>
      </c>
      <c r="S212">
        <v>0</v>
      </c>
      <c r="T212">
        <v>1946.75</v>
      </c>
      <c r="U212">
        <f t="shared" si="8"/>
        <v>2995</v>
      </c>
      <c r="V212" t="str">
        <v xml:space="preserve">David full print Drop Shoulder Crew Neck T-Shirt                                                 </v>
      </c>
    </row>
    <row r="213" spans="1:22" ht="19" x14ac:dyDescent="0.25">
      <c r="A213" t="s">
        <v>62</v>
      </c>
      <c r="B213" t="s">
        <v>803</v>
      </c>
      <c r="C213" t="s">
        <v>799</v>
      </c>
      <c r="D213" t="s">
        <v>23</v>
      </c>
      <c r="E213" t="s">
        <v>24</v>
      </c>
      <c r="F213" t="s">
        <v>25</v>
      </c>
      <c r="G213" t="s">
        <v>34</v>
      </c>
      <c r="H213" s="14" t="str">
        <f t="shared" si="9"/>
        <v>May</v>
      </c>
      <c r="I213" s="15">
        <v>8905302263310</v>
      </c>
      <c r="J213" t="s">
        <v>800</v>
      </c>
      <c r="K213" t="s">
        <v>801</v>
      </c>
      <c r="L213" t="s">
        <v>802</v>
      </c>
      <c r="M213" t="s">
        <v>44</v>
      </c>
      <c r="N213">
        <v>4999</v>
      </c>
      <c r="O213">
        <v>4999</v>
      </c>
      <c r="P213">
        <v>1</v>
      </c>
      <c r="Q213">
        <v>4999</v>
      </c>
      <c r="R213">
        <v>0</v>
      </c>
      <c r="S213">
        <v>0</v>
      </c>
      <c r="T213">
        <v>4999</v>
      </c>
      <c r="U213">
        <f t="shared" si="8"/>
        <v>4999</v>
      </c>
      <c r="V213" t="str">
        <v>Mom's Warning</v>
      </c>
    </row>
    <row r="214" spans="1:22" ht="19" x14ac:dyDescent="0.25">
      <c r="A214" t="s">
        <v>62</v>
      </c>
      <c r="B214" t="s">
        <v>809</v>
      </c>
      <c r="C214" t="s">
        <v>818</v>
      </c>
      <c r="D214" t="s">
        <v>23</v>
      </c>
      <c r="E214" t="s">
        <v>24</v>
      </c>
      <c r="F214" t="s">
        <v>25</v>
      </c>
      <c r="G214" t="s">
        <v>26</v>
      </c>
      <c r="H214" s="14" t="str">
        <f t="shared" si="9"/>
        <v>May</v>
      </c>
      <c r="I214" s="15">
        <v>8905302263397</v>
      </c>
      <c r="J214" t="s">
        <v>819</v>
      </c>
      <c r="K214" t="s">
        <v>820</v>
      </c>
      <c r="L214" t="s">
        <v>821</v>
      </c>
      <c r="M214" t="s">
        <v>38</v>
      </c>
      <c r="N214">
        <v>4495</v>
      </c>
      <c r="O214">
        <v>4495</v>
      </c>
      <c r="P214">
        <v>1</v>
      </c>
      <c r="Q214">
        <v>4495</v>
      </c>
      <c r="R214">
        <v>0</v>
      </c>
      <c r="S214">
        <v>0</v>
      </c>
      <c r="T214">
        <v>4495</v>
      </c>
      <c r="U214">
        <f t="shared" si="8"/>
        <v>4495</v>
      </c>
      <c r="V214" t="str">
        <v>Dual Snakes</v>
      </c>
    </row>
    <row r="215" spans="1:22" ht="19" x14ac:dyDescent="0.25">
      <c r="A215" t="s">
        <v>62</v>
      </c>
      <c r="B215" t="s">
        <v>809</v>
      </c>
      <c r="C215" t="s">
        <v>822</v>
      </c>
      <c r="D215" t="s">
        <v>23</v>
      </c>
      <c r="E215" t="s">
        <v>24</v>
      </c>
      <c r="F215" t="s">
        <v>25</v>
      </c>
      <c r="G215" t="s">
        <v>26</v>
      </c>
      <c r="H215" s="14" t="str">
        <f t="shared" si="9"/>
        <v>May</v>
      </c>
      <c r="I215" s="15">
        <v>8905202269359</v>
      </c>
      <c r="J215" t="s">
        <v>126</v>
      </c>
      <c r="K215" t="s">
        <v>127</v>
      </c>
      <c r="L215" t="s">
        <v>87</v>
      </c>
      <c r="M215" t="s">
        <v>38</v>
      </c>
      <c r="N215">
        <v>3495</v>
      </c>
      <c r="O215">
        <v>3495</v>
      </c>
      <c r="P215">
        <v>1</v>
      </c>
      <c r="Q215">
        <v>3495</v>
      </c>
      <c r="R215">
        <v>1223.25</v>
      </c>
      <c r="S215">
        <v>0</v>
      </c>
      <c r="T215">
        <v>2271.75</v>
      </c>
      <c r="U215">
        <f t="shared" si="8"/>
        <v>3495</v>
      </c>
      <c r="V215" t="str">
        <v xml:space="preserve">Delusion Front Full Print drop shoulder oversized T shirt                     </v>
      </c>
    </row>
    <row r="216" spans="1:22" ht="19" x14ac:dyDescent="0.25">
      <c r="A216" t="s">
        <v>62</v>
      </c>
      <c r="B216" t="s">
        <v>809</v>
      </c>
      <c r="C216" t="s">
        <v>810</v>
      </c>
      <c r="D216" t="s">
        <v>23</v>
      </c>
      <c r="E216" t="s">
        <v>24</v>
      </c>
      <c r="F216" t="s">
        <v>25</v>
      </c>
      <c r="G216" t="s">
        <v>26</v>
      </c>
      <c r="H216" s="14" t="str">
        <f t="shared" si="9"/>
        <v>May</v>
      </c>
      <c r="I216" s="15">
        <v>8905202264675</v>
      </c>
      <c r="J216" t="s">
        <v>481</v>
      </c>
      <c r="K216" t="s">
        <v>480</v>
      </c>
      <c r="L216" t="s">
        <v>53</v>
      </c>
      <c r="M216" t="s">
        <v>54</v>
      </c>
      <c r="N216">
        <v>2995</v>
      </c>
      <c r="O216">
        <v>2995</v>
      </c>
      <c r="P216">
        <v>1</v>
      </c>
      <c r="Q216">
        <v>2995</v>
      </c>
      <c r="R216">
        <v>1048.25</v>
      </c>
      <c r="S216">
        <v>0</v>
      </c>
      <c r="T216">
        <v>1946.75</v>
      </c>
      <c r="U216">
        <f t="shared" si="8"/>
        <v>2995</v>
      </c>
      <c r="V216" t="str">
        <v xml:space="preserve">David full print Drop Shoulder Crew Neck T-Shirt                                                 </v>
      </c>
    </row>
    <row r="217" spans="1:22" ht="19" x14ac:dyDescent="0.25">
      <c r="A217" t="s">
        <v>62</v>
      </c>
      <c r="B217" t="s">
        <v>809</v>
      </c>
      <c r="C217" t="s">
        <v>810</v>
      </c>
      <c r="D217" t="s">
        <v>23</v>
      </c>
      <c r="E217" t="s">
        <v>24</v>
      </c>
      <c r="F217" t="s">
        <v>25</v>
      </c>
      <c r="G217" t="s">
        <v>26</v>
      </c>
      <c r="H217" s="14" t="str">
        <f t="shared" si="9"/>
        <v>May</v>
      </c>
      <c r="I217" s="15">
        <v>8905302263395</v>
      </c>
      <c r="J217" t="s">
        <v>811</v>
      </c>
      <c r="K217" t="s">
        <v>812</v>
      </c>
      <c r="L217" t="s">
        <v>813</v>
      </c>
      <c r="M217" t="s">
        <v>54</v>
      </c>
      <c r="N217">
        <v>4495</v>
      </c>
      <c r="O217">
        <v>4495</v>
      </c>
      <c r="P217">
        <v>1</v>
      </c>
      <c r="Q217">
        <v>4495</v>
      </c>
      <c r="R217">
        <v>0</v>
      </c>
      <c r="S217">
        <v>0</v>
      </c>
      <c r="T217">
        <v>4495</v>
      </c>
      <c r="U217">
        <f t="shared" si="8"/>
        <v>4495</v>
      </c>
      <c r="V217" t="str">
        <v>Dual Snakes</v>
      </c>
    </row>
    <row r="218" spans="1:22" ht="19" x14ac:dyDescent="0.25">
      <c r="A218" t="s">
        <v>575</v>
      </c>
      <c r="B218" t="s">
        <v>809</v>
      </c>
      <c r="C218" t="s">
        <v>814</v>
      </c>
      <c r="D218" t="s">
        <v>23</v>
      </c>
      <c r="E218" t="s">
        <v>24</v>
      </c>
      <c r="F218" t="s">
        <v>25</v>
      </c>
      <c r="G218" t="s">
        <v>34</v>
      </c>
      <c r="H218" s="14" t="str">
        <f t="shared" si="9"/>
        <v>May</v>
      </c>
      <c r="I218" s="15">
        <v>8905302263323</v>
      </c>
      <c r="J218" t="s">
        <v>815</v>
      </c>
      <c r="K218" t="s">
        <v>816</v>
      </c>
      <c r="L218" t="s">
        <v>817</v>
      </c>
      <c r="M218" t="s">
        <v>44</v>
      </c>
      <c r="N218">
        <v>6999</v>
      </c>
      <c r="O218">
        <v>6999</v>
      </c>
      <c r="P218">
        <v>1</v>
      </c>
      <c r="Q218">
        <v>6999</v>
      </c>
      <c r="R218">
        <v>0</v>
      </c>
      <c r="S218">
        <v>0</v>
      </c>
      <c r="T218">
        <v>6999</v>
      </c>
      <c r="U218">
        <f t="shared" si="8"/>
        <v>6999</v>
      </c>
      <c r="V218" t="str">
        <v>Green Flower Checks</v>
      </c>
    </row>
    <row r="219" spans="1:22" ht="19" x14ac:dyDescent="0.25">
      <c r="A219" t="s">
        <v>62</v>
      </c>
      <c r="B219" t="s">
        <v>825</v>
      </c>
      <c r="C219" t="s">
        <v>826</v>
      </c>
      <c r="D219" t="s">
        <v>23</v>
      </c>
      <c r="E219" t="s">
        <v>24</v>
      </c>
      <c r="F219" t="s">
        <v>25</v>
      </c>
      <c r="G219" t="s">
        <v>34</v>
      </c>
      <c r="H219" s="14" t="str">
        <f t="shared" si="9"/>
        <v>May</v>
      </c>
      <c r="I219" s="15">
        <v>8905302263260</v>
      </c>
      <c r="J219" t="s">
        <v>827</v>
      </c>
      <c r="K219" t="s">
        <v>828</v>
      </c>
      <c r="L219" t="s">
        <v>829</v>
      </c>
      <c r="M219" t="s">
        <v>61</v>
      </c>
      <c r="N219">
        <v>5999</v>
      </c>
      <c r="O219">
        <v>5999</v>
      </c>
      <c r="P219">
        <v>1</v>
      </c>
      <c r="Q219">
        <v>5999</v>
      </c>
      <c r="R219">
        <v>0</v>
      </c>
      <c r="S219">
        <v>0</v>
      </c>
      <c r="T219">
        <v>5999</v>
      </c>
      <c r="U219">
        <f t="shared" si="8"/>
        <v>5999</v>
      </c>
      <c r="V219" t="str">
        <v>Banana Shirt Blue</v>
      </c>
    </row>
    <row r="220" spans="1:22" ht="19" x14ac:dyDescent="0.25">
      <c r="A220" t="s">
        <v>62</v>
      </c>
      <c r="B220" t="s">
        <v>825</v>
      </c>
      <c r="C220" t="s">
        <v>830</v>
      </c>
      <c r="D220" t="s">
        <v>23</v>
      </c>
      <c r="E220" t="s">
        <v>24</v>
      </c>
      <c r="F220" t="s">
        <v>25</v>
      </c>
      <c r="G220" t="s">
        <v>26</v>
      </c>
      <c r="H220" s="14" t="str">
        <f t="shared" si="9"/>
        <v>May</v>
      </c>
      <c r="I220" s="15">
        <v>8905202269434</v>
      </c>
      <c r="J220" t="s">
        <v>155</v>
      </c>
      <c r="K220" t="s">
        <v>156</v>
      </c>
      <c r="L220" t="s">
        <v>157</v>
      </c>
      <c r="M220" t="s">
        <v>61</v>
      </c>
      <c r="N220">
        <v>3995</v>
      </c>
      <c r="O220">
        <v>3995</v>
      </c>
      <c r="P220">
        <v>1</v>
      </c>
      <c r="Q220">
        <v>3995</v>
      </c>
      <c r="R220">
        <v>1398.25</v>
      </c>
      <c r="S220">
        <v>0</v>
      </c>
      <c r="T220">
        <v>2596.75</v>
      </c>
      <c r="U220">
        <f t="shared" si="8"/>
        <v>3995</v>
      </c>
      <c r="V220" t="str">
        <v>Surfer print  drop shoulder crew neck oversized t-shirt.</v>
      </c>
    </row>
    <row r="221" spans="1:22" ht="19" x14ac:dyDescent="0.25">
      <c r="A221" t="s">
        <v>575</v>
      </c>
      <c r="B221" t="s">
        <v>825</v>
      </c>
      <c r="C221" t="s">
        <v>831</v>
      </c>
      <c r="D221" t="s">
        <v>23</v>
      </c>
      <c r="E221" t="s">
        <v>24</v>
      </c>
      <c r="F221" t="s">
        <v>25</v>
      </c>
      <c r="G221" t="s">
        <v>26</v>
      </c>
      <c r="H221" s="14" t="str">
        <f t="shared" si="9"/>
        <v>May</v>
      </c>
      <c r="I221" s="15">
        <v>8905202264712</v>
      </c>
      <c r="J221" t="s">
        <v>670</v>
      </c>
      <c r="K221" t="s">
        <v>671</v>
      </c>
      <c r="L221" t="s">
        <v>29</v>
      </c>
      <c r="M221" t="s">
        <v>30</v>
      </c>
      <c r="N221">
        <v>3495</v>
      </c>
      <c r="O221">
        <v>3495</v>
      </c>
      <c r="P221">
        <v>1</v>
      </c>
      <c r="Q221">
        <v>3495</v>
      </c>
      <c r="R221">
        <v>1223.25</v>
      </c>
      <c r="S221">
        <v>0</v>
      </c>
      <c r="T221">
        <v>2271.75</v>
      </c>
      <c r="U221">
        <f t="shared" si="8"/>
        <v>3495</v>
      </c>
      <c r="V221" t="str">
        <v>Grumpy Face Embroidered Terry Free Size Tee in Black</v>
      </c>
    </row>
    <row r="222" spans="1:22" ht="19" x14ac:dyDescent="0.25">
      <c r="A222" t="s">
        <v>20</v>
      </c>
      <c r="B222" t="s">
        <v>847</v>
      </c>
      <c r="C222" t="s">
        <v>848</v>
      </c>
      <c r="D222" t="s">
        <v>23</v>
      </c>
      <c r="E222" t="s">
        <v>24</v>
      </c>
      <c r="F222" t="s">
        <v>64</v>
      </c>
      <c r="G222" t="s">
        <v>65</v>
      </c>
      <c r="H222" s="14" t="str">
        <f t="shared" si="9"/>
        <v>May</v>
      </c>
      <c r="I222" s="15">
        <v>8905302263363</v>
      </c>
      <c r="J222" t="s">
        <v>849</v>
      </c>
      <c r="K222" t="s">
        <v>850</v>
      </c>
      <c r="L222" t="s">
        <v>851</v>
      </c>
      <c r="M222" t="s">
        <v>44</v>
      </c>
      <c r="N222">
        <v>7999</v>
      </c>
      <c r="O222">
        <v>7999</v>
      </c>
      <c r="P222">
        <v>1</v>
      </c>
      <c r="Q222">
        <v>7999</v>
      </c>
      <c r="R222">
        <v>2399.6999999999998</v>
      </c>
      <c r="S222">
        <v>0</v>
      </c>
      <c r="T222">
        <v>5599.3</v>
      </c>
      <c r="U222">
        <f t="shared" si="8"/>
        <v>7999</v>
      </c>
      <c r="V222" t="str">
        <v>Black Paint Splash</v>
      </c>
    </row>
    <row r="223" spans="1:22" ht="19" x14ac:dyDescent="0.25">
      <c r="A223" t="s">
        <v>62</v>
      </c>
      <c r="B223" t="s">
        <v>847</v>
      </c>
      <c r="C223" t="s">
        <v>852</v>
      </c>
      <c r="D223" t="s">
        <v>23</v>
      </c>
      <c r="E223" t="s">
        <v>24</v>
      </c>
      <c r="F223" t="s">
        <v>25</v>
      </c>
      <c r="G223" t="s">
        <v>26</v>
      </c>
      <c r="H223" s="14" t="str">
        <f t="shared" si="9"/>
        <v>May</v>
      </c>
      <c r="I223" s="15">
        <v>8905302263382</v>
      </c>
      <c r="J223" t="s">
        <v>853</v>
      </c>
      <c r="K223" t="s">
        <v>854</v>
      </c>
      <c r="L223" t="s">
        <v>184</v>
      </c>
      <c r="M223" t="s">
        <v>61</v>
      </c>
      <c r="N223">
        <v>3999</v>
      </c>
      <c r="O223">
        <v>3999</v>
      </c>
      <c r="P223">
        <v>1</v>
      </c>
      <c r="Q223">
        <v>3999</v>
      </c>
      <c r="R223">
        <v>1199.7</v>
      </c>
      <c r="S223">
        <v>0</v>
      </c>
      <c r="T223">
        <v>2799.3</v>
      </c>
      <c r="U223">
        <f t="shared" si="8"/>
        <v>3999</v>
      </c>
      <c r="V223" t="str">
        <v>Wild Flower</v>
      </c>
    </row>
    <row r="224" spans="1:22" ht="19" x14ac:dyDescent="0.25">
      <c r="A224" t="s">
        <v>62</v>
      </c>
      <c r="B224" t="s">
        <v>847</v>
      </c>
      <c r="C224" t="s">
        <v>855</v>
      </c>
      <c r="D224" t="s">
        <v>23</v>
      </c>
      <c r="E224" t="s">
        <v>24</v>
      </c>
      <c r="F224" t="s">
        <v>25</v>
      </c>
      <c r="G224" t="s">
        <v>26</v>
      </c>
      <c r="H224" s="14" t="str">
        <f t="shared" si="9"/>
        <v>May</v>
      </c>
      <c r="I224" s="15">
        <v>8905202269410</v>
      </c>
      <c r="J224" t="s">
        <v>252</v>
      </c>
      <c r="K224">
        <v>8905202269410</v>
      </c>
      <c r="L224" t="s">
        <v>251</v>
      </c>
      <c r="M224" t="s">
        <v>84</v>
      </c>
      <c r="N224">
        <v>4495</v>
      </c>
      <c r="O224">
        <v>4495</v>
      </c>
      <c r="P224">
        <v>1</v>
      </c>
      <c r="Q224">
        <v>4495</v>
      </c>
      <c r="R224">
        <v>1348.5</v>
      </c>
      <c r="S224">
        <v>0</v>
      </c>
      <c r="T224">
        <v>3146.5</v>
      </c>
      <c r="U224">
        <f t="shared" si="8"/>
        <v>4495</v>
      </c>
      <c r="V224" t="str">
        <v>Extinction Drop Shoulder Terry T-Shirt in Black</v>
      </c>
    </row>
    <row r="225" spans="1:22" ht="19" x14ac:dyDescent="0.25">
      <c r="A225" t="s">
        <v>62</v>
      </c>
      <c r="B225" t="s">
        <v>847</v>
      </c>
      <c r="C225" t="s">
        <v>856</v>
      </c>
      <c r="D225" t="s">
        <v>23</v>
      </c>
      <c r="E225" t="s">
        <v>24</v>
      </c>
      <c r="F225" t="s">
        <v>25</v>
      </c>
      <c r="G225" t="s">
        <v>34</v>
      </c>
      <c r="H225" s="14" t="str">
        <f t="shared" si="9"/>
        <v>May</v>
      </c>
      <c r="I225" s="15">
        <v>8905302263330</v>
      </c>
      <c r="J225" t="s">
        <v>706</v>
      </c>
      <c r="K225" t="s">
        <v>707</v>
      </c>
      <c r="L225" t="s">
        <v>708</v>
      </c>
      <c r="M225" t="s">
        <v>44</v>
      </c>
      <c r="N225">
        <v>4999</v>
      </c>
      <c r="O225">
        <v>4999</v>
      </c>
      <c r="P225">
        <v>1</v>
      </c>
      <c r="Q225">
        <v>4999</v>
      </c>
      <c r="R225">
        <v>1499.7</v>
      </c>
      <c r="S225">
        <v>0</v>
      </c>
      <c r="T225">
        <v>3499.3</v>
      </c>
      <c r="U225">
        <f t="shared" si="8"/>
        <v>4999</v>
      </c>
      <c r="V225" t="str">
        <v>Orange Micro Check</v>
      </c>
    </row>
    <row r="226" spans="1:22" ht="19" x14ac:dyDescent="0.25">
      <c r="A226" t="s">
        <v>20</v>
      </c>
      <c r="B226" t="s">
        <v>857</v>
      </c>
      <c r="C226" t="s">
        <v>858</v>
      </c>
      <c r="D226" t="s">
        <v>23</v>
      </c>
      <c r="E226" t="s">
        <v>24</v>
      </c>
      <c r="F226" t="s">
        <v>25</v>
      </c>
      <c r="G226" t="s">
        <v>26</v>
      </c>
      <c r="H226" s="14" t="str">
        <f t="shared" si="9"/>
        <v>May</v>
      </c>
      <c r="I226" s="15">
        <v>8905202264729</v>
      </c>
      <c r="J226" t="s">
        <v>28</v>
      </c>
      <c r="K226">
        <v>8905202264729</v>
      </c>
      <c r="L226" t="s">
        <v>29</v>
      </c>
      <c r="M226" t="s">
        <v>30</v>
      </c>
      <c r="N226">
        <v>2995</v>
      </c>
      <c r="O226">
        <v>2995</v>
      </c>
      <c r="P226">
        <v>1</v>
      </c>
      <c r="Q226">
        <v>2995</v>
      </c>
      <c r="R226">
        <v>898.5</v>
      </c>
      <c r="S226">
        <v>0</v>
      </c>
      <c r="T226">
        <v>2096.5</v>
      </c>
      <c r="U226">
        <f t="shared" si="8"/>
        <v>2995</v>
      </c>
      <c r="V226" t="str">
        <v xml:space="preserve">X Graphic Terry Free Size Tee in Black </v>
      </c>
    </row>
    <row r="227" spans="1:22" ht="19" x14ac:dyDescent="0.25">
      <c r="A227" t="s">
        <v>62</v>
      </c>
      <c r="B227" t="s">
        <v>857</v>
      </c>
      <c r="C227" t="s">
        <v>871</v>
      </c>
      <c r="D227" t="s">
        <v>23</v>
      </c>
      <c r="E227" t="s">
        <v>24</v>
      </c>
      <c r="F227" t="s">
        <v>25</v>
      </c>
      <c r="G227" t="s">
        <v>26</v>
      </c>
      <c r="H227" s="14" t="str">
        <f t="shared" si="9"/>
        <v>May</v>
      </c>
      <c r="I227" s="15">
        <v>8905202264873</v>
      </c>
      <c r="J227" t="s">
        <v>130</v>
      </c>
      <c r="K227" t="s">
        <v>131</v>
      </c>
      <c r="L227" t="s">
        <v>94</v>
      </c>
      <c r="M227" t="s">
        <v>44</v>
      </c>
      <c r="N227">
        <v>3995</v>
      </c>
      <c r="O227">
        <v>3995</v>
      </c>
      <c r="P227">
        <v>1</v>
      </c>
      <c r="Q227">
        <v>3995</v>
      </c>
      <c r="R227">
        <v>1198.5</v>
      </c>
      <c r="S227">
        <v>0</v>
      </c>
      <c r="T227">
        <v>2796.5</v>
      </c>
      <c r="U227">
        <f t="shared" si="8"/>
        <v>3995</v>
      </c>
      <c r="V227" t="str">
        <v xml:space="preserve"> Psy Bear  Terry Drop Shoulder T-Shirt in Black </v>
      </c>
    </row>
    <row r="228" spans="1:22" ht="19" x14ac:dyDescent="0.25">
      <c r="A228" t="s">
        <v>62</v>
      </c>
      <c r="B228" t="s">
        <v>857</v>
      </c>
      <c r="C228" t="s">
        <v>872</v>
      </c>
      <c r="D228" t="s">
        <v>23</v>
      </c>
      <c r="E228" t="s">
        <v>24</v>
      </c>
      <c r="F228" t="s">
        <v>25</v>
      </c>
      <c r="G228" t="s">
        <v>34</v>
      </c>
      <c r="H228" s="14" t="str">
        <f t="shared" si="9"/>
        <v>May</v>
      </c>
      <c r="I228" s="15">
        <v>8905302263329</v>
      </c>
      <c r="J228" t="s">
        <v>860</v>
      </c>
      <c r="K228" t="s">
        <v>861</v>
      </c>
      <c r="L228" t="s">
        <v>862</v>
      </c>
      <c r="M228" t="s">
        <v>61</v>
      </c>
      <c r="N228">
        <v>4999</v>
      </c>
      <c r="O228">
        <v>4999</v>
      </c>
      <c r="P228">
        <v>1</v>
      </c>
      <c r="Q228">
        <v>4999</v>
      </c>
      <c r="R228">
        <v>1499.7</v>
      </c>
      <c r="S228">
        <v>0</v>
      </c>
      <c r="T228">
        <v>3499.3</v>
      </c>
      <c r="U228">
        <f t="shared" si="8"/>
        <v>4999</v>
      </c>
      <c r="V228" t="str">
        <v>Orange Micro Check</v>
      </c>
    </row>
    <row r="229" spans="1:22" ht="19" x14ac:dyDescent="0.25">
      <c r="A229" t="s">
        <v>62</v>
      </c>
      <c r="B229" t="s">
        <v>857</v>
      </c>
      <c r="C229" t="s">
        <v>859</v>
      </c>
      <c r="D229" t="s">
        <v>23</v>
      </c>
      <c r="E229" t="s">
        <v>24</v>
      </c>
      <c r="F229" t="s">
        <v>25</v>
      </c>
      <c r="G229" t="s">
        <v>34</v>
      </c>
      <c r="H229" s="14" t="str">
        <f t="shared" si="9"/>
        <v>May</v>
      </c>
      <c r="I229" s="15">
        <v>8905302263329</v>
      </c>
      <c r="J229" t="s">
        <v>860</v>
      </c>
      <c r="K229" t="s">
        <v>861</v>
      </c>
      <c r="L229" t="s">
        <v>862</v>
      </c>
      <c r="M229" t="s">
        <v>61</v>
      </c>
      <c r="N229">
        <v>4999</v>
      </c>
      <c r="O229">
        <v>4999</v>
      </c>
      <c r="P229">
        <v>1</v>
      </c>
      <c r="Q229">
        <v>4999</v>
      </c>
      <c r="R229">
        <v>1499.7</v>
      </c>
      <c r="S229">
        <v>0</v>
      </c>
      <c r="T229">
        <v>3499.3</v>
      </c>
      <c r="U229">
        <f t="shared" si="8"/>
        <v>4999</v>
      </c>
      <c r="V229" t="str">
        <v>Orange Micro Check</v>
      </c>
    </row>
    <row r="230" spans="1:22" ht="19" x14ac:dyDescent="0.25">
      <c r="A230" t="s">
        <v>62</v>
      </c>
      <c r="B230" t="s">
        <v>857</v>
      </c>
      <c r="C230" t="s">
        <v>863</v>
      </c>
      <c r="D230" t="s">
        <v>23</v>
      </c>
      <c r="E230" t="s">
        <v>24</v>
      </c>
      <c r="F230" t="s">
        <v>25</v>
      </c>
      <c r="G230" t="s">
        <v>34</v>
      </c>
      <c r="H230" s="14" t="str">
        <f t="shared" si="9"/>
        <v>May</v>
      </c>
      <c r="I230" s="15">
        <v>8905302263256</v>
      </c>
      <c r="J230" t="s">
        <v>750</v>
      </c>
      <c r="K230" t="s">
        <v>751</v>
      </c>
      <c r="L230" t="s">
        <v>110</v>
      </c>
      <c r="M230" t="s">
        <v>61</v>
      </c>
      <c r="N230">
        <v>5999</v>
      </c>
      <c r="O230">
        <v>5999</v>
      </c>
      <c r="P230">
        <v>1</v>
      </c>
      <c r="Q230">
        <v>5999</v>
      </c>
      <c r="R230">
        <v>1799.7</v>
      </c>
      <c r="S230">
        <v>0</v>
      </c>
      <c r="T230">
        <v>4199.3</v>
      </c>
      <c r="U230">
        <f t="shared" si="8"/>
        <v>5999</v>
      </c>
      <c r="V230" t="str">
        <v>CD Drop Shoulder Grey</v>
      </c>
    </row>
    <row r="231" spans="1:22" ht="19" x14ac:dyDescent="0.25">
      <c r="A231" t="s">
        <v>62</v>
      </c>
      <c r="B231" t="s">
        <v>857</v>
      </c>
      <c r="C231" t="s">
        <v>863</v>
      </c>
      <c r="D231" t="s">
        <v>23</v>
      </c>
      <c r="E231" t="s">
        <v>24</v>
      </c>
      <c r="F231" t="s">
        <v>25</v>
      </c>
      <c r="G231" t="s">
        <v>26</v>
      </c>
      <c r="H231" s="14" t="str">
        <f t="shared" si="9"/>
        <v>May</v>
      </c>
      <c r="I231" s="15">
        <v>8905302263376</v>
      </c>
      <c r="J231" t="s">
        <v>864</v>
      </c>
      <c r="K231" t="s">
        <v>865</v>
      </c>
      <c r="L231" t="s">
        <v>866</v>
      </c>
      <c r="M231" t="s">
        <v>61</v>
      </c>
      <c r="N231">
        <v>3999</v>
      </c>
      <c r="O231">
        <v>3999</v>
      </c>
      <c r="P231">
        <v>1</v>
      </c>
      <c r="Q231">
        <v>3999</v>
      </c>
      <c r="R231">
        <v>1199.7</v>
      </c>
      <c r="S231">
        <v>0</v>
      </c>
      <c r="T231">
        <v>2799.3</v>
      </c>
      <c r="U231">
        <f t="shared" si="8"/>
        <v>3999</v>
      </c>
      <c r="V231" t="str">
        <v>Monaco</v>
      </c>
    </row>
    <row r="232" spans="1:22" ht="19" x14ac:dyDescent="0.25">
      <c r="A232" t="s">
        <v>62</v>
      </c>
      <c r="B232" t="s">
        <v>857</v>
      </c>
      <c r="C232" t="s">
        <v>867</v>
      </c>
      <c r="D232" t="s">
        <v>23</v>
      </c>
      <c r="E232" t="s">
        <v>24</v>
      </c>
      <c r="F232" t="s">
        <v>64</v>
      </c>
      <c r="G232" t="s">
        <v>65</v>
      </c>
      <c r="H232" s="14" t="str">
        <f t="shared" si="9"/>
        <v>May</v>
      </c>
      <c r="I232" s="15">
        <v>8905302263358</v>
      </c>
      <c r="J232" t="s">
        <v>868</v>
      </c>
      <c r="K232" t="s">
        <v>869</v>
      </c>
      <c r="L232" t="s">
        <v>601</v>
      </c>
      <c r="M232" t="s">
        <v>61</v>
      </c>
      <c r="N232">
        <v>7999</v>
      </c>
      <c r="O232">
        <v>7999</v>
      </c>
      <c r="P232">
        <v>1</v>
      </c>
      <c r="Q232">
        <v>7999</v>
      </c>
      <c r="R232">
        <v>2399.6999999999998</v>
      </c>
      <c r="S232">
        <v>0</v>
      </c>
      <c r="T232">
        <v>5599.3</v>
      </c>
      <c r="U232">
        <f t="shared" si="8"/>
        <v>7999</v>
      </c>
      <c r="V232" t="str">
        <v>Blue Paint Splash</v>
      </c>
    </row>
    <row r="233" spans="1:22" ht="19" x14ac:dyDescent="0.25">
      <c r="A233" t="s">
        <v>575</v>
      </c>
      <c r="B233" t="s">
        <v>857</v>
      </c>
      <c r="C233" t="s">
        <v>870</v>
      </c>
      <c r="D233" t="s">
        <v>23</v>
      </c>
      <c r="E233" t="s">
        <v>24</v>
      </c>
      <c r="F233" t="s">
        <v>25</v>
      </c>
      <c r="G233" t="s">
        <v>26</v>
      </c>
      <c r="H233" s="14" t="str">
        <f t="shared" si="9"/>
        <v>May</v>
      </c>
      <c r="I233" s="15">
        <v>8905202264712</v>
      </c>
      <c r="J233" t="s">
        <v>670</v>
      </c>
      <c r="K233" t="s">
        <v>671</v>
      </c>
      <c r="L233" t="s">
        <v>29</v>
      </c>
      <c r="M233" t="s">
        <v>30</v>
      </c>
      <c r="N233">
        <v>3495</v>
      </c>
      <c r="O233">
        <v>3495</v>
      </c>
      <c r="P233">
        <v>1</v>
      </c>
      <c r="Q233">
        <v>3495</v>
      </c>
      <c r="R233">
        <v>1048.5</v>
      </c>
      <c r="S233">
        <v>0</v>
      </c>
      <c r="T233">
        <v>2446.5</v>
      </c>
      <c r="U233">
        <f t="shared" si="8"/>
        <v>3495</v>
      </c>
      <c r="V233" t="str">
        <v>Grumpy Face Embroidered Terry Free Size Tee in Black</v>
      </c>
    </row>
    <row r="234" spans="1:22" ht="19" x14ac:dyDescent="0.25">
      <c r="A234" t="s">
        <v>575</v>
      </c>
      <c r="B234" t="s">
        <v>857</v>
      </c>
      <c r="C234" t="s">
        <v>870</v>
      </c>
      <c r="D234" t="s">
        <v>23</v>
      </c>
      <c r="E234" t="s">
        <v>24</v>
      </c>
      <c r="F234" t="s">
        <v>25</v>
      </c>
      <c r="G234" t="s">
        <v>26</v>
      </c>
      <c r="H234" s="14" t="str">
        <f t="shared" si="9"/>
        <v>May</v>
      </c>
      <c r="I234" s="15">
        <v>8905202264729</v>
      </c>
      <c r="J234" t="s">
        <v>28</v>
      </c>
      <c r="K234">
        <v>8905202264729</v>
      </c>
      <c r="L234" t="s">
        <v>29</v>
      </c>
      <c r="M234" t="s">
        <v>30</v>
      </c>
      <c r="N234">
        <v>2995</v>
      </c>
      <c r="O234">
        <v>2995</v>
      </c>
      <c r="P234">
        <v>1</v>
      </c>
      <c r="Q234">
        <v>2995</v>
      </c>
      <c r="R234">
        <v>898.5</v>
      </c>
      <c r="S234">
        <v>0</v>
      </c>
      <c r="T234">
        <v>2096.5</v>
      </c>
      <c r="U234">
        <f t="shared" si="8"/>
        <v>2995</v>
      </c>
      <c r="V234" t="str">
        <v xml:space="preserve">X Graphic Terry Free Size Tee in Black </v>
      </c>
    </row>
    <row r="235" spans="1:22" ht="19" x14ac:dyDescent="0.25">
      <c r="A235" t="s">
        <v>575</v>
      </c>
      <c r="B235" t="s">
        <v>857</v>
      </c>
      <c r="C235" t="s">
        <v>135</v>
      </c>
      <c r="D235" t="s">
        <v>23</v>
      </c>
      <c r="E235" t="s">
        <v>24</v>
      </c>
      <c r="F235" t="s">
        <v>25</v>
      </c>
      <c r="G235" t="s">
        <v>26</v>
      </c>
      <c r="H235" s="14" t="str">
        <f t="shared" si="9"/>
        <v>May</v>
      </c>
      <c r="I235" s="15">
        <v>8905202264927</v>
      </c>
      <c r="J235" t="s">
        <v>232</v>
      </c>
      <c r="K235" t="s">
        <v>233</v>
      </c>
      <c r="L235" t="s">
        <v>123</v>
      </c>
      <c r="M235" t="s">
        <v>44</v>
      </c>
      <c r="N235">
        <v>2995</v>
      </c>
      <c r="O235">
        <v>2995</v>
      </c>
      <c r="P235">
        <v>1</v>
      </c>
      <c r="Q235">
        <v>2995</v>
      </c>
      <c r="R235">
        <v>898.5</v>
      </c>
      <c r="S235">
        <v>0</v>
      </c>
      <c r="T235">
        <v>2096.5</v>
      </c>
      <c r="U235">
        <f t="shared" si="8"/>
        <v>2995</v>
      </c>
      <c r="V235" t="str">
        <v xml:space="preserve">Stamp Tshirt in Blue </v>
      </c>
    </row>
    <row r="236" spans="1:22" ht="19" x14ac:dyDescent="0.25">
      <c r="A236" t="s">
        <v>575</v>
      </c>
      <c r="B236" t="s">
        <v>857</v>
      </c>
      <c r="C236" t="s">
        <v>135</v>
      </c>
      <c r="D236" t="s">
        <v>23</v>
      </c>
      <c r="E236" t="s">
        <v>24</v>
      </c>
      <c r="F236" t="s">
        <v>25</v>
      </c>
      <c r="G236" t="s">
        <v>26</v>
      </c>
      <c r="H236" s="14" t="str">
        <f t="shared" si="9"/>
        <v>May</v>
      </c>
      <c r="I236" s="15">
        <v>8905202269434</v>
      </c>
      <c r="J236" t="s">
        <v>155</v>
      </c>
      <c r="K236" t="s">
        <v>156</v>
      </c>
      <c r="L236" t="s">
        <v>157</v>
      </c>
      <c r="M236" t="s">
        <v>61</v>
      </c>
      <c r="N236">
        <v>3995</v>
      </c>
      <c r="O236">
        <v>3995</v>
      </c>
      <c r="P236">
        <v>1</v>
      </c>
      <c r="Q236">
        <v>3995</v>
      </c>
      <c r="R236">
        <v>1198.5</v>
      </c>
      <c r="S236">
        <v>0</v>
      </c>
      <c r="T236">
        <v>2796.5</v>
      </c>
      <c r="U236">
        <f t="shared" si="8"/>
        <v>3995</v>
      </c>
      <c r="V236" t="str">
        <v>Surfer print  drop shoulder crew neck oversized t-shirt.</v>
      </c>
    </row>
    <row r="237" spans="1:22" ht="19" x14ac:dyDescent="0.25">
      <c r="A237" t="s">
        <v>20</v>
      </c>
      <c r="B237" t="s">
        <v>873</v>
      </c>
      <c r="C237" t="s">
        <v>874</v>
      </c>
      <c r="D237" t="s">
        <v>23</v>
      </c>
      <c r="E237" t="s">
        <v>24</v>
      </c>
      <c r="F237" t="s">
        <v>64</v>
      </c>
      <c r="G237" t="s">
        <v>65</v>
      </c>
      <c r="H237" s="14" t="str">
        <f t="shared" si="9"/>
        <v>May</v>
      </c>
      <c r="I237" s="15">
        <v>8905302263361</v>
      </c>
      <c r="J237" t="s">
        <v>875</v>
      </c>
      <c r="K237" t="s">
        <v>876</v>
      </c>
      <c r="L237" t="s">
        <v>877</v>
      </c>
      <c r="M237" t="s">
        <v>54</v>
      </c>
      <c r="N237">
        <v>7999</v>
      </c>
      <c r="O237">
        <v>7999</v>
      </c>
      <c r="P237">
        <v>1</v>
      </c>
      <c r="Q237">
        <v>7999</v>
      </c>
      <c r="R237">
        <v>2399.6999999999998</v>
      </c>
      <c r="S237">
        <v>0</v>
      </c>
      <c r="T237">
        <v>5599.3</v>
      </c>
      <c r="U237">
        <f t="shared" si="8"/>
        <v>7999</v>
      </c>
      <c r="V237" t="str">
        <v>Black Paint Splash</v>
      </c>
    </row>
    <row r="238" spans="1:22" ht="19" x14ac:dyDescent="0.25">
      <c r="A238" t="s">
        <v>20</v>
      </c>
      <c r="B238" t="s">
        <v>873</v>
      </c>
      <c r="C238" t="s">
        <v>878</v>
      </c>
      <c r="D238" t="s">
        <v>23</v>
      </c>
      <c r="E238" t="s">
        <v>24</v>
      </c>
      <c r="F238" t="s">
        <v>25</v>
      </c>
      <c r="G238" t="s">
        <v>34</v>
      </c>
      <c r="H238" s="14" t="str">
        <f t="shared" si="9"/>
        <v>May</v>
      </c>
      <c r="I238" s="15">
        <v>8905302263332</v>
      </c>
      <c r="J238" t="s">
        <v>879</v>
      </c>
      <c r="K238" t="s">
        <v>880</v>
      </c>
      <c r="L238" t="s">
        <v>881</v>
      </c>
      <c r="M238" t="s">
        <v>44</v>
      </c>
      <c r="N238">
        <v>4999</v>
      </c>
      <c r="O238">
        <v>4999</v>
      </c>
      <c r="P238">
        <v>1</v>
      </c>
      <c r="Q238">
        <v>4999</v>
      </c>
      <c r="R238">
        <v>1499.7</v>
      </c>
      <c r="S238">
        <v>0</v>
      </c>
      <c r="T238">
        <v>3499.3</v>
      </c>
      <c r="U238">
        <f t="shared" si="8"/>
        <v>4999</v>
      </c>
      <c r="V238" t="str">
        <v>Mom's Warning Navy</v>
      </c>
    </row>
    <row r="239" spans="1:22" ht="19" x14ac:dyDescent="0.25">
      <c r="A239" t="s">
        <v>62</v>
      </c>
      <c r="B239" t="s">
        <v>873</v>
      </c>
      <c r="C239" t="s">
        <v>882</v>
      </c>
      <c r="D239" t="s">
        <v>23</v>
      </c>
      <c r="E239" t="s">
        <v>24</v>
      </c>
      <c r="F239" t="s">
        <v>25</v>
      </c>
      <c r="G239" t="s">
        <v>26</v>
      </c>
      <c r="H239" s="14" t="str">
        <f t="shared" si="9"/>
        <v>May</v>
      </c>
      <c r="I239" s="15">
        <v>8905302263381</v>
      </c>
      <c r="J239" t="s">
        <v>883</v>
      </c>
      <c r="K239" t="s">
        <v>884</v>
      </c>
      <c r="L239" t="s">
        <v>149</v>
      </c>
      <c r="M239" t="s">
        <v>38</v>
      </c>
      <c r="N239">
        <v>3999</v>
      </c>
      <c r="O239">
        <v>3999</v>
      </c>
      <c r="P239">
        <v>1</v>
      </c>
      <c r="Q239">
        <v>3999</v>
      </c>
      <c r="R239">
        <v>1199.7</v>
      </c>
      <c r="S239">
        <v>0</v>
      </c>
      <c r="T239">
        <v>2799.3</v>
      </c>
      <c r="U239">
        <f t="shared" si="8"/>
        <v>3999</v>
      </c>
      <c r="V239" t="str">
        <v>Butterfly</v>
      </c>
    </row>
    <row r="240" spans="1:22" ht="19" x14ac:dyDescent="0.25">
      <c r="A240" t="s">
        <v>62</v>
      </c>
      <c r="B240" t="s">
        <v>885</v>
      </c>
      <c r="C240" t="s">
        <v>886</v>
      </c>
      <c r="D240" t="s">
        <v>23</v>
      </c>
      <c r="E240" t="s">
        <v>24</v>
      </c>
      <c r="F240" t="s">
        <v>25</v>
      </c>
      <c r="G240" t="s">
        <v>34</v>
      </c>
      <c r="H240" s="14" t="str">
        <f t="shared" si="9"/>
        <v>May</v>
      </c>
      <c r="I240" s="15">
        <v>8905302263253</v>
      </c>
      <c r="J240" t="s">
        <v>591</v>
      </c>
      <c r="K240" t="s">
        <v>592</v>
      </c>
      <c r="L240" t="s">
        <v>593</v>
      </c>
      <c r="M240" t="s">
        <v>54</v>
      </c>
      <c r="N240">
        <v>4999</v>
      </c>
      <c r="O240">
        <v>4999</v>
      </c>
      <c r="P240">
        <v>1</v>
      </c>
      <c r="Q240">
        <v>4999</v>
      </c>
      <c r="R240">
        <v>1499.7</v>
      </c>
      <c r="S240">
        <v>0</v>
      </c>
      <c r="T240">
        <v>3499.3</v>
      </c>
      <c r="U240">
        <f t="shared" si="8"/>
        <v>4999</v>
      </c>
      <c r="V240" t="str">
        <v>School Micro checks  Green</v>
      </c>
    </row>
    <row r="241" spans="1:22" ht="19" x14ac:dyDescent="0.25">
      <c r="A241" t="s">
        <v>62</v>
      </c>
      <c r="B241" t="s">
        <v>885</v>
      </c>
      <c r="C241" t="s">
        <v>887</v>
      </c>
      <c r="D241" t="s">
        <v>23</v>
      </c>
      <c r="E241" t="s">
        <v>24</v>
      </c>
      <c r="F241" t="s">
        <v>25</v>
      </c>
      <c r="G241" t="s">
        <v>26</v>
      </c>
      <c r="H241" s="14" t="str">
        <f t="shared" si="9"/>
        <v>May</v>
      </c>
      <c r="I241" s="15">
        <v>8905202264972</v>
      </c>
      <c r="J241" t="s">
        <v>174</v>
      </c>
      <c r="K241">
        <v>8905202264972</v>
      </c>
      <c r="L241" t="s">
        <v>144</v>
      </c>
      <c r="M241" t="s">
        <v>44</v>
      </c>
      <c r="N241">
        <v>2495</v>
      </c>
      <c r="O241">
        <v>2495</v>
      </c>
      <c r="P241">
        <v>1</v>
      </c>
      <c r="Q241">
        <v>2495</v>
      </c>
      <c r="R241">
        <v>748.5</v>
      </c>
      <c r="S241">
        <v>0</v>
      </c>
      <c r="T241">
        <v>1746.5</v>
      </c>
      <c r="U241">
        <f t="shared" si="8"/>
        <v>2495</v>
      </c>
      <c r="V241" t="str">
        <v>Be Crazy not Clown Tshirt</v>
      </c>
    </row>
    <row r="242" spans="1:22" ht="19" x14ac:dyDescent="0.25">
      <c r="A242" t="s">
        <v>62</v>
      </c>
      <c r="B242" t="s">
        <v>885</v>
      </c>
      <c r="C242" t="s">
        <v>887</v>
      </c>
      <c r="D242" t="s">
        <v>23</v>
      </c>
      <c r="E242" t="s">
        <v>24</v>
      </c>
      <c r="F242" t="s">
        <v>25</v>
      </c>
      <c r="G242" t="s">
        <v>26</v>
      </c>
      <c r="H242" s="14" t="str">
        <f t="shared" si="9"/>
        <v>May</v>
      </c>
      <c r="I242" s="15">
        <v>8905302263396</v>
      </c>
      <c r="J242" t="s">
        <v>888</v>
      </c>
      <c r="K242" t="s">
        <v>889</v>
      </c>
      <c r="L242" t="s">
        <v>890</v>
      </c>
      <c r="M242" t="s">
        <v>44</v>
      </c>
      <c r="N242">
        <v>4495</v>
      </c>
      <c r="O242">
        <v>4495</v>
      </c>
      <c r="P242">
        <v>1</v>
      </c>
      <c r="Q242">
        <v>4495</v>
      </c>
      <c r="R242">
        <v>1348.5</v>
      </c>
      <c r="S242">
        <v>0</v>
      </c>
      <c r="T242">
        <v>3146.5</v>
      </c>
      <c r="U242">
        <f t="shared" si="8"/>
        <v>4495</v>
      </c>
      <c r="V242" t="str">
        <v>Dual Snakes</v>
      </c>
    </row>
    <row r="243" spans="1:22" ht="19" x14ac:dyDescent="0.25">
      <c r="A243" t="s">
        <v>575</v>
      </c>
      <c r="B243" t="s">
        <v>885</v>
      </c>
      <c r="C243" t="s">
        <v>135</v>
      </c>
      <c r="D243" t="s">
        <v>23</v>
      </c>
      <c r="E243" t="s">
        <v>24</v>
      </c>
      <c r="F243" t="s">
        <v>25</v>
      </c>
      <c r="G243" t="s">
        <v>26</v>
      </c>
      <c r="H243" s="14" t="str">
        <f t="shared" si="9"/>
        <v>May</v>
      </c>
      <c r="I243" s="15">
        <v>8905202264828</v>
      </c>
      <c r="J243" t="s">
        <v>891</v>
      </c>
      <c r="K243">
        <v>8905202264828</v>
      </c>
      <c r="L243" t="s">
        <v>892</v>
      </c>
      <c r="M243" t="s">
        <v>44</v>
      </c>
      <c r="N243">
        <v>4495</v>
      </c>
      <c r="O243">
        <v>4495</v>
      </c>
      <c r="P243">
        <v>1</v>
      </c>
      <c r="Q243">
        <v>4495</v>
      </c>
      <c r="R243">
        <v>1348.5</v>
      </c>
      <c r="S243">
        <v>0</v>
      </c>
      <c r="T243">
        <v>3146.5</v>
      </c>
      <c r="U243">
        <f t="shared" si="8"/>
        <v>4495</v>
      </c>
      <c r="V243" t="str">
        <v xml:space="preserve"> Kitty Gang Oversized T shirt</v>
      </c>
    </row>
    <row r="244" spans="1:22" ht="19" x14ac:dyDescent="0.25">
      <c r="A244" t="s">
        <v>575</v>
      </c>
      <c r="B244" t="s">
        <v>885</v>
      </c>
      <c r="C244" t="s">
        <v>135</v>
      </c>
      <c r="D244" t="s">
        <v>23</v>
      </c>
      <c r="E244" t="s">
        <v>24</v>
      </c>
      <c r="F244" t="s">
        <v>25</v>
      </c>
      <c r="G244" t="s">
        <v>26</v>
      </c>
      <c r="H244" s="14" t="str">
        <f t="shared" si="9"/>
        <v>May</v>
      </c>
      <c r="I244" s="15">
        <v>8905202264866</v>
      </c>
      <c r="J244" t="s">
        <v>147</v>
      </c>
      <c r="K244" t="s">
        <v>148</v>
      </c>
      <c r="L244" t="s">
        <v>149</v>
      </c>
      <c r="M244" t="s">
        <v>38</v>
      </c>
      <c r="N244">
        <v>3995</v>
      </c>
      <c r="O244">
        <v>3995</v>
      </c>
      <c r="P244">
        <v>1</v>
      </c>
      <c r="Q244">
        <v>3995</v>
      </c>
      <c r="R244">
        <v>1198.5</v>
      </c>
      <c r="S244">
        <v>0</v>
      </c>
      <c r="T244">
        <v>2796.5</v>
      </c>
      <c r="U244">
        <f t="shared" si="8"/>
        <v>3995</v>
      </c>
      <c r="V244" t="str">
        <v xml:space="preserve"> Psy Bear  Terry Drop Shoulder T-Shirt in Black </v>
      </c>
    </row>
    <row r="245" spans="1:22" ht="19" x14ac:dyDescent="0.25">
      <c r="A245" t="s">
        <v>20</v>
      </c>
      <c r="B245" t="s">
        <v>893</v>
      </c>
      <c r="C245" t="s">
        <v>894</v>
      </c>
      <c r="D245" t="s">
        <v>23</v>
      </c>
      <c r="E245" t="s">
        <v>24</v>
      </c>
      <c r="F245" t="s">
        <v>25</v>
      </c>
      <c r="G245" t="s">
        <v>26</v>
      </c>
      <c r="H245" s="14" t="str">
        <f t="shared" si="9"/>
        <v>May</v>
      </c>
      <c r="I245" s="15">
        <v>8905202265047</v>
      </c>
      <c r="J245" t="s">
        <v>213</v>
      </c>
      <c r="K245" t="s">
        <v>214</v>
      </c>
      <c r="L245" t="s">
        <v>184</v>
      </c>
      <c r="M245" t="s">
        <v>61</v>
      </c>
      <c r="N245">
        <v>2995</v>
      </c>
      <c r="O245">
        <v>2995</v>
      </c>
      <c r="P245">
        <v>1</v>
      </c>
      <c r="Q245">
        <v>2995</v>
      </c>
      <c r="R245">
        <v>898.5</v>
      </c>
      <c r="S245">
        <v>0</v>
      </c>
      <c r="T245">
        <v>2096.5</v>
      </c>
      <c r="U245">
        <f t="shared" si="8"/>
        <v>2995</v>
      </c>
      <c r="V245" t="str">
        <v xml:space="preserve">Stamp Tshirt in Blue </v>
      </c>
    </row>
    <row r="246" spans="1:22" ht="19" x14ac:dyDescent="0.25">
      <c r="A246" t="s">
        <v>20</v>
      </c>
      <c r="B246" t="s">
        <v>893</v>
      </c>
      <c r="C246" t="s">
        <v>895</v>
      </c>
      <c r="D246" t="s">
        <v>23</v>
      </c>
      <c r="E246" t="s">
        <v>24</v>
      </c>
      <c r="F246" t="s">
        <v>25</v>
      </c>
      <c r="G246" t="s">
        <v>34</v>
      </c>
      <c r="H246" s="14" t="str">
        <f t="shared" si="9"/>
        <v>May</v>
      </c>
      <c r="I246" s="15">
        <v>8905302263305</v>
      </c>
      <c r="J246" t="s">
        <v>896</v>
      </c>
      <c r="K246" t="s">
        <v>897</v>
      </c>
      <c r="L246" t="s">
        <v>802</v>
      </c>
      <c r="M246" t="s">
        <v>44</v>
      </c>
      <c r="N246">
        <v>4999</v>
      </c>
      <c r="O246">
        <v>4999</v>
      </c>
      <c r="P246">
        <v>1</v>
      </c>
      <c r="Q246">
        <v>4999</v>
      </c>
      <c r="R246">
        <v>1499.7</v>
      </c>
      <c r="S246">
        <v>0</v>
      </c>
      <c r="T246">
        <v>3499.3</v>
      </c>
      <c r="U246">
        <f t="shared" si="8"/>
        <v>4999</v>
      </c>
      <c r="V246" t="str">
        <v>Blue Heart</v>
      </c>
    </row>
    <row r="247" spans="1:22" ht="19" x14ac:dyDescent="0.25">
      <c r="A247" t="s">
        <v>575</v>
      </c>
      <c r="B247" t="s">
        <v>893</v>
      </c>
      <c r="C247" t="s">
        <v>898</v>
      </c>
      <c r="D247" t="s">
        <v>23</v>
      </c>
      <c r="E247" t="s">
        <v>24</v>
      </c>
      <c r="F247" t="s">
        <v>25</v>
      </c>
      <c r="G247" t="s">
        <v>26</v>
      </c>
      <c r="H247" s="14" t="str">
        <f t="shared" si="9"/>
        <v>May</v>
      </c>
      <c r="I247" s="15">
        <v>8905202264897</v>
      </c>
      <c r="J247" t="s">
        <v>203</v>
      </c>
      <c r="K247">
        <v>8905202264897</v>
      </c>
      <c r="L247" t="s">
        <v>191</v>
      </c>
      <c r="M247" t="s">
        <v>61</v>
      </c>
      <c r="N247">
        <v>2995</v>
      </c>
      <c r="O247">
        <v>2995</v>
      </c>
      <c r="P247">
        <v>1</v>
      </c>
      <c r="Q247">
        <v>2995</v>
      </c>
      <c r="R247">
        <v>898.5</v>
      </c>
      <c r="S247">
        <v>0</v>
      </c>
      <c r="T247">
        <v>2096.5</v>
      </c>
      <c r="U247">
        <f t="shared" si="8"/>
        <v>2995</v>
      </c>
      <c r="V247" t="str">
        <v xml:space="preserve"> Ballet Queen Drop Shoulder T-Shirt in White</v>
      </c>
    </row>
    <row r="248" spans="1:22" ht="19" x14ac:dyDescent="0.25">
      <c r="A248" t="s">
        <v>20</v>
      </c>
      <c r="B248" t="s">
        <v>899</v>
      </c>
      <c r="C248" t="s">
        <v>135</v>
      </c>
      <c r="D248" t="s">
        <v>23</v>
      </c>
      <c r="E248" t="s">
        <v>24</v>
      </c>
      <c r="F248" t="s">
        <v>64</v>
      </c>
      <c r="G248" t="s">
        <v>65</v>
      </c>
      <c r="H248" s="14" t="str">
        <f t="shared" si="9"/>
        <v>May</v>
      </c>
      <c r="I248" s="15">
        <v>8905302263364</v>
      </c>
      <c r="J248" t="s">
        <v>900</v>
      </c>
      <c r="K248" t="s">
        <v>901</v>
      </c>
      <c r="L248" t="s">
        <v>694</v>
      </c>
      <c r="M248" t="s">
        <v>38</v>
      </c>
      <c r="N248">
        <v>7999</v>
      </c>
      <c r="O248">
        <v>7999</v>
      </c>
      <c r="P248">
        <v>1</v>
      </c>
      <c r="Q248">
        <v>7999</v>
      </c>
      <c r="R248">
        <v>2399.6999999999998</v>
      </c>
      <c r="S248">
        <v>0</v>
      </c>
      <c r="T248">
        <v>5599.3</v>
      </c>
      <c r="U248">
        <f t="shared" si="8"/>
        <v>7999</v>
      </c>
      <c r="V248" t="str">
        <v>Black Paint Splash</v>
      </c>
    </row>
    <row r="249" spans="1:22" ht="19" x14ac:dyDescent="0.25">
      <c r="A249" t="s">
        <v>20</v>
      </c>
      <c r="B249" t="s">
        <v>899</v>
      </c>
      <c r="C249" t="s">
        <v>135</v>
      </c>
      <c r="D249" t="s">
        <v>23</v>
      </c>
      <c r="E249" t="s">
        <v>136</v>
      </c>
      <c r="F249" t="s">
        <v>25</v>
      </c>
      <c r="G249" t="s">
        <v>160</v>
      </c>
      <c r="H249" s="14" t="str">
        <f t="shared" si="9"/>
        <v>May</v>
      </c>
      <c r="I249" s="15">
        <v>8905302263178</v>
      </c>
      <c r="J249" t="s">
        <v>902</v>
      </c>
      <c r="K249" t="s">
        <v>903</v>
      </c>
      <c r="L249" t="s">
        <v>904</v>
      </c>
      <c r="M249" t="s">
        <v>44</v>
      </c>
      <c r="N249">
        <v>2995</v>
      </c>
      <c r="O249">
        <v>2995</v>
      </c>
      <c r="P249">
        <v>1</v>
      </c>
      <c r="Q249">
        <v>2995</v>
      </c>
      <c r="R249">
        <v>898.5</v>
      </c>
      <c r="S249">
        <v>0</v>
      </c>
      <c r="T249">
        <v>2096.5</v>
      </c>
      <c r="U249">
        <f t="shared" si="8"/>
        <v>2995</v>
      </c>
      <c r="V249" t="str">
        <v>Unrestricted Crop Sweat</v>
      </c>
    </row>
    <row r="250" spans="1:22" ht="19" x14ac:dyDescent="0.25">
      <c r="A250" t="s">
        <v>575</v>
      </c>
      <c r="B250" t="s">
        <v>899</v>
      </c>
      <c r="C250" t="s">
        <v>905</v>
      </c>
      <c r="D250" t="s">
        <v>23</v>
      </c>
      <c r="E250" t="s">
        <v>24</v>
      </c>
      <c r="F250" t="s">
        <v>25</v>
      </c>
      <c r="G250" t="s">
        <v>26</v>
      </c>
      <c r="H250" s="14" t="str">
        <f t="shared" si="9"/>
        <v>May</v>
      </c>
      <c r="I250" s="15">
        <v>8905202264880</v>
      </c>
      <c r="J250" t="s">
        <v>417</v>
      </c>
      <c r="K250">
        <v>8905202264880</v>
      </c>
      <c r="L250" t="s">
        <v>416</v>
      </c>
      <c r="M250" t="s">
        <v>54</v>
      </c>
      <c r="N250">
        <v>2995</v>
      </c>
      <c r="O250">
        <v>2995</v>
      </c>
      <c r="P250">
        <v>1</v>
      </c>
      <c r="Q250">
        <v>2995</v>
      </c>
      <c r="R250">
        <v>898.5</v>
      </c>
      <c r="S250">
        <v>0</v>
      </c>
      <c r="T250">
        <v>2096.5</v>
      </c>
      <c r="U250">
        <f t="shared" si="8"/>
        <v>2995</v>
      </c>
      <c r="V250" t="str">
        <v xml:space="preserve"> Ballet Queen Drop Shoulder T-Shirt in White</v>
      </c>
    </row>
    <row r="251" spans="1:22" ht="19" x14ac:dyDescent="0.25">
      <c r="A251" t="s">
        <v>575</v>
      </c>
      <c r="B251" t="s">
        <v>899</v>
      </c>
      <c r="C251" t="s">
        <v>906</v>
      </c>
      <c r="D251" t="s">
        <v>23</v>
      </c>
      <c r="E251" t="s">
        <v>24</v>
      </c>
      <c r="F251" t="s">
        <v>25</v>
      </c>
      <c r="G251" t="s">
        <v>26</v>
      </c>
      <c r="H251" s="14" t="str">
        <f t="shared" si="9"/>
        <v>May</v>
      </c>
      <c r="I251" s="15">
        <v>8905202265030</v>
      </c>
      <c r="J251" t="s">
        <v>688</v>
      </c>
      <c r="K251" t="s">
        <v>689</v>
      </c>
      <c r="L251" t="s">
        <v>690</v>
      </c>
      <c r="M251" t="s">
        <v>54</v>
      </c>
      <c r="N251">
        <v>2995</v>
      </c>
      <c r="O251">
        <v>2995</v>
      </c>
      <c r="P251">
        <v>1</v>
      </c>
      <c r="Q251">
        <v>2995</v>
      </c>
      <c r="R251">
        <v>898.5</v>
      </c>
      <c r="S251">
        <v>0</v>
      </c>
      <c r="T251">
        <v>2096.5</v>
      </c>
      <c r="U251">
        <f t="shared" si="8"/>
        <v>2995</v>
      </c>
      <c r="V251" t="str">
        <v xml:space="preserve">Stamp Tshirt in Blue </v>
      </c>
    </row>
    <row r="252" spans="1:22" ht="19" x14ac:dyDescent="0.25">
      <c r="A252" t="s">
        <v>575</v>
      </c>
      <c r="B252" t="s">
        <v>899</v>
      </c>
      <c r="C252" t="s">
        <v>906</v>
      </c>
      <c r="D252" t="s">
        <v>23</v>
      </c>
      <c r="E252" t="s">
        <v>24</v>
      </c>
      <c r="F252" t="s">
        <v>25</v>
      </c>
      <c r="G252" t="s">
        <v>26</v>
      </c>
      <c r="H252" s="14" t="str">
        <f t="shared" si="9"/>
        <v>May</v>
      </c>
      <c r="I252" s="15">
        <v>8905202269083</v>
      </c>
      <c r="J252" t="s">
        <v>189</v>
      </c>
      <c r="K252" t="s">
        <v>190</v>
      </c>
      <c r="L252" t="s">
        <v>191</v>
      </c>
      <c r="M252" t="s">
        <v>61</v>
      </c>
      <c r="N252">
        <v>3495</v>
      </c>
      <c r="O252">
        <v>3495</v>
      </c>
      <c r="P252">
        <v>1</v>
      </c>
      <c r="Q252">
        <v>3495</v>
      </c>
      <c r="R252">
        <v>1048.5</v>
      </c>
      <c r="S252">
        <v>0</v>
      </c>
      <c r="T252">
        <v>2446.5</v>
      </c>
      <c r="U252">
        <f t="shared" si="8"/>
        <v>3495</v>
      </c>
      <c r="V252" t="str">
        <v>MENS  Oversized  T-Shirt London</v>
      </c>
    </row>
    <row r="253" spans="1:22" ht="19" x14ac:dyDescent="0.25">
      <c r="A253" t="s">
        <v>62</v>
      </c>
      <c r="B253" t="s">
        <v>907</v>
      </c>
      <c r="C253" t="s">
        <v>908</v>
      </c>
      <c r="D253" t="s">
        <v>23</v>
      </c>
      <c r="E253" t="s">
        <v>24</v>
      </c>
      <c r="F253" t="s">
        <v>25</v>
      </c>
      <c r="G253" t="s">
        <v>34</v>
      </c>
      <c r="H253" s="14" t="str">
        <f t="shared" si="9"/>
        <v>May</v>
      </c>
      <c r="I253" s="15">
        <v>8905302263257</v>
      </c>
      <c r="J253" t="s">
        <v>759</v>
      </c>
      <c r="K253" t="s">
        <v>760</v>
      </c>
      <c r="L253" t="s">
        <v>118</v>
      </c>
      <c r="M253" t="s">
        <v>44</v>
      </c>
      <c r="N253">
        <v>5999</v>
      </c>
      <c r="O253">
        <v>5999</v>
      </c>
      <c r="P253">
        <v>1</v>
      </c>
      <c r="Q253">
        <v>5999</v>
      </c>
      <c r="R253">
        <v>1799.7</v>
      </c>
      <c r="S253">
        <v>0</v>
      </c>
      <c r="T253">
        <v>4199.3</v>
      </c>
      <c r="U253">
        <f t="shared" si="8"/>
        <v>5999</v>
      </c>
      <c r="V253" t="str">
        <v>CD Drop Shoulder Grey</v>
      </c>
    </row>
    <row r="254" spans="1:22" ht="19" x14ac:dyDescent="0.25">
      <c r="A254" t="s">
        <v>575</v>
      </c>
      <c r="B254" t="s">
        <v>909</v>
      </c>
      <c r="C254" t="s">
        <v>135</v>
      </c>
      <c r="D254" t="s">
        <v>23</v>
      </c>
      <c r="E254" t="s">
        <v>24</v>
      </c>
      <c r="F254" t="s">
        <v>25</v>
      </c>
      <c r="G254" t="s">
        <v>26</v>
      </c>
      <c r="H254" s="14" t="str">
        <f t="shared" si="9"/>
        <v>May</v>
      </c>
      <c r="I254" s="15">
        <v>8905202265047</v>
      </c>
      <c r="J254" t="s">
        <v>213</v>
      </c>
      <c r="K254" t="s">
        <v>214</v>
      </c>
      <c r="L254" t="s">
        <v>184</v>
      </c>
      <c r="M254" t="s">
        <v>61</v>
      </c>
      <c r="N254">
        <v>2995</v>
      </c>
      <c r="O254">
        <v>2995</v>
      </c>
      <c r="P254">
        <v>1</v>
      </c>
      <c r="Q254">
        <v>2995</v>
      </c>
      <c r="R254">
        <v>898.5</v>
      </c>
      <c r="S254">
        <v>0</v>
      </c>
      <c r="T254">
        <v>2096.5</v>
      </c>
      <c r="U254">
        <f t="shared" si="8"/>
        <v>2995</v>
      </c>
      <c r="V254" t="str">
        <v xml:space="preserve">Stamp Tshirt in Blue </v>
      </c>
    </row>
    <row r="255" spans="1:22" ht="19" x14ac:dyDescent="0.25">
      <c r="A255" t="s">
        <v>20</v>
      </c>
      <c r="B255" t="s">
        <v>910</v>
      </c>
      <c r="C255" t="s">
        <v>915</v>
      </c>
      <c r="D255" t="s">
        <v>23</v>
      </c>
      <c r="E255" t="s">
        <v>24</v>
      </c>
      <c r="F255" t="s">
        <v>64</v>
      </c>
      <c r="G255" t="s">
        <v>294</v>
      </c>
      <c r="H255" s="14" t="str">
        <f t="shared" si="9"/>
        <v>May</v>
      </c>
      <c r="I255" s="15">
        <v>8905302263218</v>
      </c>
      <c r="J255" t="s">
        <v>916</v>
      </c>
      <c r="K255" t="s">
        <v>917</v>
      </c>
      <c r="L255" t="s">
        <v>918</v>
      </c>
      <c r="M255" t="s">
        <v>84</v>
      </c>
      <c r="N255">
        <v>4999</v>
      </c>
      <c r="O255">
        <v>4999</v>
      </c>
      <c r="P255">
        <v>1</v>
      </c>
      <c r="Q255">
        <v>4999</v>
      </c>
      <c r="R255">
        <v>1499.7</v>
      </c>
      <c r="S255">
        <v>0</v>
      </c>
      <c r="T255">
        <v>3499.3</v>
      </c>
      <c r="U255">
        <f t="shared" si="8"/>
        <v>4999</v>
      </c>
      <c r="V255" t="str">
        <v>Denim Shorts Black</v>
      </c>
    </row>
    <row r="256" spans="1:22" ht="19" x14ac:dyDescent="0.25">
      <c r="A256" t="s">
        <v>62</v>
      </c>
      <c r="B256" t="s">
        <v>910</v>
      </c>
      <c r="C256" t="s">
        <v>583</v>
      </c>
      <c r="D256" t="s">
        <v>23</v>
      </c>
      <c r="E256" t="s">
        <v>24</v>
      </c>
      <c r="F256" t="s">
        <v>64</v>
      </c>
      <c r="G256" t="s">
        <v>65</v>
      </c>
      <c r="H256" s="14" t="str">
        <f t="shared" si="9"/>
        <v>May</v>
      </c>
      <c r="I256" s="15">
        <v>8905302263400</v>
      </c>
      <c r="J256" t="s">
        <v>919</v>
      </c>
      <c r="K256" t="s">
        <v>920</v>
      </c>
      <c r="L256" t="s">
        <v>921</v>
      </c>
      <c r="M256" t="s">
        <v>61</v>
      </c>
      <c r="N256">
        <v>7999</v>
      </c>
      <c r="O256">
        <v>7999</v>
      </c>
      <c r="P256">
        <v>1</v>
      </c>
      <c r="Q256">
        <v>7999</v>
      </c>
      <c r="R256">
        <v>2399.6999999999998</v>
      </c>
      <c r="S256">
        <v>0</v>
      </c>
      <c r="T256">
        <v>5599.3</v>
      </c>
      <c r="U256">
        <f t="shared" si="8"/>
        <v>7999</v>
      </c>
      <c r="V256" t="str">
        <v xml:space="preserve">Reverse Classic Blue </v>
      </c>
    </row>
    <row r="257" spans="1:22" ht="19" x14ac:dyDescent="0.25">
      <c r="A257" t="s">
        <v>62</v>
      </c>
      <c r="B257" t="s">
        <v>910</v>
      </c>
      <c r="C257" t="s">
        <v>922</v>
      </c>
      <c r="D257" t="s">
        <v>23</v>
      </c>
      <c r="E257" t="s">
        <v>24</v>
      </c>
      <c r="F257" t="s">
        <v>25</v>
      </c>
      <c r="G257" t="s">
        <v>26</v>
      </c>
      <c r="H257" s="14" t="str">
        <f t="shared" si="9"/>
        <v>May</v>
      </c>
      <c r="I257" s="15">
        <v>8905202264828</v>
      </c>
      <c r="J257" t="s">
        <v>891</v>
      </c>
      <c r="K257">
        <v>8905202264828</v>
      </c>
      <c r="L257" t="s">
        <v>892</v>
      </c>
      <c r="M257" t="s">
        <v>44</v>
      </c>
      <c r="N257">
        <v>4495</v>
      </c>
      <c r="O257">
        <v>4495</v>
      </c>
      <c r="P257">
        <v>1</v>
      </c>
      <c r="Q257">
        <v>4495</v>
      </c>
      <c r="R257">
        <v>1348.5</v>
      </c>
      <c r="S257">
        <v>0</v>
      </c>
      <c r="T257">
        <v>3146.5</v>
      </c>
      <c r="U257">
        <f t="shared" si="8"/>
        <v>4495</v>
      </c>
      <c r="V257" t="str">
        <v xml:space="preserve"> Kitty Gang Oversized T shirt</v>
      </c>
    </row>
    <row r="258" spans="1:22" ht="19" x14ac:dyDescent="0.25">
      <c r="A258" t="s">
        <v>62</v>
      </c>
      <c r="B258" t="s">
        <v>910</v>
      </c>
      <c r="C258" t="s">
        <v>922</v>
      </c>
      <c r="D258" t="s">
        <v>23</v>
      </c>
      <c r="E258" t="s">
        <v>24</v>
      </c>
      <c r="F258" t="s">
        <v>25</v>
      </c>
      <c r="G258" t="s">
        <v>26</v>
      </c>
      <c r="H258" s="14" t="str">
        <f t="shared" si="9"/>
        <v>May</v>
      </c>
      <c r="I258" s="15">
        <v>8905302263381</v>
      </c>
      <c r="J258" t="s">
        <v>883</v>
      </c>
      <c r="K258" t="s">
        <v>884</v>
      </c>
      <c r="L258" t="s">
        <v>149</v>
      </c>
      <c r="M258" t="s">
        <v>38</v>
      </c>
      <c r="N258">
        <v>3999</v>
      </c>
      <c r="O258">
        <v>3999</v>
      </c>
      <c r="P258">
        <v>1</v>
      </c>
      <c r="Q258">
        <v>3999</v>
      </c>
      <c r="R258">
        <v>1199.7</v>
      </c>
      <c r="S258">
        <v>0</v>
      </c>
      <c r="T258">
        <v>2799.3</v>
      </c>
      <c r="U258">
        <f t="shared" si="8"/>
        <v>3999</v>
      </c>
      <c r="V258" t="str">
        <v>Butterfly</v>
      </c>
    </row>
    <row r="259" spans="1:22" ht="19" x14ac:dyDescent="0.25">
      <c r="A259" t="s">
        <v>62</v>
      </c>
      <c r="B259" t="s">
        <v>910</v>
      </c>
      <c r="C259" t="s">
        <v>911</v>
      </c>
      <c r="D259" t="s">
        <v>23</v>
      </c>
      <c r="E259" t="s">
        <v>24</v>
      </c>
      <c r="F259" t="s">
        <v>64</v>
      </c>
      <c r="G259" t="s">
        <v>65</v>
      </c>
      <c r="H259" s="14" t="str">
        <f t="shared" si="9"/>
        <v>May</v>
      </c>
      <c r="I259" s="15">
        <v>8905302263207</v>
      </c>
      <c r="J259" t="s">
        <v>912</v>
      </c>
      <c r="K259" t="s">
        <v>913</v>
      </c>
      <c r="L259" t="s">
        <v>274</v>
      </c>
      <c r="M259" t="s">
        <v>61</v>
      </c>
      <c r="N259">
        <v>5999</v>
      </c>
      <c r="O259">
        <v>5999</v>
      </c>
      <c r="P259">
        <v>1</v>
      </c>
      <c r="Q259">
        <v>5999</v>
      </c>
      <c r="R259">
        <v>1799.7</v>
      </c>
      <c r="S259">
        <v>0</v>
      </c>
      <c r="T259">
        <v>4199.3</v>
      </c>
      <c r="U259">
        <f t="shared" si="8"/>
        <v>5999</v>
      </c>
      <c r="V259" t="str">
        <v>Half Moon Blue</v>
      </c>
    </row>
    <row r="260" spans="1:22" ht="19" x14ac:dyDescent="0.25">
      <c r="A260" t="s">
        <v>575</v>
      </c>
      <c r="B260" t="s">
        <v>910</v>
      </c>
      <c r="C260" t="s">
        <v>914</v>
      </c>
      <c r="D260" t="s">
        <v>23</v>
      </c>
      <c r="E260" t="s">
        <v>24</v>
      </c>
      <c r="F260" t="s">
        <v>64</v>
      </c>
      <c r="G260" t="s">
        <v>65</v>
      </c>
      <c r="H260" s="14" t="str">
        <f t="shared" si="9"/>
        <v>May</v>
      </c>
      <c r="I260" s="15">
        <v>8905302263202</v>
      </c>
      <c r="J260" t="s">
        <v>475</v>
      </c>
      <c r="K260" t="s">
        <v>474</v>
      </c>
      <c r="L260" t="s">
        <v>473</v>
      </c>
      <c r="M260" t="s">
        <v>61</v>
      </c>
      <c r="N260">
        <v>6999</v>
      </c>
      <c r="O260">
        <v>6999</v>
      </c>
      <c r="P260">
        <v>1</v>
      </c>
      <c r="Q260">
        <v>6999</v>
      </c>
      <c r="R260">
        <v>2099.6999999999998</v>
      </c>
      <c r="S260">
        <v>0</v>
      </c>
      <c r="T260">
        <v>4899.3</v>
      </c>
      <c r="U260">
        <f t="shared" ref="U260" si="10">P260*N260</f>
        <v>6999</v>
      </c>
      <c r="V260" t="str">
        <v>Open Bottom Black</v>
      </c>
    </row>
    <row r="261" spans="1:22" s="48" customFormat="1" ht="19" x14ac:dyDescent="0.25">
      <c r="A261" s="48" t="s">
        <v>575</v>
      </c>
      <c r="B261" s="48" t="s">
        <v>1058</v>
      </c>
      <c r="C261" s="48" t="s">
        <v>1013</v>
      </c>
      <c r="D261" s="48" t="s">
        <v>23</v>
      </c>
      <c r="E261" s="48" t="s">
        <v>24</v>
      </c>
      <c r="F261" s="48" t="s">
        <v>25</v>
      </c>
      <c r="G261" s="48" t="s">
        <v>34</v>
      </c>
      <c r="H261" s="14" t="str">
        <f t="shared" si="9"/>
        <v>Jun</v>
      </c>
      <c r="I261" s="106">
        <v>8905302263330</v>
      </c>
      <c r="J261" s="48" t="s">
        <v>706</v>
      </c>
      <c r="K261" s="48" t="s">
        <v>707</v>
      </c>
      <c r="L261" s="48" t="s">
        <v>708</v>
      </c>
      <c r="M261" s="48" t="s">
        <v>44</v>
      </c>
      <c r="N261" s="48">
        <v>4999</v>
      </c>
      <c r="O261" s="48">
        <v>4999</v>
      </c>
      <c r="P261" s="48">
        <v>-1</v>
      </c>
      <c r="Q261" s="48">
        <v>-4999</v>
      </c>
      <c r="R261" s="48">
        <v>-999.8</v>
      </c>
      <c r="S261" s="48">
        <v>0</v>
      </c>
      <c r="T261" s="48">
        <v>-3999.2</v>
      </c>
      <c r="U261" s="48" t="s">
        <v>647</v>
      </c>
      <c r="V261" s="48" t="str">
        <v>Orange Micro Check</v>
      </c>
    </row>
    <row r="262" spans="1:22" ht="19" x14ac:dyDescent="0.25">
      <c r="A262" t="s">
        <v>20</v>
      </c>
      <c r="B262" t="s">
        <v>923</v>
      </c>
      <c r="C262" t="s">
        <v>924</v>
      </c>
      <c r="D262" t="s">
        <v>23</v>
      </c>
      <c r="E262" t="s">
        <v>24</v>
      </c>
      <c r="F262" t="s">
        <v>25</v>
      </c>
      <c r="G262" t="s">
        <v>34</v>
      </c>
      <c r="H262" s="14" t="str">
        <f t="shared" si="9"/>
        <v>Jun</v>
      </c>
      <c r="I262" s="15">
        <v>8905302263346</v>
      </c>
      <c r="J262" t="s">
        <v>699</v>
      </c>
      <c r="K262" t="s">
        <v>700</v>
      </c>
      <c r="L262" t="s">
        <v>701</v>
      </c>
      <c r="M262" t="s">
        <v>44</v>
      </c>
      <c r="N262">
        <v>5999</v>
      </c>
      <c r="O262">
        <v>5999</v>
      </c>
      <c r="P262">
        <v>1</v>
      </c>
      <c r="Q262">
        <v>5999</v>
      </c>
      <c r="R262">
        <v>0</v>
      </c>
      <c r="S262">
        <v>0</v>
      </c>
      <c r="T262">
        <v>5999</v>
      </c>
      <c r="U262" t="s">
        <v>45</v>
      </c>
      <c r="V262" t="str">
        <v>White Blue Stripe</v>
      </c>
    </row>
    <row r="263" spans="1:22" ht="19" x14ac:dyDescent="0.25">
      <c r="A263" t="s">
        <v>20</v>
      </c>
      <c r="B263" t="s">
        <v>926</v>
      </c>
      <c r="C263" t="s">
        <v>927</v>
      </c>
      <c r="D263" t="s">
        <v>23</v>
      </c>
      <c r="E263" t="s">
        <v>24</v>
      </c>
      <c r="F263" t="s">
        <v>25</v>
      </c>
      <c r="G263" t="s">
        <v>34</v>
      </c>
      <c r="H263" s="14" t="str">
        <f t="shared" si="9"/>
        <v>Jun</v>
      </c>
      <c r="I263" s="15">
        <v>8905302263304</v>
      </c>
      <c r="J263" t="s">
        <v>928</v>
      </c>
      <c r="K263" t="s">
        <v>929</v>
      </c>
      <c r="L263" t="s">
        <v>829</v>
      </c>
      <c r="M263" t="s">
        <v>61</v>
      </c>
      <c r="N263">
        <v>4999</v>
      </c>
      <c r="O263">
        <v>4999</v>
      </c>
      <c r="P263">
        <v>1</v>
      </c>
      <c r="Q263">
        <v>4999</v>
      </c>
      <c r="R263">
        <v>0</v>
      </c>
      <c r="S263">
        <v>0</v>
      </c>
      <c r="T263">
        <v>4999</v>
      </c>
      <c r="U263" t="s">
        <v>45</v>
      </c>
      <c r="V263" t="str">
        <v>Blue Heart</v>
      </c>
    </row>
    <row r="264" spans="1:22" ht="19" x14ac:dyDescent="0.25">
      <c r="A264" t="s">
        <v>62</v>
      </c>
      <c r="B264" t="s">
        <v>926</v>
      </c>
      <c r="C264" t="s">
        <v>930</v>
      </c>
      <c r="D264" t="s">
        <v>23</v>
      </c>
      <c r="E264" t="s">
        <v>24</v>
      </c>
      <c r="F264" t="s">
        <v>25</v>
      </c>
      <c r="G264" t="s">
        <v>34</v>
      </c>
      <c r="H264" s="14" t="str">
        <f t="shared" si="9"/>
        <v>Jun</v>
      </c>
      <c r="I264" s="15">
        <v>8905302263304</v>
      </c>
      <c r="J264" t="s">
        <v>928</v>
      </c>
      <c r="K264" t="s">
        <v>929</v>
      </c>
      <c r="L264" t="s">
        <v>829</v>
      </c>
      <c r="M264" t="s">
        <v>61</v>
      </c>
      <c r="N264">
        <v>4999</v>
      </c>
      <c r="O264">
        <v>4999</v>
      </c>
      <c r="P264">
        <v>1</v>
      </c>
      <c r="Q264">
        <v>4999</v>
      </c>
      <c r="R264">
        <v>0</v>
      </c>
      <c r="S264">
        <v>0</v>
      </c>
      <c r="T264">
        <v>4999</v>
      </c>
      <c r="U264" t="s">
        <v>45</v>
      </c>
      <c r="V264" t="str">
        <v>Blue Heart</v>
      </c>
    </row>
    <row r="265" spans="1:22" ht="19" x14ac:dyDescent="0.25">
      <c r="A265" t="s">
        <v>62</v>
      </c>
      <c r="B265" t="s">
        <v>926</v>
      </c>
      <c r="C265" t="s">
        <v>931</v>
      </c>
      <c r="D265" t="s">
        <v>23</v>
      </c>
      <c r="E265" t="s">
        <v>24</v>
      </c>
      <c r="F265" t="s">
        <v>25</v>
      </c>
      <c r="G265" t="s">
        <v>26</v>
      </c>
      <c r="H265" s="14" t="str">
        <f t="shared" si="9"/>
        <v>Jun</v>
      </c>
      <c r="I265" s="15">
        <v>8905202264729</v>
      </c>
      <c r="J265" t="s">
        <v>28</v>
      </c>
      <c r="K265">
        <v>8905202264729</v>
      </c>
      <c r="L265" t="s">
        <v>29</v>
      </c>
      <c r="M265" t="s">
        <v>30</v>
      </c>
      <c r="N265">
        <v>2995</v>
      </c>
      <c r="O265">
        <v>2995</v>
      </c>
      <c r="P265">
        <v>1</v>
      </c>
      <c r="Q265">
        <v>2995</v>
      </c>
      <c r="R265">
        <v>0</v>
      </c>
      <c r="S265">
        <v>0</v>
      </c>
      <c r="T265">
        <v>2995</v>
      </c>
      <c r="U265" t="s">
        <v>55</v>
      </c>
      <c r="V265" t="str">
        <v xml:space="preserve">X Graphic Terry Free Size Tee in Black </v>
      </c>
    </row>
    <row r="266" spans="1:22" ht="19" x14ac:dyDescent="0.25">
      <c r="A266" t="s">
        <v>62</v>
      </c>
      <c r="B266" t="s">
        <v>926</v>
      </c>
      <c r="C266" t="s">
        <v>932</v>
      </c>
      <c r="D266" t="s">
        <v>23</v>
      </c>
      <c r="E266" t="s">
        <v>24</v>
      </c>
      <c r="F266" t="s">
        <v>64</v>
      </c>
      <c r="G266" t="s">
        <v>65</v>
      </c>
      <c r="H266" s="14" t="str">
        <f t="shared" si="9"/>
        <v>Jun</v>
      </c>
      <c r="I266" s="15">
        <v>8905302263364</v>
      </c>
      <c r="J266" t="s">
        <v>900</v>
      </c>
      <c r="K266" t="s">
        <v>901</v>
      </c>
      <c r="L266" t="s">
        <v>694</v>
      </c>
      <c r="M266" t="s">
        <v>38</v>
      </c>
      <c r="N266">
        <v>7999</v>
      </c>
      <c r="O266">
        <v>7999</v>
      </c>
      <c r="P266">
        <v>1</v>
      </c>
      <c r="Q266">
        <v>7999</v>
      </c>
      <c r="R266">
        <v>0</v>
      </c>
      <c r="S266">
        <v>0</v>
      </c>
      <c r="T266">
        <v>7999</v>
      </c>
      <c r="U266" t="s">
        <v>45</v>
      </c>
      <c r="V266" t="str">
        <v>Black Paint Splash</v>
      </c>
    </row>
    <row r="267" spans="1:22" ht="19" x14ac:dyDescent="0.25">
      <c r="A267" t="s">
        <v>62</v>
      </c>
      <c r="B267" t="s">
        <v>933</v>
      </c>
      <c r="C267" t="s">
        <v>934</v>
      </c>
      <c r="D267" t="s">
        <v>23</v>
      </c>
      <c r="E267" t="s">
        <v>24</v>
      </c>
      <c r="F267" t="s">
        <v>25</v>
      </c>
      <c r="G267" t="s">
        <v>34</v>
      </c>
      <c r="H267" s="14" t="str">
        <f t="shared" si="9"/>
        <v>Jun</v>
      </c>
      <c r="I267" s="15">
        <v>8905302263272</v>
      </c>
      <c r="J267" t="s">
        <v>935</v>
      </c>
      <c r="K267" t="s">
        <v>936</v>
      </c>
      <c r="L267" t="s">
        <v>667</v>
      </c>
      <c r="M267" t="s">
        <v>54</v>
      </c>
      <c r="N267">
        <v>4999</v>
      </c>
      <c r="O267">
        <v>4999</v>
      </c>
      <c r="P267">
        <v>1</v>
      </c>
      <c r="Q267">
        <v>4999</v>
      </c>
      <c r="R267">
        <v>0</v>
      </c>
      <c r="S267">
        <v>0</v>
      </c>
      <c r="T267">
        <v>4999</v>
      </c>
      <c r="U267" t="s">
        <v>50</v>
      </c>
      <c r="V267" t="str">
        <v>Cross Stich Blue</v>
      </c>
    </row>
    <row r="268" spans="1:22" ht="19" x14ac:dyDescent="0.25">
      <c r="A268" t="s">
        <v>575</v>
      </c>
      <c r="B268" t="s">
        <v>933</v>
      </c>
      <c r="C268" t="s">
        <v>937</v>
      </c>
      <c r="D268" t="s">
        <v>23</v>
      </c>
      <c r="E268" t="s">
        <v>24</v>
      </c>
      <c r="F268" t="s">
        <v>25</v>
      </c>
      <c r="G268" t="s">
        <v>34</v>
      </c>
      <c r="H268" s="14" t="str">
        <f t="shared" si="9"/>
        <v>Jun</v>
      </c>
      <c r="I268" s="15">
        <v>8905302263322</v>
      </c>
      <c r="J268" t="s">
        <v>938</v>
      </c>
      <c r="K268" t="s">
        <v>939</v>
      </c>
      <c r="L268" t="s">
        <v>661</v>
      </c>
      <c r="M268" t="s">
        <v>61</v>
      </c>
      <c r="N268">
        <v>6999</v>
      </c>
      <c r="O268">
        <v>6999</v>
      </c>
      <c r="P268">
        <v>1</v>
      </c>
      <c r="Q268">
        <v>6999</v>
      </c>
      <c r="R268">
        <v>0</v>
      </c>
      <c r="S268">
        <v>0</v>
      </c>
      <c r="T268">
        <v>6999</v>
      </c>
      <c r="U268" t="s">
        <v>259</v>
      </c>
      <c r="V268" t="str">
        <v>Green Flower Checks</v>
      </c>
    </row>
    <row r="269" spans="1:22" ht="19" x14ac:dyDescent="0.25">
      <c r="A269" t="s">
        <v>575</v>
      </c>
      <c r="B269" t="s">
        <v>933</v>
      </c>
      <c r="C269" t="s">
        <v>940</v>
      </c>
      <c r="D269" t="s">
        <v>23</v>
      </c>
      <c r="E269" t="s">
        <v>24</v>
      </c>
      <c r="F269" t="s">
        <v>25</v>
      </c>
      <c r="G269" t="s">
        <v>26</v>
      </c>
      <c r="H269" s="14" t="str">
        <f t="shared" si="9"/>
        <v>Jun</v>
      </c>
      <c r="I269" s="15">
        <v>8905202265016</v>
      </c>
      <c r="J269" t="s">
        <v>180</v>
      </c>
      <c r="K269">
        <v>8905202265016</v>
      </c>
      <c r="L269" t="s">
        <v>49</v>
      </c>
      <c r="M269" t="s">
        <v>38</v>
      </c>
      <c r="N269">
        <v>2995</v>
      </c>
      <c r="O269">
        <v>2995</v>
      </c>
      <c r="P269">
        <v>1</v>
      </c>
      <c r="Q269">
        <v>2995</v>
      </c>
      <c r="R269">
        <v>0</v>
      </c>
      <c r="S269">
        <v>0</v>
      </c>
      <c r="T269">
        <v>2995</v>
      </c>
      <c r="U269" t="s">
        <v>55</v>
      </c>
      <c r="V269" t="str">
        <v xml:space="preserve"> Ballet Queen Drop Shoulder T-Shirt in White</v>
      </c>
    </row>
    <row r="270" spans="1:22" ht="19" x14ac:dyDescent="0.25">
      <c r="A270" t="s">
        <v>575</v>
      </c>
      <c r="B270" t="s">
        <v>942</v>
      </c>
      <c r="C270" t="s">
        <v>135</v>
      </c>
      <c r="D270" t="s">
        <v>23</v>
      </c>
      <c r="E270" t="s">
        <v>24</v>
      </c>
      <c r="F270" t="s">
        <v>64</v>
      </c>
      <c r="G270" t="s">
        <v>65</v>
      </c>
      <c r="H270" s="14" t="str">
        <f t="shared" si="9"/>
        <v>Jun</v>
      </c>
      <c r="I270" s="15">
        <v>8905302263203</v>
      </c>
      <c r="J270" t="s">
        <v>290</v>
      </c>
      <c r="K270" t="s">
        <v>291</v>
      </c>
      <c r="L270" t="s">
        <v>292</v>
      </c>
      <c r="M270" t="s">
        <v>44</v>
      </c>
      <c r="N270">
        <v>6999</v>
      </c>
      <c r="O270">
        <v>6999</v>
      </c>
      <c r="P270">
        <v>1</v>
      </c>
      <c r="Q270">
        <v>6999</v>
      </c>
      <c r="R270">
        <v>0</v>
      </c>
      <c r="S270">
        <v>0</v>
      </c>
      <c r="T270">
        <v>6999</v>
      </c>
      <c r="U270" t="s">
        <v>943</v>
      </c>
      <c r="V270" t="str">
        <v>Open Bottom Black</v>
      </c>
    </row>
    <row r="271" spans="1:22" ht="19" x14ac:dyDescent="0.25">
      <c r="A271" t="s">
        <v>575</v>
      </c>
      <c r="B271" t="s">
        <v>942</v>
      </c>
      <c r="C271" t="s">
        <v>791</v>
      </c>
      <c r="D271" t="s">
        <v>23</v>
      </c>
      <c r="E271" t="s">
        <v>24</v>
      </c>
      <c r="F271" t="s">
        <v>25</v>
      </c>
      <c r="G271" t="s">
        <v>26</v>
      </c>
      <c r="H271" s="14" t="str">
        <f t="shared" si="9"/>
        <v>Jun</v>
      </c>
      <c r="I271" s="15">
        <v>8905202264811</v>
      </c>
      <c r="J271" t="s">
        <v>172</v>
      </c>
      <c r="K271">
        <v>8905202264811</v>
      </c>
      <c r="L271" t="s">
        <v>173</v>
      </c>
      <c r="M271" t="s">
        <v>38</v>
      </c>
      <c r="N271">
        <v>4495</v>
      </c>
      <c r="O271">
        <v>4495</v>
      </c>
      <c r="P271">
        <v>1</v>
      </c>
      <c r="Q271">
        <v>4495</v>
      </c>
      <c r="R271">
        <v>0</v>
      </c>
      <c r="S271">
        <v>0</v>
      </c>
      <c r="T271">
        <v>4495</v>
      </c>
      <c r="U271" t="s">
        <v>55</v>
      </c>
      <c r="V271" t="str">
        <v xml:space="preserve"> Kitty Gang Oversized T shirt</v>
      </c>
    </row>
    <row r="272" spans="1:22" ht="19" x14ac:dyDescent="0.25">
      <c r="A272" t="s">
        <v>575</v>
      </c>
      <c r="B272" t="s">
        <v>944</v>
      </c>
      <c r="C272" t="s">
        <v>945</v>
      </c>
      <c r="D272" t="s">
        <v>23</v>
      </c>
      <c r="E272" t="s">
        <v>24</v>
      </c>
      <c r="F272" t="s">
        <v>64</v>
      </c>
      <c r="G272" t="s">
        <v>65</v>
      </c>
      <c r="H272" s="14" t="str">
        <f t="shared" si="9"/>
        <v>Jun</v>
      </c>
      <c r="I272" s="15">
        <v>8905302263195</v>
      </c>
      <c r="J272" t="s">
        <v>946</v>
      </c>
      <c r="K272" t="s">
        <v>947</v>
      </c>
      <c r="L272" t="s">
        <v>948</v>
      </c>
      <c r="M272" t="s">
        <v>44</v>
      </c>
      <c r="N272">
        <v>7999</v>
      </c>
      <c r="O272">
        <v>7999</v>
      </c>
      <c r="P272">
        <v>1</v>
      </c>
      <c r="Q272">
        <v>7999</v>
      </c>
      <c r="R272">
        <v>0</v>
      </c>
      <c r="S272">
        <v>0</v>
      </c>
      <c r="T272">
        <v>7999</v>
      </c>
      <c r="U272" t="s">
        <v>55</v>
      </c>
      <c r="V272" t="str">
        <v>Reverse Blue</v>
      </c>
    </row>
    <row r="273" spans="1:22" ht="19" x14ac:dyDescent="0.25">
      <c r="A273" t="s">
        <v>575</v>
      </c>
      <c r="B273" t="s">
        <v>944</v>
      </c>
      <c r="C273" t="s">
        <v>945</v>
      </c>
      <c r="D273" t="s">
        <v>23</v>
      </c>
      <c r="E273" t="s">
        <v>24</v>
      </c>
      <c r="F273" t="s">
        <v>64</v>
      </c>
      <c r="G273" t="s">
        <v>65</v>
      </c>
      <c r="H273" s="14" t="str">
        <f t="shared" si="9"/>
        <v>Jun</v>
      </c>
      <c r="I273" s="15">
        <v>8905302263203</v>
      </c>
      <c r="J273" t="s">
        <v>290</v>
      </c>
      <c r="K273" t="s">
        <v>291</v>
      </c>
      <c r="L273" t="s">
        <v>292</v>
      </c>
      <c r="M273" t="s">
        <v>44</v>
      </c>
      <c r="N273">
        <v>6999</v>
      </c>
      <c r="O273">
        <v>6999</v>
      </c>
      <c r="P273">
        <v>1</v>
      </c>
      <c r="Q273">
        <v>6999</v>
      </c>
      <c r="R273">
        <v>0</v>
      </c>
      <c r="S273">
        <v>0</v>
      </c>
      <c r="T273">
        <v>6999</v>
      </c>
      <c r="U273" t="s">
        <v>55</v>
      </c>
      <c r="V273" t="str">
        <v>Open Bottom Black</v>
      </c>
    </row>
    <row r="274" spans="1:22" ht="19" x14ac:dyDescent="0.25">
      <c r="A274" t="s">
        <v>962</v>
      </c>
      <c r="B274" t="s">
        <v>949</v>
      </c>
      <c r="C274" t="s">
        <v>963</v>
      </c>
      <c r="D274" t="s">
        <v>23</v>
      </c>
      <c r="E274" t="s">
        <v>24</v>
      </c>
      <c r="F274" t="s">
        <v>25</v>
      </c>
      <c r="G274" t="s">
        <v>26</v>
      </c>
      <c r="H274" s="14" t="str">
        <f t="shared" ref="H274:H337" si="11">TEXT(DATE(RIGHT(B274,4),MID(B274,4,2),LEFT(B274,2)),"mmm")</f>
        <v>Jun</v>
      </c>
      <c r="I274" s="15">
        <v>8905202269274</v>
      </c>
      <c r="J274" t="s">
        <v>643</v>
      </c>
      <c r="K274" t="s">
        <v>644</v>
      </c>
      <c r="L274" t="s">
        <v>94</v>
      </c>
      <c r="M274" t="s">
        <v>44</v>
      </c>
      <c r="N274">
        <v>3495</v>
      </c>
      <c r="O274">
        <v>3495</v>
      </c>
      <c r="P274">
        <v>1</v>
      </c>
      <c r="Q274">
        <v>3495</v>
      </c>
      <c r="R274">
        <v>0</v>
      </c>
      <c r="S274">
        <v>0</v>
      </c>
      <c r="T274">
        <v>3495</v>
      </c>
      <c r="U274" t="s">
        <v>39</v>
      </c>
      <c r="V274" t="str">
        <v xml:space="preserve">Back Graffti print Drop Shoulder Crew Neck T-Shirt                                                 </v>
      </c>
    </row>
    <row r="275" spans="1:22" ht="19" x14ac:dyDescent="0.25">
      <c r="A275" t="s">
        <v>62</v>
      </c>
      <c r="B275" t="s">
        <v>949</v>
      </c>
      <c r="C275" t="s">
        <v>950</v>
      </c>
      <c r="D275" t="s">
        <v>23</v>
      </c>
      <c r="E275" t="s">
        <v>24</v>
      </c>
      <c r="F275" t="s">
        <v>25</v>
      </c>
      <c r="G275" t="s">
        <v>34</v>
      </c>
      <c r="H275" s="14" t="str">
        <f t="shared" si="11"/>
        <v>Jun</v>
      </c>
      <c r="I275" s="15">
        <v>8905302263242</v>
      </c>
      <c r="J275" t="s">
        <v>951</v>
      </c>
      <c r="K275" t="s">
        <v>952</v>
      </c>
      <c r="L275" t="s">
        <v>802</v>
      </c>
      <c r="M275" t="s">
        <v>44</v>
      </c>
      <c r="N275">
        <v>5999</v>
      </c>
      <c r="O275">
        <v>5999</v>
      </c>
      <c r="P275">
        <v>1</v>
      </c>
      <c r="Q275">
        <v>5999</v>
      </c>
      <c r="R275">
        <v>0</v>
      </c>
      <c r="S275">
        <v>0</v>
      </c>
      <c r="T275">
        <v>5999</v>
      </c>
      <c r="U275" t="s">
        <v>284</v>
      </c>
      <c r="V275" t="str">
        <v>Grunge Denim Blue</v>
      </c>
    </row>
    <row r="276" spans="1:22" ht="19" x14ac:dyDescent="0.25">
      <c r="A276" t="s">
        <v>62</v>
      </c>
      <c r="B276" t="s">
        <v>953</v>
      </c>
      <c r="C276" t="s">
        <v>645</v>
      </c>
      <c r="D276" t="s">
        <v>23</v>
      </c>
      <c r="E276" t="s">
        <v>24</v>
      </c>
      <c r="F276" t="s">
        <v>25</v>
      </c>
      <c r="G276" t="s">
        <v>34</v>
      </c>
      <c r="H276" s="14" t="str">
        <f t="shared" si="11"/>
        <v>Jun</v>
      </c>
      <c r="I276" s="15">
        <v>8905302263305</v>
      </c>
      <c r="J276" t="s">
        <v>896</v>
      </c>
      <c r="K276" t="s">
        <v>897</v>
      </c>
      <c r="L276" t="s">
        <v>802</v>
      </c>
      <c r="M276" t="s">
        <v>44</v>
      </c>
      <c r="N276">
        <v>4999</v>
      </c>
      <c r="O276">
        <v>4999</v>
      </c>
      <c r="P276">
        <v>1</v>
      </c>
      <c r="Q276">
        <v>4999</v>
      </c>
      <c r="R276">
        <v>0</v>
      </c>
      <c r="S276">
        <v>0</v>
      </c>
      <c r="T276">
        <v>4999</v>
      </c>
      <c r="U276" t="s">
        <v>45</v>
      </c>
      <c r="V276" t="str">
        <v>Blue Heart</v>
      </c>
    </row>
    <row r="277" spans="1:22" ht="19" x14ac:dyDescent="0.25">
      <c r="A277" t="s">
        <v>62</v>
      </c>
      <c r="B277" t="s">
        <v>953</v>
      </c>
      <c r="C277" t="s">
        <v>645</v>
      </c>
      <c r="D277" t="s">
        <v>23</v>
      </c>
      <c r="E277" t="s">
        <v>24</v>
      </c>
      <c r="F277" t="s">
        <v>25</v>
      </c>
      <c r="G277" t="s">
        <v>26</v>
      </c>
      <c r="H277" s="14" t="str">
        <f t="shared" si="11"/>
        <v>Jun</v>
      </c>
      <c r="I277" s="15">
        <v>8905202265016</v>
      </c>
      <c r="J277" t="s">
        <v>180</v>
      </c>
      <c r="K277">
        <v>8905202265016</v>
      </c>
      <c r="L277" t="s">
        <v>49</v>
      </c>
      <c r="M277" t="s">
        <v>38</v>
      </c>
      <c r="N277">
        <v>2995</v>
      </c>
      <c r="O277">
        <v>2995</v>
      </c>
      <c r="P277">
        <v>1</v>
      </c>
      <c r="Q277">
        <v>2995</v>
      </c>
      <c r="R277">
        <v>0</v>
      </c>
      <c r="S277">
        <v>0</v>
      </c>
      <c r="T277">
        <v>2995</v>
      </c>
      <c r="U277" t="s">
        <v>45</v>
      </c>
      <c r="V277" t="str">
        <v xml:space="preserve"> Ballet Queen Drop Shoulder T-Shirt in White</v>
      </c>
    </row>
    <row r="278" spans="1:22" ht="19" x14ac:dyDescent="0.25">
      <c r="A278" t="s">
        <v>575</v>
      </c>
      <c r="B278" t="s">
        <v>960</v>
      </c>
      <c r="C278" t="s">
        <v>961</v>
      </c>
      <c r="D278" t="s">
        <v>23</v>
      </c>
      <c r="E278" t="s">
        <v>24</v>
      </c>
      <c r="F278" t="s">
        <v>25</v>
      </c>
      <c r="G278" t="s">
        <v>34</v>
      </c>
      <c r="H278" s="14" t="str">
        <f t="shared" si="11"/>
        <v>Jun</v>
      </c>
      <c r="I278" s="15">
        <v>8905302263239</v>
      </c>
      <c r="J278" t="s">
        <v>624</v>
      </c>
      <c r="K278" t="s">
        <v>625</v>
      </c>
      <c r="L278" t="s">
        <v>626</v>
      </c>
      <c r="M278" t="s">
        <v>38</v>
      </c>
      <c r="N278">
        <v>5999</v>
      </c>
      <c r="O278">
        <v>5999</v>
      </c>
      <c r="P278">
        <v>1</v>
      </c>
      <c r="Q278">
        <v>5999</v>
      </c>
      <c r="R278">
        <v>0</v>
      </c>
      <c r="S278">
        <v>0</v>
      </c>
      <c r="T278">
        <v>5999</v>
      </c>
      <c r="U278" t="s">
        <v>45</v>
      </c>
      <c r="V278" t="str">
        <v>Grunge Denim Charcoal</v>
      </c>
    </row>
    <row r="279" spans="1:22" ht="19" x14ac:dyDescent="0.25">
      <c r="A279" t="s">
        <v>575</v>
      </c>
      <c r="B279" t="s">
        <v>964</v>
      </c>
      <c r="C279" t="s">
        <v>965</v>
      </c>
      <c r="D279" t="s">
        <v>23</v>
      </c>
      <c r="E279" t="s">
        <v>24</v>
      </c>
      <c r="F279" t="s">
        <v>25</v>
      </c>
      <c r="G279" t="s">
        <v>34</v>
      </c>
      <c r="H279" s="14" t="str">
        <f t="shared" si="11"/>
        <v>Jun</v>
      </c>
      <c r="I279" s="15">
        <v>8905302263328</v>
      </c>
      <c r="J279" t="s">
        <v>715</v>
      </c>
      <c r="K279" t="s">
        <v>716</v>
      </c>
      <c r="L279" t="s">
        <v>717</v>
      </c>
      <c r="M279" t="s">
        <v>54</v>
      </c>
      <c r="N279">
        <v>4999</v>
      </c>
      <c r="O279">
        <v>4999</v>
      </c>
      <c r="P279">
        <v>1</v>
      </c>
      <c r="Q279">
        <v>4999</v>
      </c>
      <c r="R279">
        <v>0</v>
      </c>
      <c r="S279">
        <v>0</v>
      </c>
      <c r="T279">
        <v>4999</v>
      </c>
      <c r="U279" t="s">
        <v>259</v>
      </c>
      <c r="V279" t="str">
        <v>Orange Micro Check</v>
      </c>
    </row>
    <row r="280" spans="1:22" ht="19" x14ac:dyDescent="0.25">
      <c r="A280" t="s">
        <v>62</v>
      </c>
      <c r="B280" t="s">
        <v>967</v>
      </c>
      <c r="C280" t="s">
        <v>968</v>
      </c>
      <c r="D280" t="s">
        <v>23</v>
      </c>
      <c r="E280" t="s">
        <v>24</v>
      </c>
      <c r="F280" t="s">
        <v>25</v>
      </c>
      <c r="G280" t="s">
        <v>34</v>
      </c>
      <c r="H280" s="14" t="str">
        <f t="shared" si="11"/>
        <v>Jun</v>
      </c>
      <c r="I280" s="15">
        <v>8905302263303</v>
      </c>
      <c r="J280" t="s">
        <v>969</v>
      </c>
      <c r="K280" t="s">
        <v>970</v>
      </c>
      <c r="L280" t="s">
        <v>667</v>
      </c>
      <c r="M280" t="s">
        <v>54</v>
      </c>
      <c r="N280">
        <v>4999</v>
      </c>
      <c r="O280">
        <v>4999</v>
      </c>
      <c r="P280">
        <v>1</v>
      </c>
      <c r="Q280">
        <v>4999</v>
      </c>
      <c r="R280">
        <v>0</v>
      </c>
      <c r="S280">
        <v>0</v>
      </c>
      <c r="T280">
        <v>4999</v>
      </c>
      <c r="U280" t="s">
        <v>45</v>
      </c>
      <c r="V280" t="str">
        <v>Blue Heart</v>
      </c>
    </row>
    <row r="281" spans="1:22" ht="19" x14ac:dyDescent="0.25">
      <c r="A281" t="s">
        <v>20</v>
      </c>
      <c r="B281" t="s">
        <v>971</v>
      </c>
      <c r="C281" t="s">
        <v>972</v>
      </c>
      <c r="D281" t="s">
        <v>23</v>
      </c>
      <c r="E281" t="s">
        <v>24</v>
      </c>
      <c r="F281" t="s">
        <v>25</v>
      </c>
      <c r="G281" t="s">
        <v>26</v>
      </c>
      <c r="H281" s="14" t="str">
        <f t="shared" si="11"/>
        <v>Jun</v>
      </c>
      <c r="I281" s="15">
        <v>8905202264897</v>
      </c>
      <c r="J281" t="s">
        <v>203</v>
      </c>
      <c r="K281">
        <v>8905202264897</v>
      </c>
      <c r="L281" t="s">
        <v>191</v>
      </c>
      <c r="M281" t="s">
        <v>61</v>
      </c>
      <c r="N281">
        <v>2995</v>
      </c>
      <c r="O281">
        <v>2995</v>
      </c>
      <c r="P281">
        <v>1</v>
      </c>
      <c r="Q281">
        <v>2995</v>
      </c>
      <c r="R281">
        <v>1198</v>
      </c>
      <c r="S281">
        <v>0</v>
      </c>
      <c r="T281">
        <v>1797</v>
      </c>
      <c r="U281" t="s">
        <v>45</v>
      </c>
      <c r="V281" t="str">
        <v xml:space="preserve"> Ballet Queen Drop Shoulder T-Shirt in White</v>
      </c>
    </row>
    <row r="282" spans="1:22" ht="19" x14ac:dyDescent="0.25">
      <c r="A282" t="s">
        <v>20</v>
      </c>
      <c r="B282" t="s">
        <v>971</v>
      </c>
      <c r="C282" t="s">
        <v>972</v>
      </c>
      <c r="D282" t="s">
        <v>23</v>
      </c>
      <c r="E282" t="s">
        <v>24</v>
      </c>
      <c r="F282" t="s">
        <v>25</v>
      </c>
      <c r="G282" t="s">
        <v>26</v>
      </c>
      <c r="H282" s="14" t="str">
        <f t="shared" si="11"/>
        <v>Jun</v>
      </c>
      <c r="I282" s="15">
        <v>8905202264941</v>
      </c>
      <c r="J282" t="s">
        <v>973</v>
      </c>
      <c r="K282">
        <v>8905202264941</v>
      </c>
      <c r="L282" t="s">
        <v>191</v>
      </c>
      <c r="M282" t="s">
        <v>61</v>
      </c>
      <c r="N282">
        <v>2495</v>
      </c>
      <c r="O282">
        <v>2495</v>
      </c>
      <c r="P282">
        <v>1</v>
      </c>
      <c r="Q282">
        <v>2495</v>
      </c>
      <c r="R282">
        <v>998</v>
      </c>
      <c r="S282">
        <v>0</v>
      </c>
      <c r="T282">
        <v>1497</v>
      </c>
      <c r="U282" t="s">
        <v>45</v>
      </c>
      <c r="V282" t="str">
        <v>Be Crazy not Clown Tshirt</v>
      </c>
    </row>
    <row r="283" spans="1:22" ht="19" x14ac:dyDescent="0.25">
      <c r="A283" t="s">
        <v>20</v>
      </c>
      <c r="B283" t="s">
        <v>971</v>
      </c>
      <c r="C283" t="s">
        <v>972</v>
      </c>
      <c r="D283" t="s">
        <v>23</v>
      </c>
      <c r="E283" t="s">
        <v>24</v>
      </c>
      <c r="F283" t="s">
        <v>25</v>
      </c>
      <c r="G283" t="s">
        <v>26</v>
      </c>
      <c r="H283" s="14" t="str">
        <f t="shared" si="11"/>
        <v>Jun</v>
      </c>
      <c r="I283" s="15">
        <v>8905202269335</v>
      </c>
      <c r="J283" t="s">
        <v>182</v>
      </c>
      <c r="K283" t="s">
        <v>183</v>
      </c>
      <c r="L283" t="s">
        <v>184</v>
      </c>
      <c r="M283" t="s">
        <v>61</v>
      </c>
      <c r="N283">
        <v>3495</v>
      </c>
      <c r="O283">
        <v>3495</v>
      </c>
      <c r="P283">
        <v>1</v>
      </c>
      <c r="Q283">
        <v>3495</v>
      </c>
      <c r="R283">
        <v>1398</v>
      </c>
      <c r="S283">
        <v>0</v>
      </c>
      <c r="T283">
        <v>2097</v>
      </c>
      <c r="U283" t="s">
        <v>45</v>
      </c>
      <c r="V283" t="str">
        <v xml:space="preserve">Delusion Front Full Print drop shoulder oversized T shirt                     </v>
      </c>
    </row>
    <row r="284" spans="1:22" ht="19" x14ac:dyDescent="0.25">
      <c r="A284" t="s">
        <v>20</v>
      </c>
      <c r="B284" t="s">
        <v>971</v>
      </c>
      <c r="C284" t="s">
        <v>972</v>
      </c>
      <c r="D284" t="s">
        <v>23</v>
      </c>
      <c r="E284" t="s">
        <v>24</v>
      </c>
      <c r="F284" t="s">
        <v>25</v>
      </c>
      <c r="G284" t="s">
        <v>26</v>
      </c>
      <c r="H284" s="14" t="str">
        <f t="shared" si="11"/>
        <v>Jun</v>
      </c>
      <c r="I284" s="15">
        <v>8905302263380</v>
      </c>
      <c r="J284" t="s">
        <v>711</v>
      </c>
      <c r="K284" t="s">
        <v>712</v>
      </c>
      <c r="L284" t="s">
        <v>94</v>
      </c>
      <c r="M284" t="s">
        <v>44</v>
      </c>
      <c r="N284">
        <v>3999</v>
      </c>
      <c r="O284">
        <v>3999</v>
      </c>
      <c r="P284">
        <v>1</v>
      </c>
      <c r="Q284">
        <v>3999</v>
      </c>
      <c r="R284">
        <v>1599.6</v>
      </c>
      <c r="S284">
        <v>0</v>
      </c>
      <c r="T284">
        <v>2399.4</v>
      </c>
      <c r="U284" t="s">
        <v>45</v>
      </c>
      <c r="V284" t="str">
        <v>Butterfly</v>
      </c>
    </row>
    <row r="285" spans="1:22" ht="19" x14ac:dyDescent="0.25">
      <c r="A285" t="s">
        <v>62</v>
      </c>
      <c r="B285" t="s">
        <v>971</v>
      </c>
      <c r="C285" t="s">
        <v>974</v>
      </c>
      <c r="D285" t="s">
        <v>23</v>
      </c>
      <c r="E285" t="s">
        <v>24</v>
      </c>
      <c r="F285" t="s">
        <v>25</v>
      </c>
      <c r="G285" t="s">
        <v>26</v>
      </c>
      <c r="H285" s="14" t="str">
        <f t="shared" si="11"/>
        <v>Jun</v>
      </c>
      <c r="I285" s="15">
        <v>8905202264835</v>
      </c>
      <c r="J285" t="s">
        <v>552</v>
      </c>
      <c r="K285" t="s">
        <v>553</v>
      </c>
      <c r="L285" t="s">
        <v>53</v>
      </c>
      <c r="M285" t="s">
        <v>54</v>
      </c>
      <c r="N285">
        <v>3995</v>
      </c>
      <c r="O285">
        <v>3995</v>
      </c>
      <c r="P285">
        <v>1</v>
      </c>
      <c r="Q285">
        <v>3995</v>
      </c>
      <c r="R285">
        <v>1598</v>
      </c>
      <c r="S285">
        <v>0</v>
      </c>
      <c r="T285">
        <v>2397</v>
      </c>
      <c r="U285" t="s">
        <v>45</v>
      </c>
      <c r="V285" t="str">
        <v xml:space="preserve"> Psy Bear  Terry Drop Shoulder T-Shirt in Black </v>
      </c>
    </row>
    <row r="286" spans="1:22" ht="19" x14ac:dyDescent="0.25">
      <c r="A286" t="s">
        <v>62</v>
      </c>
      <c r="B286" t="s">
        <v>971</v>
      </c>
      <c r="C286" t="s">
        <v>975</v>
      </c>
      <c r="D286" t="s">
        <v>23</v>
      </c>
      <c r="E286" t="s">
        <v>24</v>
      </c>
      <c r="F286" t="s">
        <v>25</v>
      </c>
      <c r="G286" t="s">
        <v>26</v>
      </c>
      <c r="H286" s="14" t="str">
        <f t="shared" si="11"/>
        <v>Jun</v>
      </c>
      <c r="I286" s="15">
        <v>8905302263383</v>
      </c>
      <c r="J286" t="s">
        <v>976</v>
      </c>
      <c r="K286" t="s">
        <v>977</v>
      </c>
      <c r="L286" t="s">
        <v>123</v>
      </c>
      <c r="M286" t="s">
        <v>44</v>
      </c>
      <c r="N286">
        <v>3999</v>
      </c>
      <c r="O286">
        <v>3999</v>
      </c>
      <c r="P286">
        <v>1</v>
      </c>
      <c r="Q286">
        <v>3999</v>
      </c>
      <c r="R286">
        <v>1599.6</v>
      </c>
      <c r="S286">
        <v>0</v>
      </c>
      <c r="T286">
        <v>2399.4</v>
      </c>
      <c r="U286" t="s">
        <v>45</v>
      </c>
      <c r="V286" t="str">
        <v>Wild Flower</v>
      </c>
    </row>
    <row r="287" spans="1:22" ht="19" x14ac:dyDescent="0.25">
      <c r="A287" t="s">
        <v>20</v>
      </c>
      <c r="B287" t="s">
        <v>978</v>
      </c>
      <c r="C287" t="s">
        <v>984</v>
      </c>
      <c r="D287" t="s">
        <v>23</v>
      </c>
      <c r="E287" t="s">
        <v>24</v>
      </c>
      <c r="F287" t="s">
        <v>25</v>
      </c>
      <c r="G287" t="s">
        <v>34</v>
      </c>
      <c r="H287" s="14" t="str">
        <f t="shared" si="11"/>
        <v>Jun</v>
      </c>
      <c r="I287" s="15">
        <v>8905302263276</v>
      </c>
      <c r="J287" t="s">
        <v>985</v>
      </c>
      <c r="K287" t="s">
        <v>986</v>
      </c>
      <c r="L287" t="s">
        <v>450</v>
      </c>
      <c r="M287" t="s">
        <v>61</v>
      </c>
      <c r="N287">
        <v>4999</v>
      </c>
      <c r="O287">
        <v>4999</v>
      </c>
      <c r="P287">
        <v>1</v>
      </c>
      <c r="Q287">
        <v>4999</v>
      </c>
      <c r="R287">
        <v>999.8</v>
      </c>
      <c r="S287">
        <v>0</v>
      </c>
      <c r="T287">
        <v>3999.2</v>
      </c>
      <c r="U287" t="s">
        <v>45</v>
      </c>
      <c r="V287" t="str">
        <v>Cross Stich Black</v>
      </c>
    </row>
    <row r="288" spans="1:22" ht="19" x14ac:dyDescent="0.25">
      <c r="A288" t="s">
        <v>20</v>
      </c>
      <c r="B288" t="s">
        <v>978</v>
      </c>
      <c r="C288" t="s">
        <v>979</v>
      </c>
      <c r="D288" t="s">
        <v>23</v>
      </c>
      <c r="E288" t="s">
        <v>24</v>
      </c>
      <c r="F288" t="s">
        <v>25</v>
      </c>
      <c r="G288" t="s">
        <v>26</v>
      </c>
      <c r="H288" s="14" t="str">
        <f t="shared" si="11"/>
        <v>Jun</v>
      </c>
      <c r="I288" s="15">
        <v>8905202264729</v>
      </c>
      <c r="J288" t="s">
        <v>28</v>
      </c>
      <c r="K288">
        <v>8905202264729</v>
      </c>
      <c r="L288" t="s">
        <v>29</v>
      </c>
      <c r="M288" t="s">
        <v>30</v>
      </c>
      <c r="N288">
        <v>2995</v>
      </c>
      <c r="O288">
        <v>2995</v>
      </c>
      <c r="P288">
        <v>1</v>
      </c>
      <c r="Q288">
        <v>2995</v>
      </c>
      <c r="R288">
        <v>1198</v>
      </c>
      <c r="S288">
        <v>0</v>
      </c>
      <c r="T288">
        <v>1797</v>
      </c>
      <c r="U288" t="s">
        <v>55</v>
      </c>
      <c r="V288" t="str">
        <v xml:space="preserve">X Graphic Terry Free Size Tee in Black </v>
      </c>
    </row>
    <row r="289" spans="1:22" ht="19" x14ac:dyDescent="0.25">
      <c r="A289" t="s">
        <v>20</v>
      </c>
      <c r="B289" t="s">
        <v>978</v>
      </c>
      <c r="C289" t="s">
        <v>980</v>
      </c>
      <c r="D289" t="s">
        <v>23</v>
      </c>
      <c r="E289" t="s">
        <v>24</v>
      </c>
      <c r="F289" t="s">
        <v>25</v>
      </c>
      <c r="G289" t="s">
        <v>26</v>
      </c>
      <c r="H289" s="14" t="str">
        <f t="shared" si="11"/>
        <v>Jun</v>
      </c>
      <c r="I289" s="15">
        <v>8905202264941</v>
      </c>
      <c r="J289" t="s">
        <v>973</v>
      </c>
      <c r="K289">
        <v>8905202264941</v>
      </c>
      <c r="L289" t="s">
        <v>191</v>
      </c>
      <c r="M289" t="s">
        <v>61</v>
      </c>
      <c r="N289">
        <v>2495</v>
      </c>
      <c r="O289">
        <v>2495</v>
      </c>
      <c r="P289">
        <v>1</v>
      </c>
      <c r="Q289">
        <v>2495</v>
      </c>
      <c r="R289">
        <v>998</v>
      </c>
      <c r="S289">
        <v>0</v>
      </c>
      <c r="T289">
        <v>1497</v>
      </c>
      <c r="U289" t="s">
        <v>45</v>
      </c>
      <c r="V289" t="str">
        <v>Be Crazy not Clown Tshirt</v>
      </c>
    </row>
    <row r="290" spans="1:22" ht="19" x14ac:dyDescent="0.25">
      <c r="A290" t="s">
        <v>62</v>
      </c>
      <c r="B290" t="s">
        <v>978</v>
      </c>
      <c r="C290" t="s">
        <v>981</v>
      </c>
      <c r="D290" t="s">
        <v>23</v>
      </c>
      <c r="E290" t="s">
        <v>24</v>
      </c>
      <c r="F290" t="s">
        <v>25</v>
      </c>
      <c r="G290" t="s">
        <v>26</v>
      </c>
      <c r="H290" s="14" t="str">
        <f t="shared" si="11"/>
        <v>Jun</v>
      </c>
      <c r="I290" s="15">
        <v>8905202264651</v>
      </c>
      <c r="J290" t="s">
        <v>783</v>
      </c>
      <c r="K290" t="s">
        <v>784</v>
      </c>
      <c r="L290" t="s">
        <v>94</v>
      </c>
      <c r="M290" t="s">
        <v>44</v>
      </c>
      <c r="N290">
        <v>2995</v>
      </c>
      <c r="O290">
        <v>2995</v>
      </c>
      <c r="P290">
        <v>1</v>
      </c>
      <c r="Q290">
        <v>2995</v>
      </c>
      <c r="R290">
        <v>1198</v>
      </c>
      <c r="S290">
        <v>0</v>
      </c>
      <c r="T290">
        <v>1797</v>
      </c>
      <c r="U290" t="s">
        <v>45</v>
      </c>
      <c r="V290" t="str">
        <v xml:space="preserve">David full print Drop Shoulder Crew Neck T-Shirt                                                 </v>
      </c>
    </row>
    <row r="291" spans="1:22" ht="19" x14ac:dyDescent="0.25">
      <c r="A291" t="s">
        <v>62</v>
      </c>
      <c r="B291" t="s">
        <v>978</v>
      </c>
      <c r="C291" t="s">
        <v>982</v>
      </c>
      <c r="D291" t="s">
        <v>23</v>
      </c>
      <c r="E291" t="s">
        <v>136</v>
      </c>
      <c r="F291" t="s">
        <v>25</v>
      </c>
      <c r="G291" t="s">
        <v>26</v>
      </c>
      <c r="H291" s="14" t="str">
        <f t="shared" si="11"/>
        <v>Jun</v>
      </c>
      <c r="I291" s="15">
        <v>8905202269250</v>
      </c>
      <c r="J291" t="s">
        <v>139</v>
      </c>
      <c r="K291">
        <v>8905202269250</v>
      </c>
      <c r="L291" t="s">
        <v>140</v>
      </c>
      <c r="M291" t="s">
        <v>61</v>
      </c>
      <c r="N291">
        <v>1995</v>
      </c>
      <c r="O291">
        <v>1995</v>
      </c>
      <c r="P291">
        <v>1</v>
      </c>
      <c r="Q291">
        <v>1995</v>
      </c>
      <c r="R291">
        <v>798</v>
      </c>
      <c r="S291">
        <v>0</v>
      </c>
      <c r="T291">
        <v>1197</v>
      </c>
      <c r="U291" t="s">
        <v>39</v>
      </c>
      <c r="V291" t="str">
        <v>Core Crop Red</v>
      </c>
    </row>
    <row r="292" spans="1:22" ht="19" x14ac:dyDescent="0.25">
      <c r="A292" t="s">
        <v>575</v>
      </c>
      <c r="B292" t="s">
        <v>978</v>
      </c>
      <c r="C292" t="s">
        <v>987</v>
      </c>
      <c r="D292" t="s">
        <v>23</v>
      </c>
      <c r="E292" t="s">
        <v>24</v>
      </c>
      <c r="F292" t="s">
        <v>25</v>
      </c>
      <c r="G292" t="s">
        <v>26</v>
      </c>
      <c r="H292" s="14" t="str">
        <f t="shared" si="11"/>
        <v>Jun</v>
      </c>
      <c r="I292" s="15">
        <v>8905202264705</v>
      </c>
      <c r="J292" t="s">
        <v>438</v>
      </c>
      <c r="K292" t="s">
        <v>437</v>
      </c>
      <c r="L292" t="s">
        <v>436</v>
      </c>
      <c r="M292" t="s">
        <v>30</v>
      </c>
      <c r="N292">
        <v>3495</v>
      </c>
      <c r="O292">
        <v>3495</v>
      </c>
      <c r="P292">
        <v>1</v>
      </c>
      <c r="Q292">
        <v>3495</v>
      </c>
      <c r="R292">
        <v>1398</v>
      </c>
      <c r="S292">
        <v>0</v>
      </c>
      <c r="T292">
        <v>2097</v>
      </c>
      <c r="U292" t="s">
        <v>45</v>
      </c>
      <c r="V292" t="str">
        <v>Mosquito Embroidered Terry Free Size Tee in White</v>
      </c>
    </row>
    <row r="293" spans="1:22" ht="19" x14ac:dyDescent="0.25">
      <c r="A293" t="s">
        <v>575</v>
      </c>
      <c r="B293" t="s">
        <v>978</v>
      </c>
      <c r="C293" t="s">
        <v>987</v>
      </c>
      <c r="D293" t="s">
        <v>23</v>
      </c>
      <c r="E293" t="s">
        <v>24</v>
      </c>
      <c r="F293" t="s">
        <v>25</v>
      </c>
      <c r="G293" t="s">
        <v>26</v>
      </c>
      <c r="H293" s="14" t="str">
        <f t="shared" si="11"/>
        <v>Jun</v>
      </c>
      <c r="I293" s="15">
        <v>8905202264712</v>
      </c>
      <c r="J293" t="s">
        <v>670</v>
      </c>
      <c r="K293" t="s">
        <v>671</v>
      </c>
      <c r="L293" t="s">
        <v>29</v>
      </c>
      <c r="M293" t="s">
        <v>30</v>
      </c>
      <c r="N293">
        <v>3495</v>
      </c>
      <c r="O293">
        <v>3495</v>
      </c>
      <c r="P293">
        <v>1</v>
      </c>
      <c r="Q293">
        <v>3495</v>
      </c>
      <c r="R293">
        <v>1398</v>
      </c>
      <c r="S293">
        <v>0</v>
      </c>
      <c r="T293">
        <v>2097</v>
      </c>
      <c r="U293" t="s">
        <v>45</v>
      </c>
      <c r="V293" t="str">
        <v>Grumpy Face Embroidered Terry Free Size Tee in Black</v>
      </c>
    </row>
    <row r="294" spans="1:22" ht="19" x14ac:dyDescent="0.25">
      <c r="A294" t="s">
        <v>575</v>
      </c>
      <c r="B294" t="s">
        <v>978</v>
      </c>
      <c r="C294" t="s">
        <v>135</v>
      </c>
      <c r="D294" t="s">
        <v>23</v>
      </c>
      <c r="E294" t="s">
        <v>24</v>
      </c>
      <c r="F294" t="s">
        <v>25</v>
      </c>
      <c r="G294" t="s">
        <v>26</v>
      </c>
      <c r="H294" s="14" t="str">
        <f t="shared" si="11"/>
        <v>Jun</v>
      </c>
      <c r="I294" s="15">
        <v>8905202264866</v>
      </c>
      <c r="J294" t="s">
        <v>147</v>
      </c>
      <c r="K294" t="s">
        <v>148</v>
      </c>
      <c r="L294" t="s">
        <v>149</v>
      </c>
      <c r="M294" t="s">
        <v>38</v>
      </c>
      <c r="N294">
        <v>3995</v>
      </c>
      <c r="O294">
        <v>3995</v>
      </c>
      <c r="P294">
        <v>1</v>
      </c>
      <c r="Q294">
        <v>3995</v>
      </c>
      <c r="R294">
        <v>1598</v>
      </c>
      <c r="S294">
        <v>0</v>
      </c>
      <c r="T294">
        <v>2397</v>
      </c>
      <c r="U294" t="s">
        <v>45</v>
      </c>
      <c r="V294" t="str">
        <v xml:space="preserve"> Psy Bear  Terry Drop Shoulder T-Shirt in Black </v>
      </c>
    </row>
    <row r="295" spans="1:22" ht="19" x14ac:dyDescent="0.25">
      <c r="A295" t="s">
        <v>575</v>
      </c>
      <c r="B295" t="s">
        <v>978</v>
      </c>
      <c r="C295" t="s">
        <v>135</v>
      </c>
      <c r="D295" t="s">
        <v>23</v>
      </c>
      <c r="E295" t="s">
        <v>24</v>
      </c>
      <c r="F295" t="s">
        <v>25</v>
      </c>
      <c r="G295" t="s">
        <v>26</v>
      </c>
      <c r="H295" s="14" t="str">
        <f t="shared" si="11"/>
        <v>Jun</v>
      </c>
      <c r="I295" s="15">
        <v>8905202264910</v>
      </c>
      <c r="J295" t="s">
        <v>85</v>
      </c>
      <c r="K295" t="s">
        <v>86</v>
      </c>
      <c r="L295" t="s">
        <v>87</v>
      </c>
      <c r="M295" t="s">
        <v>38</v>
      </c>
      <c r="N295">
        <v>2995</v>
      </c>
      <c r="O295">
        <v>2995</v>
      </c>
      <c r="P295">
        <v>1</v>
      </c>
      <c r="Q295">
        <v>2995</v>
      </c>
      <c r="R295">
        <v>1198</v>
      </c>
      <c r="S295">
        <v>0</v>
      </c>
      <c r="T295">
        <v>1797</v>
      </c>
      <c r="U295" t="s">
        <v>45</v>
      </c>
      <c r="V295" t="str">
        <v xml:space="preserve">Stamp Tshirt in Blue </v>
      </c>
    </row>
    <row r="296" spans="1:22" ht="19" x14ac:dyDescent="0.25">
      <c r="A296" t="s">
        <v>575</v>
      </c>
      <c r="B296" t="s">
        <v>978</v>
      </c>
      <c r="C296" t="s">
        <v>135</v>
      </c>
      <c r="D296" t="s">
        <v>23</v>
      </c>
      <c r="E296" t="s">
        <v>24</v>
      </c>
      <c r="F296" t="s">
        <v>25</v>
      </c>
      <c r="G296" t="s">
        <v>26</v>
      </c>
      <c r="H296" s="14" t="str">
        <f t="shared" si="11"/>
        <v>Jun</v>
      </c>
      <c r="I296" s="15">
        <v>8905202265023</v>
      </c>
      <c r="J296" t="s">
        <v>983</v>
      </c>
      <c r="K296">
        <v>8905202265023</v>
      </c>
      <c r="L296" t="s">
        <v>144</v>
      </c>
      <c r="M296" t="s">
        <v>44</v>
      </c>
      <c r="N296">
        <v>2995</v>
      </c>
      <c r="O296">
        <v>2995</v>
      </c>
      <c r="P296">
        <v>1</v>
      </c>
      <c r="Q296">
        <v>2995</v>
      </c>
      <c r="R296">
        <v>1198</v>
      </c>
      <c r="S296">
        <v>0</v>
      </c>
      <c r="T296">
        <v>1797</v>
      </c>
      <c r="U296" t="s">
        <v>45</v>
      </c>
      <c r="V296" t="str">
        <v xml:space="preserve"> Ballet Queen Drop Shoulder T-Shirt in White</v>
      </c>
    </row>
    <row r="297" spans="1:22" ht="19" x14ac:dyDescent="0.25">
      <c r="A297" t="s">
        <v>20</v>
      </c>
      <c r="B297" t="s">
        <v>988</v>
      </c>
      <c r="C297" t="s">
        <v>989</v>
      </c>
      <c r="D297" t="s">
        <v>23</v>
      </c>
      <c r="E297" t="s">
        <v>24</v>
      </c>
      <c r="F297" t="s">
        <v>25</v>
      </c>
      <c r="G297" t="s">
        <v>26</v>
      </c>
      <c r="H297" s="14" t="str">
        <f t="shared" si="11"/>
        <v>Jun</v>
      </c>
      <c r="I297" s="15">
        <v>8905302263373</v>
      </c>
      <c r="J297" t="s">
        <v>990</v>
      </c>
      <c r="K297" t="s">
        <v>991</v>
      </c>
      <c r="L297" t="s">
        <v>60</v>
      </c>
      <c r="M297" t="s">
        <v>61</v>
      </c>
      <c r="N297">
        <v>3999</v>
      </c>
      <c r="O297">
        <v>3999</v>
      </c>
      <c r="P297">
        <v>1</v>
      </c>
      <c r="Q297">
        <v>3999</v>
      </c>
      <c r="R297">
        <v>1599.6</v>
      </c>
      <c r="S297">
        <v>0</v>
      </c>
      <c r="T297">
        <v>2399.4</v>
      </c>
      <c r="U297" t="s">
        <v>50</v>
      </c>
      <c r="V297" t="str">
        <v>Art &amp; Artist</v>
      </c>
    </row>
    <row r="298" spans="1:22" ht="19" x14ac:dyDescent="0.25">
      <c r="A298" t="s">
        <v>20</v>
      </c>
      <c r="B298" t="s">
        <v>988</v>
      </c>
      <c r="C298" t="s">
        <v>992</v>
      </c>
      <c r="D298" t="s">
        <v>23</v>
      </c>
      <c r="E298" t="s">
        <v>24</v>
      </c>
      <c r="F298" t="s">
        <v>25</v>
      </c>
      <c r="G298" t="s">
        <v>26</v>
      </c>
      <c r="H298" s="14" t="str">
        <f t="shared" si="11"/>
        <v>Jun</v>
      </c>
      <c r="I298" s="15">
        <v>8905302263374</v>
      </c>
      <c r="J298" t="s">
        <v>993</v>
      </c>
      <c r="K298" t="s">
        <v>994</v>
      </c>
      <c r="L298" t="s">
        <v>94</v>
      </c>
      <c r="M298" t="s">
        <v>44</v>
      </c>
      <c r="N298">
        <v>3999</v>
      </c>
      <c r="O298">
        <v>3999</v>
      </c>
      <c r="P298">
        <v>1</v>
      </c>
      <c r="Q298">
        <v>3999</v>
      </c>
      <c r="R298">
        <v>1599.6</v>
      </c>
      <c r="S298">
        <v>0</v>
      </c>
      <c r="T298">
        <v>2399.4</v>
      </c>
      <c r="U298" t="s">
        <v>55</v>
      </c>
      <c r="V298" t="str">
        <v>Art &amp; Artist</v>
      </c>
    </row>
    <row r="299" spans="1:22" ht="19" x14ac:dyDescent="0.25">
      <c r="A299" t="s">
        <v>20</v>
      </c>
      <c r="B299" t="s">
        <v>988</v>
      </c>
      <c r="C299" t="s">
        <v>995</v>
      </c>
      <c r="D299" t="s">
        <v>23</v>
      </c>
      <c r="E299" t="s">
        <v>24</v>
      </c>
      <c r="F299" t="s">
        <v>25</v>
      </c>
      <c r="G299" t="s">
        <v>34</v>
      </c>
      <c r="H299" s="14" t="str">
        <f t="shared" si="11"/>
        <v>Jun</v>
      </c>
      <c r="I299" s="15">
        <v>8905302263284</v>
      </c>
      <c r="J299" t="s">
        <v>996</v>
      </c>
      <c r="K299" t="s">
        <v>997</v>
      </c>
      <c r="L299" t="s">
        <v>998</v>
      </c>
      <c r="M299" t="s">
        <v>54</v>
      </c>
      <c r="N299">
        <v>5999</v>
      </c>
      <c r="O299">
        <v>5999</v>
      </c>
      <c r="P299">
        <v>1</v>
      </c>
      <c r="Q299">
        <v>5999</v>
      </c>
      <c r="R299">
        <v>1199.8</v>
      </c>
      <c r="S299">
        <v>174.54</v>
      </c>
      <c r="T299">
        <v>4624.66</v>
      </c>
      <c r="U299" t="s">
        <v>259</v>
      </c>
      <c r="V299" t="str">
        <v>Mushroom Red</v>
      </c>
    </row>
    <row r="300" spans="1:22" ht="19" x14ac:dyDescent="0.25">
      <c r="A300" t="s">
        <v>20</v>
      </c>
      <c r="B300" t="s">
        <v>988</v>
      </c>
      <c r="C300" t="s">
        <v>999</v>
      </c>
      <c r="D300" t="s">
        <v>23</v>
      </c>
      <c r="E300" t="s">
        <v>24</v>
      </c>
      <c r="F300" t="s">
        <v>25</v>
      </c>
      <c r="G300" t="s">
        <v>26</v>
      </c>
      <c r="H300" s="14" t="str">
        <f t="shared" si="11"/>
        <v>Jun</v>
      </c>
      <c r="I300" s="15">
        <v>8905302263380</v>
      </c>
      <c r="J300" t="s">
        <v>711</v>
      </c>
      <c r="K300" t="s">
        <v>712</v>
      </c>
      <c r="L300" t="s">
        <v>94</v>
      </c>
      <c r="M300" t="s">
        <v>44</v>
      </c>
      <c r="N300">
        <v>3999</v>
      </c>
      <c r="O300">
        <v>3999</v>
      </c>
      <c r="P300">
        <v>1</v>
      </c>
      <c r="Q300">
        <v>3999</v>
      </c>
      <c r="R300">
        <v>1599.6</v>
      </c>
      <c r="S300">
        <v>0</v>
      </c>
      <c r="T300">
        <v>2399.4</v>
      </c>
      <c r="U300" t="s">
        <v>45</v>
      </c>
      <c r="V300" t="str">
        <v>Butterfly</v>
      </c>
    </row>
    <row r="301" spans="1:22" ht="19" x14ac:dyDescent="0.25">
      <c r="A301" t="s">
        <v>62</v>
      </c>
      <c r="B301" t="s">
        <v>988</v>
      </c>
      <c r="C301" t="s">
        <v>1000</v>
      </c>
      <c r="D301" t="s">
        <v>23</v>
      </c>
      <c r="E301" t="s">
        <v>24</v>
      </c>
      <c r="F301" t="s">
        <v>25</v>
      </c>
      <c r="G301" t="s">
        <v>26</v>
      </c>
      <c r="H301" s="14" t="str">
        <f t="shared" si="11"/>
        <v>Jun</v>
      </c>
      <c r="I301" s="15">
        <v>8905202264729</v>
      </c>
      <c r="J301" t="s">
        <v>28</v>
      </c>
      <c r="K301">
        <v>8905202264729</v>
      </c>
      <c r="L301" t="s">
        <v>29</v>
      </c>
      <c r="M301" t="s">
        <v>30</v>
      </c>
      <c r="N301">
        <v>2995</v>
      </c>
      <c r="O301">
        <v>2995</v>
      </c>
      <c r="P301">
        <v>1</v>
      </c>
      <c r="Q301">
        <v>2995</v>
      </c>
      <c r="R301">
        <v>1198</v>
      </c>
      <c r="S301">
        <v>0</v>
      </c>
      <c r="T301">
        <v>1797</v>
      </c>
      <c r="U301" t="s">
        <v>45</v>
      </c>
      <c r="V301" t="str">
        <v xml:space="preserve">X Graphic Terry Free Size Tee in Black </v>
      </c>
    </row>
    <row r="302" spans="1:22" ht="19" x14ac:dyDescent="0.25">
      <c r="A302" t="s">
        <v>62</v>
      </c>
      <c r="B302" t="s">
        <v>988</v>
      </c>
      <c r="C302" t="s">
        <v>1001</v>
      </c>
      <c r="D302" t="s">
        <v>23</v>
      </c>
      <c r="E302" t="s">
        <v>24</v>
      </c>
      <c r="F302" t="s">
        <v>25</v>
      </c>
      <c r="G302" t="s">
        <v>26</v>
      </c>
      <c r="H302" s="14" t="str">
        <f t="shared" si="11"/>
        <v>Jun</v>
      </c>
      <c r="I302" s="15">
        <v>8905202264729</v>
      </c>
      <c r="J302" t="s">
        <v>28</v>
      </c>
      <c r="K302">
        <v>8905202264729</v>
      </c>
      <c r="L302" t="s">
        <v>29</v>
      </c>
      <c r="M302" t="s">
        <v>30</v>
      </c>
      <c r="N302">
        <v>2995</v>
      </c>
      <c r="O302">
        <v>2995</v>
      </c>
      <c r="P302">
        <v>1</v>
      </c>
      <c r="Q302">
        <v>2995</v>
      </c>
      <c r="R302">
        <v>1198</v>
      </c>
      <c r="S302">
        <v>0</v>
      </c>
      <c r="T302">
        <v>1797</v>
      </c>
      <c r="U302" t="s">
        <v>45</v>
      </c>
      <c r="V302" t="str">
        <v xml:space="preserve">X Graphic Terry Free Size Tee in Black </v>
      </c>
    </row>
    <row r="303" spans="1:22" ht="19" x14ac:dyDescent="0.25">
      <c r="A303" t="s">
        <v>62</v>
      </c>
      <c r="B303" t="s">
        <v>988</v>
      </c>
      <c r="C303" t="s">
        <v>1002</v>
      </c>
      <c r="D303" t="s">
        <v>23</v>
      </c>
      <c r="E303" t="s">
        <v>24</v>
      </c>
      <c r="F303" t="s">
        <v>64</v>
      </c>
      <c r="G303" t="s">
        <v>65</v>
      </c>
      <c r="H303" s="14" t="str">
        <f t="shared" si="11"/>
        <v>Jun</v>
      </c>
      <c r="I303" s="15">
        <v>8905302263405</v>
      </c>
      <c r="J303" t="s">
        <v>1003</v>
      </c>
      <c r="K303" t="s">
        <v>1004</v>
      </c>
      <c r="L303" t="s">
        <v>1005</v>
      </c>
      <c r="M303" t="s">
        <v>61</v>
      </c>
      <c r="N303">
        <v>6999</v>
      </c>
      <c r="O303">
        <v>6999</v>
      </c>
      <c r="P303">
        <v>1</v>
      </c>
      <c r="Q303">
        <v>6999</v>
      </c>
      <c r="R303">
        <v>2099.6999999999998</v>
      </c>
      <c r="S303">
        <v>0</v>
      </c>
      <c r="T303">
        <v>4899.3</v>
      </c>
      <c r="U303" t="s">
        <v>1006</v>
      </c>
      <c r="V303" t="str">
        <v>Black Dart Denim</v>
      </c>
    </row>
    <row r="304" spans="1:22" ht="19" x14ac:dyDescent="0.25">
      <c r="A304" t="s">
        <v>62</v>
      </c>
      <c r="B304" t="s">
        <v>988</v>
      </c>
      <c r="C304" t="s">
        <v>1007</v>
      </c>
      <c r="D304" t="s">
        <v>23</v>
      </c>
      <c r="E304" t="s">
        <v>24</v>
      </c>
      <c r="F304" t="s">
        <v>25</v>
      </c>
      <c r="G304" t="s">
        <v>26</v>
      </c>
      <c r="H304" s="14" t="str">
        <f t="shared" si="11"/>
        <v>Jun</v>
      </c>
      <c r="I304" s="15">
        <v>8905302263379</v>
      </c>
      <c r="J304" t="s">
        <v>737</v>
      </c>
      <c r="K304" t="s">
        <v>738</v>
      </c>
      <c r="L304" t="s">
        <v>60</v>
      </c>
      <c r="M304" t="s">
        <v>61</v>
      </c>
      <c r="N304">
        <v>3999</v>
      </c>
      <c r="O304">
        <v>3999</v>
      </c>
      <c r="P304">
        <v>1</v>
      </c>
      <c r="Q304">
        <v>3999</v>
      </c>
      <c r="R304">
        <v>1599.6</v>
      </c>
      <c r="S304">
        <v>0</v>
      </c>
      <c r="T304">
        <v>2399.4</v>
      </c>
      <c r="U304" t="s">
        <v>45</v>
      </c>
      <c r="V304" t="str">
        <v>Butterfly</v>
      </c>
    </row>
    <row r="305" spans="1:22" ht="19" x14ac:dyDescent="0.25">
      <c r="A305" t="s">
        <v>575</v>
      </c>
      <c r="B305" t="s">
        <v>988</v>
      </c>
      <c r="C305" t="s">
        <v>1008</v>
      </c>
      <c r="D305" t="s">
        <v>23</v>
      </c>
      <c r="E305" t="s">
        <v>24</v>
      </c>
      <c r="F305" t="s">
        <v>25</v>
      </c>
      <c r="G305" t="s">
        <v>34</v>
      </c>
      <c r="H305" s="14" t="str">
        <f t="shared" si="11"/>
        <v>Jun</v>
      </c>
      <c r="I305" s="15">
        <v>8905302263350</v>
      </c>
      <c r="J305" t="s">
        <v>1009</v>
      </c>
      <c r="K305" t="s">
        <v>1010</v>
      </c>
      <c r="L305" t="s">
        <v>736</v>
      </c>
      <c r="M305" t="s">
        <v>54</v>
      </c>
      <c r="N305">
        <v>5999</v>
      </c>
      <c r="O305">
        <v>5999</v>
      </c>
      <c r="P305">
        <v>1</v>
      </c>
      <c r="Q305">
        <v>5999</v>
      </c>
      <c r="R305">
        <v>0</v>
      </c>
      <c r="S305">
        <v>0</v>
      </c>
      <c r="T305">
        <v>5999</v>
      </c>
      <c r="U305" t="s">
        <v>55</v>
      </c>
      <c r="V305" t="str">
        <v>Bad Habits</v>
      </c>
    </row>
    <row r="306" spans="1:22" ht="19" x14ac:dyDescent="0.25">
      <c r="A306" t="s">
        <v>575</v>
      </c>
      <c r="B306" t="s">
        <v>988</v>
      </c>
      <c r="C306" t="s">
        <v>1008</v>
      </c>
      <c r="D306" t="s">
        <v>23</v>
      </c>
      <c r="E306" t="s">
        <v>24</v>
      </c>
      <c r="F306" t="s">
        <v>25</v>
      </c>
      <c r="G306" t="s">
        <v>34</v>
      </c>
      <c r="H306" s="14" t="str">
        <f t="shared" si="11"/>
        <v>Jun</v>
      </c>
      <c r="I306" s="15">
        <v>8905302263389</v>
      </c>
      <c r="J306" t="s">
        <v>1011</v>
      </c>
      <c r="K306" t="s">
        <v>1012</v>
      </c>
      <c r="L306" t="s">
        <v>667</v>
      </c>
      <c r="M306" t="s">
        <v>54</v>
      </c>
      <c r="N306">
        <v>4999</v>
      </c>
      <c r="O306">
        <v>4999</v>
      </c>
      <c r="P306">
        <v>1</v>
      </c>
      <c r="Q306">
        <v>4999</v>
      </c>
      <c r="R306">
        <v>999.8</v>
      </c>
      <c r="S306">
        <v>0</v>
      </c>
      <c r="T306">
        <v>3999.2</v>
      </c>
      <c r="U306" t="s">
        <v>55</v>
      </c>
      <c r="V306" t="str">
        <v>Victory Stripe Blue</v>
      </c>
    </row>
    <row r="307" spans="1:22" ht="19" x14ac:dyDescent="0.25">
      <c r="A307" t="s">
        <v>575</v>
      </c>
      <c r="B307" t="s">
        <v>988</v>
      </c>
      <c r="C307" t="s">
        <v>1013</v>
      </c>
      <c r="D307" t="s">
        <v>23</v>
      </c>
      <c r="E307" t="s">
        <v>24</v>
      </c>
      <c r="F307" t="s">
        <v>25</v>
      </c>
      <c r="G307" t="s">
        <v>34</v>
      </c>
      <c r="H307" s="14" t="str">
        <f t="shared" si="11"/>
        <v>Jun</v>
      </c>
      <c r="I307" s="15">
        <v>8905302263330</v>
      </c>
      <c r="J307" t="s">
        <v>706</v>
      </c>
      <c r="K307" t="s">
        <v>707</v>
      </c>
      <c r="L307" t="s">
        <v>708</v>
      </c>
      <c r="M307" t="s">
        <v>44</v>
      </c>
      <c r="N307">
        <v>4999</v>
      </c>
      <c r="O307">
        <v>4999</v>
      </c>
      <c r="P307">
        <v>1</v>
      </c>
      <c r="Q307">
        <v>4999</v>
      </c>
      <c r="R307">
        <v>999.8</v>
      </c>
      <c r="S307">
        <v>0</v>
      </c>
      <c r="T307">
        <v>3999.2</v>
      </c>
      <c r="U307" t="s">
        <v>55</v>
      </c>
      <c r="V307" t="str">
        <v>Orange Micro Check</v>
      </c>
    </row>
    <row r="308" spans="1:22" ht="19" x14ac:dyDescent="0.25">
      <c r="A308" t="s">
        <v>575</v>
      </c>
      <c r="B308" t="s">
        <v>988</v>
      </c>
      <c r="C308" t="s">
        <v>135</v>
      </c>
      <c r="D308" t="s">
        <v>23</v>
      </c>
      <c r="E308" t="s">
        <v>24</v>
      </c>
      <c r="F308" t="s">
        <v>64</v>
      </c>
      <c r="G308" t="s">
        <v>65</v>
      </c>
      <c r="H308" s="14" t="str">
        <f t="shared" si="11"/>
        <v>Jun</v>
      </c>
      <c r="I308" s="15">
        <v>8905302263364</v>
      </c>
      <c r="J308" t="s">
        <v>900</v>
      </c>
      <c r="K308" t="s">
        <v>901</v>
      </c>
      <c r="L308" t="s">
        <v>694</v>
      </c>
      <c r="M308" t="s">
        <v>38</v>
      </c>
      <c r="N308">
        <v>7999</v>
      </c>
      <c r="O308">
        <v>7999</v>
      </c>
      <c r="P308">
        <v>1</v>
      </c>
      <c r="Q308">
        <v>7999</v>
      </c>
      <c r="R308">
        <v>2399.6999999999998</v>
      </c>
      <c r="S308">
        <v>0</v>
      </c>
      <c r="T308">
        <v>5599.3</v>
      </c>
      <c r="U308" t="s">
        <v>254</v>
      </c>
      <c r="V308" t="str">
        <v>Black Paint Splash</v>
      </c>
    </row>
    <row r="309" spans="1:22" ht="19" x14ac:dyDescent="0.25">
      <c r="A309" t="s">
        <v>20</v>
      </c>
      <c r="B309" t="s">
        <v>1014</v>
      </c>
      <c r="C309" t="s">
        <v>972</v>
      </c>
      <c r="D309" t="s">
        <v>23</v>
      </c>
      <c r="E309" t="s">
        <v>24</v>
      </c>
      <c r="F309" t="s">
        <v>64</v>
      </c>
      <c r="G309" t="s">
        <v>65</v>
      </c>
      <c r="H309" s="14" t="str">
        <f t="shared" si="11"/>
        <v>Jun</v>
      </c>
      <c r="I309" s="15">
        <v>8905302263393</v>
      </c>
      <c r="J309" t="s">
        <v>1015</v>
      </c>
      <c r="K309" t="s">
        <v>1016</v>
      </c>
      <c r="L309" t="s">
        <v>1017</v>
      </c>
      <c r="M309" t="s">
        <v>44</v>
      </c>
      <c r="N309">
        <v>6999</v>
      </c>
      <c r="O309">
        <v>6999</v>
      </c>
      <c r="P309">
        <v>1</v>
      </c>
      <c r="Q309">
        <v>6999</v>
      </c>
      <c r="R309">
        <v>2099.6999999999998</v>
      </c>
      <c r="S309">
        <v>0</v>
      </c>
      <c r="T309">
        <v>4899.3</v>
      </c>
      <c r="U309" t="s">
        <v>1018</v>
      </c>
      <c r="V309" t="str">
        <v xml:space="preserve">Blue Baggy Jeans </v>
      </c>
    </row>
    <row r="310" spans="1:22" ht="19" x14ac:dyDescent="0.25">
      <c r="A310" t="s">
        <v>62</v>
      </c>
      <c r="B310" t="s">
        <v>1014</v>
      </c>
      <c r="C310" t="s">
        <v>1019</v>
      </c>
      <c r="D310" t="s">
        <v>23</v>
      </c>
      <c r="E310" t="s">
        <v>24</v>
      </c>
      <c r="F310" t="s">
        <v>64</v>
      </c>
      <c r="G310" t="s">
        <v>294</v>
      </c>
      <c r="H310" s="14" t="str">
        <f t="shared" si="11"/>
        <v>Jun</v>
      </c>
      <c r="I310" s="15">
        <v>8905302263218</v>
      </c>
      <c r="J310" t="s">
        <v>916</v>
      </c>
      <c r="K310" t="s">
        <v>917</v>
      </c>
      <c r="L310" t="s">
        <v>918</v>
      </c>
      <c r="M310" t="s">
        <v>84</v>
      </c>
      <c r="N310">
        <v>4999</v>
      </c>
      <c r="O310">
        <v>4999</v>
      </c>
      <c r="P310">
        <v>1</v>
      </c>
      <c r="Q310">
        <v>4999</v>
      </c>
      <c r="R310">
        <v>1999.6</v>
      </c>
      <c r="S310">
        <v>0</v>
      </c>
      <c r="T310">
        <v>2999.4</v>
      </c>
      <c r="U310" t="s">
        <v>50</v>
      </c>
      <c r="V310" t="str">
        <v>Denim Shorts Black</v>
      </c>
    </row>
    <row r="311" spans="1:22" ht="19" x14ac:dyDescent="0.25">
      <c r="A311" t="s">
        <v>62</v>
      </c>
      <c r="B311" t="s">
        <v>1014</v>
      </c>
      <c r="C311" t="s">
        <v>1019</v>
      </c>
      <c r="D311" t="s">
        <v>23</v>
      </c>
      <c r="E311" t="s">
        <v>24</v>
      </c>
      <c r="F311" t="s">
        <v>64</v>
      </c>
      <c r="G311" t="s">
        <v>294</v>
      </c>
      <c r="H311" s="14" t="str">
        <f t="shared" si="11"/>
        <v>Jun</v>
      </c>
      <c r="I311" s="15">
        <v>8905302263223</v>
      </c>
      <c r="J311" t="s">
        <v>1020</v>
      </c>
      <c r="K311" t="s">
        <v>1021</v>
      </c>
      <c r="L311" t="s">
        <v>1022</v>
      </c>
      <c r="M311" t="s">
        <v>84</v>
      </c>
      <c r="N311">
        <v>4999</v>
      </c>
      <c r="O311">
        <v>4999</v>
      </c>
      <c r="P311">
        <v>1</v>
      </c>
      <c r="Q311">
        <v>4999</v>
      </c>
      <c r="R311">
        <v>1999.6</v>
      </c>
      <c r="S311">
        <v>0</v>
      </c>
      <c r="T311">
        <v>2999.4</v>
      </c>
      <c r="U311" t="s">
        <v>50</v>
      </c>
      <c r="V311" t="str">
        <v>Denim Shorts Blue</v>
      </c>
    </row>
    <row r="312" spans="1:22" ht="19" x14ac:dyDescent="0.25">
      <c r="A312" t="s">
        <v>62</v>
      </c>
      <c r="B312" t="s">
        <v>1014</v>
      </c>
      <c r="C312" t="s">
        <v>1023</v>
      </c>
      <c r="D312" t="s">
        <v>23</v>
      </c>
      <c r="E312" t="s">
        <v>24</v>
      </c>
      <c r="F312" t="s">
        <v>25</v>
      </c>
      <c r="G312" t="s">
        <v>26</v>
      </c>
      <c r="H312" s="14" t="str">
        <f t="shared" si="11"/>
        <v>Jun</v>
      </c>
      <c r="I312" s="15">
        <v>8905202264903</v>
      </c>
      <c r="J312" t="s">
        <v>1024</v>
      </c>
      <c r="K312" t="s">
        <v>1025</v>
      </c>
      <c r="L312" t="s">
        <v>1026</v>
      </c>
      <c r="M312" t="s">
        <v>84</v>
      </c>
      <c r="N312">
        <v>2995</v>
      </c>
      <c r="O312">
        <v>2995</v>
      </c>
      <c r="P312">
        <v>1</v>
      </c>
      <c r="Q312">
        <v>2995</v>
      </c>
      <c r="R312">
        <v>1198</v>
      </c>
      <c r="S312">
        <v>0</v>
      </c>
      <c r="T312">
        <v>1797</v>
      </c>
      <c r="U312" t="s">
        <v>50</v>
      </c>
      <c r="V312" t="str">
        <v xml:space="preserve">Stamp Tshirt in Blue </v>
      </c>
    </row>
    <row r="313" spans="1:22" ht="19" x14ac:dyDescent="0.25">
      <c r="A313" t="s">
        <v>62</v>
      </c>
      <c r="B313" t="s">
        <v>1014</v>
      </c>
      <c r="C313" t="s">
        <v>1027</v>
      </c>
      <c r="D313" t="s">
        <v>23</v>
      </c>
      <c r="E313" t="s">
        <v>24</v>
      </c>
      <c r="F313" t="s">
        <v>25</v>
      </c>
      <c r="G313" t="s">
        <v>34</v>
      </c>
      <c r="H313" s="14" t="str">
        <f t="shared" si="11"/>
        <v>Jun</v>
      </c>
      <c r="I313" s="15">
        <v>8905302263295</v>
      </c>
      <c r="J313" t="s">
        <v>1028</v>
      </c>
      <c r="K313" t="s">
        <v>1029</v>
      </c>
      <c r="L313" t="s">
        <v>829</v>
      </c>
      <c r="M313" t="s">
        <v>61</v>
      </c>
      <c r="N313">
        <v>6999</v>
      </c>
      <c r="O313">
        <v>6999</v>
      </c>
      <c r="P313">
        <v>1</v>
      </c>
      <c r="Q313">
        <v>6999</v>
      </c>
      <c r="R313">
        <v>1399.8</v>
      </c>
      <c r="S313">
        <v>0</v>
      </c>
      <c r="T313">
        <v>5599.2</v>
      </c>
      <c r="U313" t="s">
        <v>55</v>
      </c>
      <c r="V313" t="str">
        <v>Linen Sky</v>
      </c>
    </row>
    <row r="314" spans="1:22" ht="19" x14ac:dyDescent="0.25">
      <c r="A314" t="s">
        <v>575</v>
      </c>
      <c r="B314" t="s">
        <v>1014</v>
      </c>
      <c r="C314" t="s">
        <v>1030</v>
      </c>
      <c r="D314" t="s">
        <v>23</v>
      </c>
      <c r="E314" t="s">
        <v>24</v>
      </c>
      <c r="F314" t="s">
        <v>25</v>
      </c>
      <c r="G314" t="s">
        <v>26</v>
      </c>
      <c r="H314" s="14" t="str">
        <f t="shared" si="11"/>
        <v>Jun</v>
      </c>
      <c r="I314" s="15">
        <v>8905202264705</v>
      </c>
      <c r="J314" t="s">
        <v>438</v>
      </c>
      <c r="K314" t="s">
        <v>437</v>
      </c>
      <c r="L314" t="s">
        <v>436</v>
      </c>
      <c r="M314" t="s">
        <v>30</v>
      </c>
      <c r="N314">
        <v>3495</v>
      </c>
      <c r="O314">
        <v>3495</v>
      </c>
      <c r="P314">
        <v>1</v>
      </c>
      <c r="Q314">
        <v>3495</v>
      </c>
      <c r="R314">
        <v>1398</v>
      </c>
      <c r="S314">
        <v>0</v>
      </c>
      <c r="T314">
        <v>2097</v>
      </c>
      <c r="U314" t="s">
        <v>259</v>
      </c>
      <c r="V314" t="str">
        <v>Mosquito Embroidered Terry Free Size Tee in White</v>
      </c>
    </row>
    <row r="315" spans="1:22" ht="19" x14ac:dyDescent="0.25">
      <c r="A315" t="s">
        <v>62</v>
      </c>
      <c r="B315" t="s">
        <v>1031</v>
      </c>
      <c r="C315" t="s">
        <v>1032</v>
      </c>
      <c r="D315" t="s">
        <v>23</v>
      </c>
      <c r="E315" t="s">
        <v>24</v>
      </c>
      <c r="F315" t="s">
        <v>25</v>
      </c>
      <c r="G315" t="s">
        <v>26</v>
      </c>
      <c r="H315" s="14" t="str">
        <f t="shared" si="11"/>
        <v>Jun</v>
      </c>
      <c r="I315" s="15">
        <v>8905202269106</v>
      </c>
      <c r="J315" t="s">
        <v>47</v>
      </c>
      <c r="K315" t="s">
        <v>48</v>
      </c>
      <c r="L315" t="s">
        <v>49</v>
      </c>
      <c r="M315" t="s">
        <v>38</v>
      </c>
      <c r="N315">
        <v>3495</v>
      </c>
      <c r="O315">
        <v>3495</v>
      </c>
      <c r="P315">
        <v>1</v>
      </c>
      <c r="Q315">
        <v>3495</v>
      </c>
      <c r="R315">
        <v>1398</v>
      </c>
      <c r="S315">
        <v>0</v>
      </c>
      <c r="T315">
        <v>2097</v>
      </c>
      <c r="U315" t="s">
        <v>45</v>
      </c>
      <c r="V315" t="str">
        <v>MENS  Oversized  T-Shirt London</v>
      </c>
    </row>
    <row r="316" spans="1:22" ht="19" x14ac:dyDescent="0.25">
      <c r="A316" t="s">
        <v>62</v>
      </c>
      <c r="B316" t="s">
        <v>1033</v>
      </c>
      <c r="C316" t="s">
        <v>1034</v>
      </c>
      <c r="D316" t="s">
        <v>23</v>
      </c>
      <c r="E316" t="s">
        <v>24</v>
      </c>
      <c r="F316" t="s">
        <v>25</v>
      </c>
      <c r="G316" t="s">
        <v>26</v>
      </c>
      <c r="H316" s="14" t="str">
        <f t="shared" si="11"/>
        <v>Jun</v>
      </c>
      <c r="I316" s="15">
        <v>8905202269298</v>
      </c>
      <c r="J316" t="s">
        <v>628</v>
      </c>
      <c r="K316">
        <v>8905202269298</v>
      </c>
      <c r="L316" t="s">
        <v>53</v>
      </c>
      <c r="M316" t="s">
        <v>54</v>
      </c>
      <c r="N316">
        <v>3495</v>
      </c>
      <c r="O316">
        <v>3495</v>
      </c>
      <c r="P316">
        <v>1</v>
      </c>
      <c r="Q316">
        <v>3495</v>
      </c>
      <c r="R316">
        <v>1398</v>
      </c>
      <c r="S316">
        <v>0</v>
      </c>
      <c r="T316">
        <v>2097</v>
      </c>
      <c r="U316" t="s">
        <v>449</v>
      </c>
      <c r="V316" t="str">
        <v xml:space="preserve">Back Graffti print Drop Shoulder Crew Neck T-Shirt                                                 </v>
      </c>
    </row>
    <row r="317" spans="1:22" ht="19" x14ac:dyDescent="0.25">
      <c r="A317" t="s">
        <v>575</v>
      </c>
      <c r="B317" t="s">
        <v>1033</v>
      </c>
      <c r="C317" t="s">
        <v>1035</v>
      </c>
      <c r="D317" t="s">
        <v>23</v>
      </c>
      <c r="E317" t="s">
        <v>24</v>
      </c>
      <c r="F317" t="s">
        <v>25</v>
      </c>
      <c r="G317" t="s">
        <v>26</v>
      </c>
      <c r="H317" s="14" t="str">
        <f t="shared" si="11"/>
        <v>Jun</v>
      </c>
      <c r="I317" s="15">
        <v>8905202264729</v>
      </c>
      <c r="J317" t="s">
        <v>28</v>
      </c>
      <c r="K317">
        <v>8905202264729</v>
      </c>
      <c r="L317" t="s">
        <v>29</v>
      </c>
      <c r="M317" t="s">
        <v>30</v>
      </c>
      <c r="N317">
        <v>2995</v>
      </c>
      <c r="O317">
        <v>2995</v>
      </c>
      <c r="P317">
        <v>1</v>
      </c>
      <c r="Q317">
        <v>2995</v>
      </c>
      <c r="R317">
        <v>1198</v>
      </c>
      <c r="S317">
        <v>0</v>
      </c>
      <c r="T317">
        <v>1797</v>
      </c>
      <c r="U317" t="s">
        <v>55</v>
      </c>
      <c r="V317" t="str">
        <v xml:space="preserve">X Graphic Terry Free Size Tee in Black </v>
      </c>
    </row>
    <row r="318" spans="1:22" ht="19" x14ac:dyDescent="0.25">
      <c r="A318" t="s">
        <v>962</v>
      </c>
      <c r="B318" t="s">
        <v>1036</v>
      </c>
      <c r="C318" t="s">
        <v>1037</v>
      </c>
      <c r="D318" t="s">
        <v>23</v>
      </c>
      <c r="E318" t="s">
        <v>24</v>
      </c>
      <c r="F318" t="s">
        <v>25</v>
      </c>
      <c r="G318" t="s">
        <v>26</v>
      </c>
      <c r="H318" s="14" t="str">
        <f t="shared" si="11"/>
        <v>Jun</v>
      </c>
      <c r="I318" s="15">
        <v>8905202264842</v>
      </c>
      <c r="J318" t="s">
        <v>58</v>
      </c>
      <c r="K318" t="s">
        <v>59</v>
      </c>
      <c r="L318" t="s">
        <v>60</v>
      </c>
      <c r="M318" t="s">
        <v>61</v>
      </c>
      <c r="N318">
        <v>3995</v>
      </c>
      <c r="O318">
        <v>3995</v>
      </c>
      <c r="P318">
        <v>1</v>
      </c>
      <c r="Q318">
        <v>3995</v>
      </c>
      <c r="R318">
        <v>1598</v>
      </c>
      <c r="S318">
        <v>0</v>
      </c>
      <c r="T318">
        <v>2397</v>
      </c>
      <c r="U318" t="s">
        <v>31</v>
      </c>
      <c r="V318" t="str">
        <v xml:space="preserve"> Psy Bear  Terry Drop Shoulder T-Shirt in Black </v>
      </c>
    </row>
    <row r="319" spans="1:22" ht="19" x14ac:dyDescent="0.25">
      <c r="A319" t="s">
        <v>20</v>
      </c>
      <c r="B319" t="s">
        <v>1036</v>
      </c>
      <c r="C319" t="s">
        <v>1038</v>
      </c>
      <c r="D319" t="s">
        <v>23</v>
      </c>
      <c r="E319" t="s">
        <v>24</v>
      </c>
      <c r="F319" t="s">
        <v>25</v>
      </c>
      <c r="G319" t="s">
        <v>26</v>
      </c>
      <c r="H319" s="14" t="str">
        <f t="shared" si="11"/>
        <v>Jun</v>
      </c>
      <c r="I319" s="15">
        <v>8905202269397</v>
      </c>
      <c r="J319" t="s">
        <v>1039</v>
      </c>
      <c r="K319">
        <v>8905202269397</v>
      </c>
      <c r="L319" t="s">
        <v>53</v>
      </c>
      <c r="M319" t="s">
        <v>54</v>
      </c>
      <c r="N319">
        <v>4495</v>
      </c>
      <c r="O319">
        <v>4495</v>
      </c>
      <c r="P319">
        <v>1</v>
      </c>
      <c r="Q319">
        <v>4495</v>
      </c>
      <c r="R319">
        <v>1798</v>
      </c>
      <c r="S319">
        <v>0</v>
      </c>
      <c r="T319">
        <v>2697</v>
      </c>
      <c r="U319" t="s">
        <v>31</v>
      </c>
      <c r="V319" t="str">
        <v>Extinction Drop Shoulder Terry T-Shirt in Black</v>
      </c>
    </row>
    <row r="320" spans="1:22" ht="19" x14ac:dyDescent="0.25">
      <c r="A320" t="s">
        <v>62</v>
      </c>
      <c r="B320" t="s">
        <v>1036</v>
      </c>
      <c r="C320" t="s">
        <v>1040</v>
      </c>
      <c r="D320" t="s">
        <v>23</v>
      </c>
      <c r="E320" t="s">
        <v>24</v>
      </c>
      <c r="F320" t="s">
        <v>64</v>
      </c>
      <c r="G320" t="s">
        <v>65</v>
      </c>
      <c r="H320" s="14" t="str">
        <f t="shared" si="11"/>
        <v>Jun</v>
      </c>
      <c r="I320" s="15">
        <v>8905302263399</v>
      </c>
      <c r="J320" t="s">
        <v>1041</v>
      </c>
      <c r="K320" t="s">
        <v>1042</v>
      </c>
      <c r="L320" t="s">
        <v>1043</v>
      </c>
      <c r="M320" t="s">
        <v>54</v>
      </c>
      <c r="N320">
        <v>7999</v>
      </c>
      <c r="O320">
        <v>7999</v>
      </c>
      <c r="P320">
        <v>1</v>
      </c>
      <c r="Q320">
        <v>7999</v>
      </c>
      <c r="R320">
        <v>2399.6999999999998</v>
      </c>
      <c r="S320">
        <v>0</v>
      </c>
      <c r="T320">
        <v>5599.3</v>
      </c>
      <c r="U320" t="s">
        <v>45</v>
      </c>
      <c r="V320" t="str">
        <v xml:space="preserve">Reverse Classic Blue </v>
      </c>
    </row>
    <row r="321" spans="1:22" ht="19" x14ac:dyDescent="0.25">
      <c r="A321" t="s">
        <v>20</v>
      </c>
      <c r="B321" t="s">
        <v>1044</v>
      </c>
      <c r="C321" t="s">
        <v>1045</v>
      </c>
      <c r="D321" t="s">
        <v>23</v>
      </c>
      <c r="E321" t="s">
        <v>24</v>
      </c>
      <c r="F321" t="s">
        <v>25</v>
      </c>
      <c r="G321" t="s">
        <v>26</v>
      </c>
      <c r="H321" s="14" t="str">
        <f t="shared" si="11"/>
        <v>Jun</v>
      </c>
      <c r="I321" s="15">
        <v>8905302263379</v>
      </c>
      <c r="J321" t="s">
        <v>737</v>
      </c>
      <c r="K321" t="s">
        <v>738</v>
      </c>
      <c r="L321" t="s">
        <v>60</v>
      </c>
      <c r="M321" t="s">
        <v>61</v>
      </c>
      <c r="N321">
        <v>3999</v>
      </c>
      <c r="O321">
        <v>3999</v>
      </c>
      <c r="P321">
        <v>1</v>
      </c>
      <c r="Q321">
        <v>3999</v>
      </c>
      <c r="R321">
        <v>1599.6</v>
      </c>
      <c r="S321">
        <v>479.88</v>
      </c>
      <c r="T321">
        <v>1919.52</v>
      </c>
      <c r="U321" t="s">
        <v>31</v>
      </c>
      <c r="V321" t="str">
        <v>Butterfly</v>
      </c>
    </row>
    <row r="322" spans="1:22" ht="19" x14ac:dyDescent="0.25">
      <c r="A322" t="s">
        <v>20</v>
      </c>
      <c r="B322" t="s">
        <v>1044</v>
      </c>
      <c r="C322" t="s">
        <v>135</v>
      </c>
      <c r="D322" t="s">
        <v>23</v>
      </c>
      <c r="E322" t="s">
        <v>24</v>
      </c>
      <c r="F322" t="s">
        <v>64</v>
      </c>
      <c r="G322" t="s">
        <v>65</v>
      </c>
      <c r="H322" s="14" t="str">
        <f t="shared" si="11"/>
        <v>Jun</v>
      </c>
      <c r="I322" s="15">
        <v>8905302263392</v>
      </c>
      <c r="J322" t="s">
        <v>1046</v>
      </c>
      <c r="K322" t="s">
        <v>1047</v>
      </c>
      <c r="L322" t="s">
        <v>601</v>
      </c>
      <c r="M322" t="s">
        <v>61</v>
      </c>
      <c r="N322">
        <v>6999</v>
      </c>
      <c r="O322">
        <v>6999</v>
      </c>
      <c r="P322">
        <v>1</v>
      </c>
      <c r="Q322">
        <v>6999</v>
      </c>
      <c r="R322">
        <v>2099.6999999999998</v>
      </c>
      <c r="S322">
        <v>0</v>
      </c>
      <c r="T322">
        <v>4899.3</v>
      </c>
      <c r="U322" t="s">
        <v>31</v>
      </c>
      <c r="V322" t="str">
        <v xml:space="preserve">Blue Baggy Jeans </v>
      </c>
    </row>
    <row r="323" spans="1:22" ht="19" x14ac:dyDescent="0.25">
      <c r="A323" t="s">
        <v>20</v>
      </c>
      <c r="B323" t="s">
        <v>1044</v>
      </c>
      <c r="C323" t="s">
        <v>135</v>
      </c>
      <c r="D323" t="s">
        <v>23</v>
      </c>
      <c r="E323" t="s">
        <v>24</v>
      </c>
      <c r="F323" t="s">
        <v>64</v>
      </c>
      <c r="G323" t="s">
        <v>65</v>
      </c>
      <c r="H323" s="14" t="str">
        <f t="shared" si="11"/>
        <v>Jun</v>
      </c>
      <c r="I323" s="15">
        <v>8905302263399</v>
      </c>
      <c r="J323" t="s">
        <v>1041</v>
      </c>
      <c r="K323" t="s">
        <v>1042</v>
      </c>
      <c r="L323" t="s">
        <v>1043</v>
      </c>
      <c r="M323" t="s">
        <v>54</v>
      </c>
      <c r="N323">
        <v>7999</v>
      </c>
      <c r="O323">
        <v>7999</v>
      </c>
      <c r="P323">
        <v>1</v>
      </c>
      <c r="Q323">
        <v>7999</v>
      </c>
      <c r="R323">
        <v>2399.6999999999998</v>
      </c>
      <c r="S323">
        <v>0</v>
      </c>
      <c r="T323">
        <v>5599.3</v>
      </c>
      <c r="U323" t="s">
        <v>45</v>
      </c>
      <c r="V323" t="str">
        <v xml:space="preserve">Reverse Classic Blue </v>
      </c>
    </row>
    <row r="324" spans="1:22" ht="19" x14ac:dyDescent="0.25">
      <c r="A324" t="s">
        <v>62</v>
      </c>
      <c r="B324" t="s">
        <v>1044</v>
      </c>
      <c r="C324" t="s">
        <v>1048</v>
      </c>
      <c r="D324" t="s">
        <v>23</v>
      </c>
      <c r="E324" t="s">
        <v>24</v>
      </c>
      <c r="F324" t="s">
        <v>64</v>
      </c>
      <c r="G324" t="s">
        <v>65</v>
      </c>
      <c r="H324" s="14" t="str">
        <f t="shared" si="11"/>
        <v>Jun</v>
      </c>
      <c r="I324" s="15">
        <v>8905302263318</v>
      </c>
      <c r="J324" t="s">
        <v>1049</v>
      </c>
      <c r="K324" t="s">
        <v>1050</v>
      </c>
      <c r="L324" t="s">
        <v>604</v>
      </c>
      <c r="M324" t="s">
        <v>61</v>
      </c>
      <c r="N324">
        <v>6999</v>
      </c>
      <c r="O324">
        <v>6999</v>
      </c>
      <c r="P324">
        <v>1</v>
      </c>
      <c r="Q324">
        <v>6999</v>
      </c>
      <c r="R324">
        <v>2099.6999999999998</v>
      </c>
      <c r="S324">
        <v>0</v>
      </c>
      <c r="T324">
        <v>4899.3</v>
      </c>
      <c r="U324" t="s">
        <v>45</v>
      </c>
      <c r="V324" t="str">
        <v>Black Paint Brush</v>
      </c>
    </row>
    <row r="325" spans="1:22" ht="19" x14ac:dyDescent="0.25">
      <c r="A325" t="s">
        <v>62</v>
      </c>
      <c r="B325" t="s">
        <v>1044</v>
      </c>
      <c r="C325" t="s">
        <v>1048</v>
      </c>
      <c r="D325" t="s">
        <v>23</v>
      </c>
      <c r="E325" t="s">
        <v>24</v>
      </c>
      <c r="F325" t="s">
        <v>25</v>
      </c>
      <c r="G325" t="s">
        <v>34</v>
      </c>
      <c r="H325" s="14" t="str">
        <f t="shared" si="11"/>
        <v>Jun</v>
      </c>
      <c r="I325" s="15">
        <v>8905302263241</v>
      </c>
      <c r="J325" t="s">
        <v>1051</v>
      </c>
      <c r="K325" t="s">
        <v>1052</v>
      </c>
      <c r="L325" t="s">
        <v>829</v>
      </c>
      <c r="M325" t="s">
        <v>61</v>
      </c>
      <c r="N325">
        <v>5999</v>
      </c>
      <c r="O325">
        <v>5999</v>
      </c>
      <c r="P325">
        <v>1</v>
      </c>
      <c r="Q325">
        <v>5999</v>
      </c>
      <c r="R325">
        <v>1199.8</v>
      </c>
      <c r="S325">
        <v>0</v>
      </c>
      <c r="T325">
        <v>4799.2</v>
      </c>
      <c r="U325" t="s">
        <v>45</v>
      </c>
      <c r="V325" t="str">
        <v>Grunge Denim Blue</v>
      </c>
    </row>
    <row r="326" spans="1:22" ht="19" x14ac:dyDescent="0.25">
      <c r="A326" t="s">
        <v>62</v>
      </c>
      <c r="B326" t="s">
        <v>1044</v>
      </c>
      <c r="C326" t="s">
        <v>1053</v>
      </c>
      <c r="D326" t="s">
        <v>23</v>
      </c>
      <c r="E326" t="s">
        <v>24</v>
      </c>
      <c r="F326" t="s">
        <v>25</v>
      </c>
      <c r="G326" t="s">
        <v>26</v>
      </c>
      <c r="H326" s="14" t="str">
        <f t="shared" si="11"/>
        <v>Jun</v>
      </c>
      <c r="I326" s="15">
        <v>8905302263383</v>
      </c>
      <c r="J326" t="s">
        <v>976</v>
      </c>
      <c r="K326" t="s">
        <v>977</v>
      </c>
      <c r="L326" t="s">
        <v>123</v>
      </c>
      <c r="M326" t="s">
        <v>44</v>
      </c>
      <c r="N326">
        <v>3999</v>
      </c>
      <c r="O326">
        <v>3999</v>
      </c>
      <c r="P326">
        <v>1</v>
      </c>
      <c r="Q326">
        <v>3999</v>
      </c>
      <c r="R326">
        <v>1599.6</v>
      </c>
      <c r="S326">
        <v>0</v>
      </c>
      <c r="T326">
        <v>2399.4</v>
      </c>
      <c r="U326" t="s">
        <v>50</v>
      </c>
      <c r="V326" t="str">
        <v>Wild Flower</v>
      </c>
    </row>
    <row r="327" spans="1:22" ht="19" x14ac:dyDescent="0.25">
      <c r="A327" t="s">
        <v>62</v>
      </c>
      <c r="B327" t="s">
        <v>1044</v>
      </c>
      <c r="C327" t="s">
        <v>1054</v>
      </c>
      <c r="D327" t="s">
        <v>23</v>
      </c>
      <c r="E327" t="s">
        <v>24</v>
      </c>
      <c r="F327" t="s">
        <v>64</v>
      </c>
      <c r="G327" t="s">
        <v>65</v>
      </c>
      <c r="H327" s="14" t="str">
        <f t="shared" si="11"/>
        <v>Jun</v>
      </c>
      <c r="I327" s="15">
        <v>8905302263200</v>
      </c>
      <c r="J327" t="s">
        <v>584</v>
      </c>
      <c r="K327" t="s">
        <v>585</v>
      </c>
      <c r="L327" t="s">
        <v>586</v>
      </c>
      <c r="M327" t="s">
        <v>38</v>
      </c>
      <c r="N327">
        <v>6999</v>
      </c>
      <c r="O327">
        <v>6999</v>
      </c>
      <c r="P327">
        <v>1</v>
      </c>
      <c r="Q327">
        <v>6999</v>
      </c>
      <c r="R327">
        <v>2099.6999999999998</v>
      </c>
      <c r="S327">
        <v>0</v>
      </c>
      <c r="T327">
        <v>4899.3</v>
      </c>
      <c r="U327" t="s">
        <v>45</v>
      </c>
      <c r="V327" t="str">
        <v>Stud Black</v>
      </c>
    </row>
    <row r="328" spans="1:22" ht="19" x14ac:dyDescent="0.25">
      <c r="A328" t="s">
        <v>62</v>
      </c>
      <c r="B328" t="s">
        <v>1044</v>
      </c>
      <c r="C328" t="s">
        <v>1054</v>
      </c>
      <c r="D328" t="s">
        <v>23</v>
      </c>
      <c r="E328" t="s">
        <v>24</v>
      </c>
      <c r="F328" t="s">
        <v>25</v>
      </c>
      <c r="G328" t="s">
        <v>26</v>
      </c>
      <c r="H328" s="14" t="str">
        <f t="shared" si="11"/>
        <v>Jun</v>
      </c>
      <c r="I328" s="15">
        <v>8905202264743</v>
      </c>
      <c r="J328" t="s">
        <v>221</v>
      </c>
      <c r="K328" t="s">
        <v>222</v>
      </c>
      <c r="L328" t="s">
        <v>191</v>
      </c>
      <c r="M328" t="s">
        <v>61</v>
      </c>
      <c r="N328">
        <v>2495</v>
      </c>
      <c r="O328">
        <v>2495</v>
      </c>
      <c r="P328">
        <v>1</v>
      </c>
      <c r="Q328">
        <v>2495</v>
      </c>
      <c r="R328">
        <v>998</v>
      </c>
      <c r="S328">
        <v>0</v>
      </c>
      <c r="T328">
        <v>1497</v>
      </c>
      <c r="U328" t="s">
        <v>45</v>
      </c>
      <c r="V328" t="str">
        <v xml:space="preserve"> Pixel print drop  oversized unisex T shirt                     </v>
      </c>
    </row>
    <row r="329" spans="1:22" ht="19" x14ac:dyDescent="0.25">
      <c r="A329" t="s">
        <v>62</v>
      </c>
      <c r="B329" t="s">
        <v>1044</v>
      </c>
      <c r="C329" t="s">
        <v>1055</v>
      </c>
      <c r="D329" t="s">
        <v>23</v>
      </c>
      <c r="E329" t="s">
        <v>136</v>
      </c>
      <c r="F329" t="s">
        <v>25</v>
      </c>
      <c r="G329" t="s">
        <v>26</v>
      </c>
      <c r="H329" s="14" t="str">
        <f t="shared" si="11"/>
        <v>Jun</v>
      </c>
      <c r="I329" s="15">
        <v>8905202268918</v>
      </c>
      <c r="J329" t="s">
        <v>287</v>
      </c>
      <c r="K329">
        <v>8905202268918</v>
      </c>
      <c r="L329" t="s">
        <v>288</v>
      </c>
      <c r="M329" t="s">
        <v>44</v>
      </c>
      <c r="N329">
        <v>1995</v>
      </c>
      <c r="O329">
        <v>1995</v>
      </c>
      <c r="P329">
        <v>1</v>
      </c>
      <c r="Q329">
        <v>1995</v>
      </c>
      <c r="R329">
        <v>798</v>
      </c>
      <c r="S329">
        <v>17.13</v>
      </c>
      <c r="T329">
        <v>1179.8699999999999</v>
      </c>
      <c r="U329" t="s">
        <v>45</v>
      </c>
      <c r="V329" t="str">
        <v>Cosmic Intruder Crop - Black</v>
      </c>
    </row>
    <row r="330" spans="1:22" ht="19" x14ac:dyDescent="0.25">
      <c r="A330" t="s">
        <v>62</v>
      </c>
      <c r="B330" t="s">
        <v>1044</v>
      </c>
      <c r="C330" t="s">
        <v>1055</v>
      </c>
      <c r="D330" t="s">
        <v>23</v>
      </c>
      <c r="E330" t="s">
        <v>136</v>
      </c>
      <c r="F330" t="s">
        <v>25</v>
      </c>
      <c r="G330" t="s">
        <v>26</v>
      </c>
      <c r="H330" s="14" t="str">
        <f t="shared" si="11"/>
        <v>Jun</v>
      </c>
      <c r="I330" s="15">
        <v>8905202269267</v>
      </c>
      <c r="J330" t="s">
        <v>1056</v>
      </c>
      <c r="K330">
        <v>8905202269267</v>
      </c>
      <c r="L330" t="s">
        <v>1057</v>
      </c>
      <c r="M330" t="s">
        <v>44</v>
      </c>
      <c r="N330">
        <v>1995</v>
      </c>
      <c r="O330">
        <v>1995</v>
      </c>
      <c r="P330">
        <v>1</v>
      </c>
      <c r="Q330">
        <v>1995</v>
      </c>
      <c r="R330">
        <v>798</v>
      </c>
      <c r="S330">
        <v>17.13</v>
      </c>
      <c r="T330">
        <v>1179.8699999999999</v>
      </c>
      <c r="U330" t="s">
        <v>45</v>
      </c>
      <c r="V330" t="str">
        <v>Core Crop Red</v>
      </c>
    </row>
    <row r="331" spans="1:22" ht="19" x14ac:dyDescent="0.25">
      <c r="A331" t="s">
        <v>62</v>
      </c>
      <c r="B331" t="s">
        <v>1044</v>
      </c>
      <c r="C331" t="s">
        <v>223</v>
      </c>
      <c r="D331" t="s">
        <v>23</v>
      </c>
      <c r="E331" t="s">
        <v>24</v>
      </c>
      <c r="F331" t="s">
        <v>25</v>
      </c>
      <c r="G331" t="s">
        <v>26</v>
      </c>
      <c r="H331" s="14" t="str">
        <f t="shared" si="11"/>
        <v>Jun</v>
      </c>
      <c r="I331" s="15">
        <v>8905202264606</v>
      </c>
      <c r="J331" t="s">
        <v>93</v>
      </c>
      <c r="K331">
        <v>8905202264606</v>
      </c>
      <c r="L331" t="s">
        <v>94</v>
      </c>
      <c r="M331" t="s">
        <v>44</v>
      </c>
      <c r="N331">
        <v>3495</v>
      </c>
      <c r="O331">
        <v>3495</v>
      </c>
      <c r="P331">
        <v>1</v>
      </c>
      <c r="Q331">
        <v>3495</v>
      </c>
      <c r="R331">
        <v>1398</v>
      </c>
      <c r="S331">
        <v>0</v>
      </c>
      <c r="T331">
        <v>2097</v>
      </c>
      <c r="U331" t="s">
        <v>50</v>
      </c>
      <c r="V331" t="str">
        <v xml:space="preserve">Mumbai  Terry Drop Shoulder T-Shirt in Black </v>
      </c>
    </row>
    <row r="332" spans="1:22" ht="19" x14ac:dyDescent="0.25">
      <c r="A332" t="s">
        <v>62</v>
      </c>
      <c r="B332" t="s">
        <v>1044</v>
      </c>
      <c r="C332" t="s">
        <v>223</v>
      </c>
      <c r="D332" t="s">
        <v>23</v>
      </c>
      <c r="E332" t="s">
        <v>24</v>
      </c>
      <c r="F332" t="s">
        <v>25</v>
      </c>
      <c r="G332" t="s">
        <v>26</v>
      </c>
      <c r="H332" s="14" t="str">
        <f t="shared" si="11"/>
        <v>Jun</v>
      </c>
      <c r="I332" s="15">
        <v>8905202264927</v>
      </c>
      <c r="J332" t="s">
        <v>232</v>
      </c>
      <c r="K332" t="s">
        <v>233</v>
      </c>
      <c r="L332" t="s">
        <v>123</v>
      </c>
      <c r="M332" t="s">
        <v>44</v>
      </c>
      <c r="N332">
        <v>2995</v>
      </c>
      <c r="O332">
        <v>2995</v>
      </c>
      <c r="P332">
        <v>1</v>
      </c>
      <c r="Q332">
        <v>2995</v>
      </c>
      <c r="R332">
        <v>1198</v>
      </c>
      <c r="S332">
        <v>0</v>
      </c>
      <c r="T332">
        <v>1797</v>
      </c>
      <c r="U332" t="s">
        <v>50</v>
      </c>
      <c r="V332" t="str">
        <v xml:space="preserve">Stamp Tshirt in Blue </v>
      </c>
    </row>
    <row r="333" spans="1:22" ht="19" x14ac:dyDescent="0.25">
      <c r="A333" t="s">
        <v>962</v>
      </c>
      <c r="B333" t="s">
        <v>1058</v>
      </c>
      <c r="C333" t="s">
        <v>1059</v>
      </c>
      <c r="D333" t="s">
        <v>23</v>
      </c>
      <c r="E333" t="s">
        <v>24</v>
      </c>
      <c r="F333" t="s">
        <v>25</v>
      </c>
      <c r="G333" t="s">
        <v>34</v>
      </c>
      <c r="H333" s="14" t="str">
        <f t="shared" si="11"/>
        <v>Jun</v>
      </c>
      <c r="I333" s="15">
        <v>8905302263344</v>
      </c>
      <c r="J333" t="s">
        <v>734</v>
      </c>
      <c r="K333" t="s">
        <v>735</v>
      </c>
      <c r="L333" t="s">
        <v>736</v>
      </c>
      <c r="M333" t="s">
        <v>54</v>
      </c>
      <c r="N333">
        <v>5999</v>
      </c>
      <c r="O333">
        <v>5999</v>
      </c>
      <c r="P333">
        <v>1</v>
      </c>
      <c r="Q333">
        <v>5999</v>
      </c>
      <c r="R333">
        <v>1199.8</v>
      </c>
      <c r="S333">
        <v>0</v>
      </c>
      <c r="T333">
        <v>4799.2</v>
      </c>
      <c r="U333" t="s">
        <v>284</v>
      </c>
      <c r="V333" t="str">
        <v>White Blue Stripe</v>
      </c>
    </row>
    <row r="334" spans="1:22" ht="19" x14ac:dyDescent="0.25">
      <c r="A334" t="s">
        <v>962</v>
      </c>
      <c r="B334" t="s">
        <v>1058</v>
      </c>
      <c r="C334" t="s">
        <v>1060</v>
      </c>
      <c r="D334" t="s">
        <v>23</v>
      </c>
      <c r="E334" t="s">
        <v>24</v>
      </c>
      <c r="F334" t="s">
        <v>25</v>
      </c>
      <c r="G334" t="s">
        <v>34</v>
      </c>
      <c r="H334" s="14" t="str">
        <f t="shared" si="11"/>
        <v>Jun</v>
      </c>
      <c r="I334" s="15">
        <v>8905302263389</v>
      </c>
      <c r="J334" t="s">
        <v>1011</v>
      </c>
      <c r="K334" t="s">
        <v>1012</v>
      </c>
      <c r="L334" t="s">
        <v>667</v>
      </c>
      <c r="M334" t="s">
        <v>54</v>
      </c>
      <c r="N334">
        <v>4999</v>
      </c>
      <c r="O334">
        <v>4999</v>
      </c>
      <c r="P334">
        <v>1</v>
      </c>
      <c r="Q334">
        <v>4999</v>
      </c>
      <c r="R334">
        <v>999.8</v>
      </c>
      <c r="S334">
        <v>0</v>
      </c>
      <c r="T334">
        <v>3999.2</v>
      </c>
      <c r="U334" t="s">
        <v>55</v>
      </c>
      <c r="V334" t="str">
        <v>Victory Stripe Blue</v>
      </c>
    </row>
    <row r="335" spans="1:22" ht="19" x14ac:dyDescent="0.25">
      <c r="A335" t="s">
        <v>20</v>
      </c>
      <c r="B335" t="s">
        <v>1058</v>
      </c>
      <c r="C335" t="s">
        <v>1061</v>
      </c>
      <c r="D335" t="s">
        <v>23</v>
      </c>
      <c r="E335" t="s">
        <v>24</v>
      </c>
      <c r="F335" t="s">
        <v>64</v>
      </c>
      <c r="G335" t="s">
        <v>65</v>
      </c>
      <c r="H335" s="14" t="str">
        <f t="shared" si="11"/>
        <v>Jun</v>
      </c>
      <c r="I335" s="15">
        <v>8905302263357</v>
      </c>
      <c r="J335" t="s">
        <v>1062</v>
      </c>
      <c r="K335" t="s">
        <v>1063</v>
      </c>
      <c r="L335" t="s">
        <v>1064</v>
      </c>
      <c r="M335" t="s">
        <v>54</v>
      </c>
      <c r="N335">
        <v>7999</v>
      </c>
      <c r="O335">
        <v>7999</v>
      </c>
      <c r="P335">
        <v>1</v>
      </c>
      <c r="Q335">
        <v>7999</v>
      </c>
      <c r="R335">
        <v>2399.6999999999998</v>
      </c>
      <c r="S335">
        <v>112.14</v>
      </c>
      <c r="T335">
        <v>5487.16</v>
      </c>
      <c r="U335" t="s">
        <v>50</v>
      </c>
      <c r="V335" t="str">
        <v>Blue Paint Splash</v>
      </c>
    </row>
    <row r="336" spans="1:22" ht="19" x14ac:dyDescent="0.25">
      <c r="A336" t="s">
        <v>20</v>
      </c>
      <c r="B336" t="s">
        <v>1058</v>
      </c>
      <c r="C336" t="s">
        <v>1061</v>
      </c>
      <c r="D336" t="s">
        <v>23</v>
      </c>
      <c r="E336" t="s">
        <v>24</v>
      </c>
      <c r="F336" t="s">
        <v>25</v>
      </c>
      <c r="G336" t="s">
        <v>34</v>
      </c>
      <c r="H336" s="14" t="str">
        <f t="shared" si="11"/>
        <v>Jun</v>
      </c>
      <c r="I336" s="15">
        <v>8905302263283</v>
      </c>
      <c r="J336" t="s">
        <v>1065</v>
      </c>
      <c r="K336" t="s">
        <v>1066</v>
      </c>
      <c r="L336" t="s">
        <v>802</v>
      </c>
      <c r="M336" t="s">
        <v>44</v>
      </c>
      <c r="N336">
        <v>5999</v>
      </c>
      <c r="O336">
        <v>5999</v>
      </c>
      <c r="P336">
        <v>1</v>
      </c>
      <c r="Q336">
        <v>5999</v>
      </c>
      <c r="R336">
        <v>1199.8</v>
      </c>
      <c r="S336">
        <v>96.11</v>
      </c>
      <c r="T336">
        <v>4703.09</v>
      </c>
      <c r="U336" t="s">
        <v>50</v>
      </c>
      <c r="V336" t="str">
        <v>Mushroom Blue</v>
      </c>
    </row>
    <row r="337" spans="1:22" ht="19" x14ac:dyDescent="0.25">
      <c r="A337" t="s">
        <v>20</v>
      </c>
      <c r="B337" t="s">
        <v>1058</v>
      </c>
      <c r="C337" t="s">
        <v>1067</v>
      </c>
      <c r="D337" t="s">
        <v>23</v>
      </c>
      <c r="E337" t="s">
        <v>24</v>
      </c>
      <c r="F337" t="s">
        <v>25</v>
      </c>
      <c r="G337" t="s">
        <v>34</v>
      </c>
      <c r="H337" s="14" t="str">
        <f t="shared" si="11"/>
        <v>Jun</v>
      </c>
      <c r="I337" s="15">
        <v>8905302263300</v>
      </c>
      <c r="J337" t="s">
        <v>1068</v>
      </c>
      <c r="K337" t="s">
        <v>1069</v>
      </c>
      <c r="L337" t="s">
        <v>1070</v>
      </c>
      <c r="M337" t="s">
        <v>61</v>
      </c>
      <c r="N337">
        <v>6999</v>
      </c>
      <c r="O337">
        <v>6999</v>
      </c>
      <c r="P337">
        <v>1</v>
      </c>
      <c r="Q337">
        <v>6999</v>
      </c>
      <c r="R337">
        <v>1399.8</v>
      </c>
      <c r="S337">
        <v>0</v>
      </c>
      <c r="T337">
        <v>5599.2</v>
      </c>
      <c r="U337" t="s">
        <v>31</v>
      </c>
      <c r="V337" t="str">
        <v>Creative Brown</v>
      </c>
    </row>
    <row r="338" spans="1:22" ht="19" x14ac:dyDescent="0.25">
      <c r="A338" t="s">
        <v>20</v>
      </c>
      <c r="B338" t="s">
        <v>1058</v>
      </c>
      <c r="C338" t="s">
        <v>1071</v>
      </c>
      <c r="D338" t="s">
        <v>23</v>
      </c>
      <c r="E338" t="s">
        <v>24</v>
      </c>
      <c r="F338" t="s">
        <v>25</v>
      </c>
      <c r="G338" t="s">
        <v>26</v>
      </c>
      <c r="H338" s="14" t="str">
        <f t="shared" ref="H338:H401" si="12">TEXT(DATE(RIGHT(B338,4),MID(B338,4,2),LEFT(B338,2)),"mmm")</f>
        <v>Jun</v>
      </c>
      <c r="I338" s="15">
        <v>8905202269090</v>
      </c>
      <c r="J338" t="s">
        <v>478</v>
      </c>
      <c r="K338" t="s">
        <v>477</v>
      </c>
      <c r="L338" t="s">
        <v>416</v>
      </c>
      <c r="M338" t="s">
        <v>54</v>
      </c>
      <c r="N338">
        <v>3495</v>
      </c>
      <c r="O338">
        <v>3495</v>
      </c>
      <c r="P338">
        <v>1</v>
      </c>
      <c r="Q338">
        <v>3495</v>
      </c>
      <c r="R338">
        <v>1398</v>
      </c>
      <c r="S338">
        <v>0</v>
      </c>
      <c r="T338">
        <v>2097</v>
      </c>
      <c r="U338" t="s">
        <v>45</v>
      </c>
      <c r="V338" t="str">
        <v>MENS  Oversized  T-Shirt London</v>
      </c>
    </row>
    <row r="339" spans="1:22" ht="19" x14ac:dyDescent="0.25">
      <c r="A339" t="s">
        <v>62</v>
      </c>
      <c r="B339" t="s">
        <v>1058</v>
      </c>
      <c r="C339" t="s">
        <v>1072</v>
      </c>
      <c r="D339" t="s">
        <v>23</v>
      </c>
      <c r="E339" t="s">
        <v>24</v>
      </c>
      <c r="F339" t="s">
        <v>25</v>
      </c>
      <c r="G339" t="s">
        <v>34</v>
      </c>
      <c r="H339" s="14" t="str">
        <f t="shared" si="12"/>
        <v>Jun</v>
      </c>
      <c r="I339" s="15">
        <v>8905302263239</v>
      </c>
      <c r="J339" t="s">
        <v>624</v>
      </c>
      <c r="K339" t="s">
        <v>625</v>
      </c>
      <c r="L339" t="s">
        <v>626</v>
      </c>
      <c r="M339" t="s">
        <v>38</v>
      </c>
      <c r="N339">
        <v>5999</v>
      </c>
      <c r="O339">
        <v>5999</v>
      </c>
      <c r="P339">
        <v>1</v>
      </c>
      <c r="Q339">
        <v>5999</v>
      </c>
      <c r="R339">
        <v>1199.8</v>
      </c>
      <c r="S339">
        <v>0</v>
      </c>
      <c r="T339">
        <v>4799.2</v>
      </c>
      <c r="U339" t="s">
        <v>45</v>
      </c>
      <c r="V339" t="str">
        <v>Grunge Denim Charcoal</v>
      </c>
    </row>
    <row r="340" spans="1:22" ht="19" x14ac:dyDescent="0.25">
      <c r="A340" t="s">
        <v>62</v>
      </c>
      <c r="B340" t="s">
        <v>1058</v>
      </c>
      <c r="C340" t="s">
        <v>1073</v>
      </c>
      <c r="D340" t="s">
        <v>23</v>
      </c>
      <c r="E340" t="s">
        <v>24</v>
      </c>
      <c r="F340" t="s">
        <v>25</v>
      </c>
      <c r="G340" t="s">
        <v>34</v>
      </c>
      <c r="H340" s="14" t="str">
        <f t="shared" si="12"/>
        <v>Jun</v>
      </c>
      <c r="I340" s="15">
        <v>8905302263254</v>
      </c>
      <c r="J340" t="s">
        <v>659</v>
      </c>
      <c r="K340" t="s">
        <v>660</v>
      </c>
      <c r="L340" t="s">
        <v>661</v>
      </c>
      <c r="M340" t="s">
        <v>61</v>
      </c>
      <c r="N340">
        <v>4999</v>
      </c>
      <c r="O340">
        <v>4999</v>
      </c>
      <c r="P340">
        <v>1</v>
      </c>
      <c r="Q340">
        <v>4999</v>
      </c>
      <c r="R340">
        <v>999.8</v>
      </c>
      <c r="S340">
        <v>0</v>
      </c>
      <c r="T340">
        <v>3999.2</v>
      </c>
      <c r="U340" t="s">
        <v>45</v>
      </c>
      <c r="V340" t="str">
        <v>School Micro checks  Green</v>
      </c>
    </row>
    <row r="341" spans="1:22" ht="19" x14ac:dyDescent="0.25">
      <c r="A341" t="s">
        <v>62</v>
      </c>
      <c r="B341" t="s">
        <v>1058</v>
      </c>
      <c r="C341" t="s">
        <v>1074</v>
      </c>
      <c r="D341" t="s">
        <v>23</v>
      </c>
      <c r="E341" t="s">
        <v>24</v>
      </c>
      <c r="F341" t="s">
        <v>25</v>
      </c>
      <c r="G341" t="s">
        <v>26</v>
      </c>
      <c r="H341" s="14" t="str">
        <f t="shared" si="12"/>
        <v>Jun</v>
      </c>
      <c r="I341" s="15">
        <v>8905302263384</v>
      </c>
      <c r="J341" t="s">
        <v>1075</v>
      </c>
      <c r="K341" t="s">
        <v>1076</v>
      </c>
      <c r="L341" t="s">
        <v>87</v>
      </c>
      <c r="M341" t="s">
        <v>38</v>
      </c>
      <c r="N341">
        <v>3999</v>
      </c>
      <c r="O341">
        <v>3999</v>
      </c>
      <c r="P341">
        <v>1</v>
      </c>
      <c r="Q341">
        <v>3999</v>
      </c>
      <c r="R341">
        <v>1599.6</v>
      </c>
      <c r="S341">
        <v>0</v>
      </c>
      <c r="T341">
        <v>2399.4</v>
      </c>
      <c r="U341" t="s">
        <v>45</v>
      </c>
      <c r="V341" t="str">
        <v>Wild Flower</v>
      </c>
    </row>
    <row r="342" spans="1:22" ht="19" x14ac:dyDescent="0.25">
      <c r="A342" t="s">
        <v>62</v>
      </c>
      <c r="B342" t="s">
        <v>1058</v>
      </c>
      <c r="C342" t="s">
        <v>1077</v>
      </c>
      <c r="D342" t="s">
        <v>23</v>
      </c>
      <c r="E342" t="s">
        <v>24</v>
      </c>
      <c r="F342" t="s">
        <v>25</v>
      </c>
      <c r="G342" t="s">
        <v>26</v>
      </c>
      <c r="H342" s="14" t="str">
        <f t="shared" si="12"/>
        <v>Jun</v>
      </c>
      <c r="I342" s="15">
        <v>8905302263382</v>
      </c>
      <c r="J342" t="s">
        <v>853</v>
      </c>
      <c r="K342" t="s">
        <v>854</v>
      </c>
      <c r="L342" t="s">
        <v>184</v>
      </c>
      <c r="M342" t="s">
        <v>61</v>
      </c>
      <c r="N342">
        <v>3999</v>
      </c>
      <c r="O342">
        <v>3999</v>
      </c>
      <c r="P342">
        <v>1</v>
      </c>
      <c r="Q342">
        <v>3999</v>
      </c>
      <c r="R342">
        <v>1599.6</v>
      </c>
      <c r="S342">
        <v>0</v>
      </c>
      <c r="T342">
        <v>2399.4</v>
      </c>
      <c r="U342" t="s">
        <v>1078</v>
      </c>
      <c r="V342" t="str">
        <v>Wild Flower</v>
      </c>
    </row>
    <row r="343" spans="1:22" ht="19" x14ac:dyDescent="0.25">
      <c r="A343" t="s">
        <v>62</v>
      </c>
      <c r="B343" t="s">
        <v>1058</v>
      </c>
      <c r="C343" t="s">
        <v>1079</v>
      </c>
      <c r="D343" t="s">
        <v>23</v>
      </c>
      <c r="E343" t="s">
        <v>24</v>
      </c>
      <c r="F343" t="s">
        <v>25</v>
      </c>
      <c r="G343" t="s">
        <v>34</v>
      </c>
      <c r="H343" s="14" t="str">
        <f t="shared" si="12"/>
        <v>Jun</v>
      </c>
      <c r="I343" s="15">
        <v>8905302263256</v>
      </c>
      <c r="J343" t="s">
        <v>750</v>
      </c>
      <c r="K343" t="s">
        <v>751</v>
      </c>
      <c r="L343" t="s">
        <v>110</v>
      </c>
      <c r="M343" t="s">
        <v>61</v>
      </c>
      <c r="N343">
        <v>5999</v>
      </c>
      <c r="O343">
        <v>5999</v>
      </c>
      <c r="P343">
        <v>1</v>
      </c>
      <c r="Q343">
        <v>5999</v>
      </c>
      <c r="R343">
        <v>1199.8</v>
      </c>
      <c r="S343">
        <v>145.65</v>
      </c>
      <c r="T343">
        <v>4653.55</v>
      </c>
      <c r="U343" t="s">
        <v>1080</v>
      </c>
      <c r="V343" t="str">
        <v>CD Drop Shoulder Grey</v>
      </c>
    </row>
    <row r="344" spans="1:22" ht="19" x14ac:dyDescent="0.25">
      <c r="A344" t="s">
        <v>575</v>
      </c>
      <c r="B344" t="s">
        <v>1058</v>
      </c>
      <c r="C344" t="s">
        <v>1081</v>
      </c>
      <c r="D344" t="s">
        <v>23</v>
      </c>
      <c r="E344" t="s">
        <v>24</v>
      </c>
      <c r="F344" t="s">
        <v>25</v>
      </c>
      <c r="G344" t="s">
        <v>26</v>
      </c>
      <c r="H344" s="14" t="str">
        <f t="shared" si="12"/>
        <v>Jun</v>
      </c>
      <c r="I344" s="15">
        <v>8905202269106</v>
      </c>
      <c r="J344" t="s">
        <v>47</v>
      </c>
      <c r="K344" t="s">
        <v>48</v>
      </c>
      <c r="L344" t="s">
        <v>49</v>
      </c>
      <c r="M344" t="s">
        <v>38</v>
      </c>
      <c r="N344">
        <v>3495</v>
      </c>
      <c r="O344">
        <v>3495</v>
      </c>
      <c r="P344">
        <v>1</v>
      </c>
      <c r="Q344">
        <v>3495</v>
      </c>
      <c r="R344">
        <v>1398</v>
      </c>
      <c r="S344">
        <v>0</v>
      </c>
      <c r="T344">
        <v>2097</v>
      </c>
      <c r="U344" t="s">
        <v>55</v>
      </c>
      <c r="V344" t="str">
        <v>MENS  Oversized  T-Shirt London</v>
      </c>
    </row>
    <row r="345" spans="1:22" ht="19" x14ac:dyDescent="0.25">
      <c r="A345" t="s">
        <v>20</v>
      </c>
      <c r="B345" t="s">
        <v>1082</v>
      </c>
      <c r="C345" t="s">
        <v>1083</v>
      </c>
      <c r="D345" t="s">
        <v>23</v>
      </c>
      <c r="E345" t="s">
        <v>24</v>
      </c>
      <c r="F345" t="s">
        <v>25</v>
      </c>
      <c r="G345" t="s">
        <v>26</v>
      </c>
      <c r="H345" s="14" t="str">
        <f t="shared" si="12"/>
        <v>Jun</v>
      </c>
      <c r="I345" s="15">
        <v>8905202264729</v>
      </c>
      <c r="J345" t="s">
        <v>28</v>
      </c>
      <c r="K345">
        <v>8905202264729</v>
      </c>
      <c r="L345" t="s">
        <v>29</v>
      </c>
      <c r="M345" t="s">
        <v>30</v>
      </c>
      <c r="N345">
        <v>2995</v>
      </c>
      <c r="O345">
        <v>2995</v>
      </c>
      <c r="P345">
        <v>1</v>
      </c>
      <c r="Q345">
        <v>2995</v>
      </c>
      <c r="R345">
        <v>1198</v>
      </c>
      <c r="S345">
        <v>0</v>
      </c>
      <c r="T345">
        <v>1797</v>
      </c>
      <c r="U345" t="s">
        <v>55</v>
      </c>
      <c r="V345" t="str">
        <v xml:space="preserve">X Graphic Terry Free Size Tee in Black </v>
      </c>
    </row>
    <row r="346" spans="1:22" ht="19" x14ac:dyDescent="0.25">
      <c r="A346" t="s">
        <v>20</v>
      </c>
      <c r="B346" t="s">
        <v>1082</v>
      </c>
      <c r="C346" t="s">
        <v>1083</v>
      </c>
      <c r="D346" t="s">
        <v>23</v>
      </c>
      <c r="E346" t="s">
        <v>24</v>
      </c>
      <c r="F346" t="s">
        <v>25</v>
      </c>
      <c r="G346" t="s">
        <v>26</v>
      </c>
      <c r="H346" s="14" t="str">
        <f t="shared" si="12"/>
        <v>Jun</v>
      </c>
      <c r="I346" s="15">
        <v>8905202269311</v>
      </c>
      <c r="J346" t="s">
        <v>1084</v>
      </c>
      <c r="K346" t="s">
        <v>1085</v>
      </c>
      <c r="L346" t="s">
        <v>251</v>
      </c>
      <c r="M346" t="s">
        <v>84</v>
      </c>
      <c r="N346">
        <v>3495</v>
      </c>
      <c r="O346">
        <v>3495</v>
      </c>
      <c r="P346">
        <v>1</v>
      </c>
      <c r="Q346">
        <v>3495</v>
      </c>
      <c r="R346">
        <v>1398</v>
      </c>
      <c r="S346">
        <v>0</v>
      </c>
      <c r="T346">
        <v>2097</v>
      </c>
      <c r="U346" t="s">
        <v>55</v>
      </c>
      <c r="V346" t="str">
        <v xml:space="preserve">Back Graffti print Drop Shoulder Crew Neck T-Shirt                                                 </v>
      </c>
    </row>
    <row r="347" spans="1:22" ht="19" x14ac:dyDescent="0.25">
      <c r="A347" t="s">
        <v>20</v>
      </c>
      <c r="B347" t="s">
        <v>1082</v>
      </c>
      <c r="C347" t="s">
        <v>1086</v>
      </c>
      <c r="D347" t="s">
        <v>23</v>
      </c>
      <c r="E347" t="s">
        <v>24</v>
      </c>
      <c r="F347" t="s">
        <v>64</v>
      </c>
      <c r="G347" t="s">
        <v>65</v>
      </c>
      <c r="H347" s="14" t="str">
        <f t="shared" si="12"/>
        <v>Jun</v>
      </c>
      <c r="I347" s="15">
        <v>8905302263400</v>
      </c>
      <c r="J347" t="s">
        <v>919</v>
      </c>
      <c r="K347" t="s">
        <v>920</v>
      </c>
      <c r="L347" t="s">
        <v>921</v>
      </c>
      <c r="M347" t="s">
        <v>61</v>
      </c>
      <c r="N347">
        <v>7999</v>
      </c>
      <c r="O347">
        <v>7999</v>
      </c>
      <c r="P347">
        <v>1</v>
      </c>
      <c r="Q347">
        <v>7999</v>
      </c>
      <c r="R347">
        <v>2399.6999999999998</v>
      </c>
      <c r="S347">
        <v>0</v>
      </c>
      <c r="T347">
        <v>5599.3</v>
      </c>
      <c r="U347" t="s">
        <v>45</v>
      </c>
      <c r="V347" t="str">
        <v xml:space="preserve">Reverse Classic Blue </v>
      </c>
    </row>
    <row r="348" spans="1:22" ht="19" x14ac:dyDescent="0.25">
      <c r="A348" t="s">
        <v>20</v>
      </c>
      <c r="B348" t="s">
        <v>1082</v>
      </c>
      <c r="D348" t="s">
        <v>23</v>
      </c>
      <c r="E348" t="s">
        <v>24</v>
      </c>
      <c r="F348" t="s">
        <v>25</v>
      </c>
      <c r="G348" t="s">
        <v>26</v>
      </c>
      <c r="H348" s="14" t="str">
        <f t="shared" si="12"/>
        <v>Jun</v>
      </c>
      <c r="I348" s="15">
        <v>8905202269076</v>
      </c>
      <c r="J348" t="s">
        <v>142</v>
      </c>
      <c r="K348" t="s">
        <v>143</v>
      </c>
      <c r="L348" t="s">
        <v>144</v>
      </c>
      <c r="M348" t="s">
        <v>44</v>
      </c>
      <c r="N348">
        <v>3495</v>
      </c>
      <c r="O348">
        <v>3495</v>
      </c>
      <c r="P348">
        <v>1</v>
      </c>
      <c r="Q348">
        <v>3495</v>
      </c>
      <c r="R348">
        <v>1398</v>
      </c>
      <c r="S348">
        <v>0</v>
      </c>
      <c r="T348">
        <v>2097</v>
      </c>
      <c r="U348" t="s">
        <v>45</v>
      </c>
      <c r="V348" t="str">
        <v>MENS  Oversized  T-Shirt London</v>
      </c>
    </row>
    <row r="349" spans="1:22" ht="19" x14ac:dyDescent="0.25">
      <c r="A349" t="s">
        <v>20</v>
      </c>
      <c r="B349" t="s">
        <v>1082</v>
      </c>
      <c r="C349" t="s">
        <v>1087</v>
      </c>
      <c r="D349" t="s">
        <v>23</v>
      </c>
      <c r="E349" t="s">
        <v>24</v>
      </c>
      <c r="F349" t="s">
        <v>64</v>
      </c>
      <c r="G349" t="s">
        <v>65</v>
      </c>
      <c r="H349" s="14" t="str">
        <f t="shared" si="12"/>
        <v>Jun</v>
      </c>
      <c r="I349" s="15">
        <v>8905302263358</v>
      </c>
      <c r="J349" t="s">
        <v>868</v>
      </c>
      <c r="K349" t="s">
        <v>869</v>
      </c>
      <c r="L349" t="s">
        <v>601</v>
      </c>
      <c r="M349" t="s">
        <v>61</v>
      </c>
      <c r="N349">
        <v>7999</v>
      </c>
      <c r="O349">
        <v>7999</v>
      </c>
      <c r="P349">
        <v>1</v>
      </c>
      <c r="Q349">
        <v>7999</v>
      </c>
      <c r="R349">
        <v>2399.6999999999998</v>
      </c>
      <c r="S349">
        <v>0</v>
      </c>
      <c r="T349">
        <v>5599.3</v>
      </c>
      <c r="U349" t="s">
        <v>31</v>
      </c>
      <c r="V349" t="str">
        <v>Blue Paint Splash</v>
      </c>
    </row>
    <row r="350" spans="1:22" ht="19" x14ac:dyDescent="0.25">
      <c r="A350" t="s">
        <v>62</v>
      </c>
      <c r="B350" t="s">
        <v>1082</v>
      </c>
      <c r="C350" t="s">
        <v>1088</v>
      </c>
      <c r="D350" t="s">
        <v>23</v>
      </c>
      <c r="E350" t="s">
        <v>24</v>
      </c>
      <c r="F350" t="s">
        <v>64</v>
      </c>
      <c r="G350" t="s">
        <v>65</v>
      </c>
      <c r="H350" s="14" t="str">
        <f t="shared" si="12"/>
        <v>Jun</v>
      </c>
      <c r="I350" s="15">
        <v>8905302263406</v>
      </c>
      <c r="J350" t="s">
        <v>1089</v>
      </c>
      <c r="K350" t="s">
        <v>1090</v>
      </c>
      <c r="L350" t="s">
        <v>1091</v>
      </c>
      <c r="M350" t="s">
        <v>44</v>
      </c>
      <c r="N350">
        <v>6999</v>
      </c>
      <c r="O350">
        <v>6999</v>
      </c>
      <c r="P350">
        <v>1</v>
      </c>
      <c r="Q350">
        <v>6999</v>
      </c>
      <c r="R350">
        <v>2099.6999999999998</v>
      </c>
      <c r="S350">
        <v>0</v>
      </c>
      <c r="T350">
        <v>4899.3</v>
      </c>
      <c r="U350" t="s">
        <v>50</v>
      </c>
      <c r="V350" t="str">
        <v>Black Dart Denim</v>
      </c>
    </row>
    <row r="351" spans="1:22" ht="19" x14ac:dyDescent="0.25">
      <c r="A351" t="s">
        <v>62</v>
      </c>
      <c r="B351" t="s">
        <v>1082</v>
      </c>
      <c r="C351" t="s">
        <v>1092</v>
      </c>
      <c r="D351" t="s">
        <v>23</v>
      </c>
      <c r="E351" t="s">
        <v>24</v>
      </c>
      <c r="F351" t="s">
        <v>64</v>
      </c>
      <c r="G351" t="s">
        <v>65</v>
      </c>
      <c r="H351" s="14" t="str">
        <f t="shared" si="12"/>
        <v>Jun</v>
      </c>
      <c r="I351" s="15">
        <v>8905302263364</v>
      </c>
      <c r="J351" t="s">
        <v>900</v>
      </c>
      <c r="K351" t="s">
        <v>901</v>
      </c>
      <c r="L351" t="s">
        <v>694</v>
      </c>
      <c r="M351" t="s">
        <v>38</v>
      </c>
      <c r="N351">
        <v>7999</v>
      </c>
      <c r="O351">
        <v>7999</v>
      </c>
      <c r="P351">
        <v>1</v>
      </c>
      <c r="Q351">
        <v>7999</v>
      </c>
      <c r="R351">
        <v>2399.6999999999998</v>
      </c>
      <c r="S351">
        <v>0</v>
      </c>
      <c r="T351">
        <v>5599.3</v>
      </c>
      <c r="U351" t="s">
        <v>74</v>
      </c>
      <c r="V351" t="str">
        <v>Black Paint Splash</v>
      </c>
    </row>
    <row r="352" spans="1:22" ht="19" x14ac:dyDescent="0.25">
      <c r="A352" t="s">
        <v>575</v>
      </c>
      <c r="B352" t="s">
        <v>1082</v>
      </c>
      <c r="C352" t="s">
        <v>135</v>
      </c>
      <c r="D352" t="s">
        <v>23</v>
      </c>
      <c r="E352" t="s">
        <v>24</v>
      </c>
      <c r="F352" t="s">
        <v>25</v>
      </c>
      <c r="G352" t="s">
        <v>26</v>
      </c>
      <c r="H352" s="14" t="str">
        <f t="shared" si="12"/>
        <v>Jun</v>
      </c>
      <c r="I352" s="15">
        <v>8905202264798</v>
      </c>
      <c r="J352" t="s">
        <v>1093</v>
      </c>
      <c r="K352">
        <v>8905202264798</v>
      </c>
      <c r="L352" t="s">
        <v>1094</v>
      </c>
      <c r="M352" t="s">
        <v>61</v>
      </c>
      <c r="N352">
        <v>4495</v>
      </c>
      <c r="O352">
        <v>4495</v>
      </c>
      <c r="P352">
        <v>1</v>
      </c>
      <c r="Q352">
        <v>4495</v>
      </c>
      <c r="R352">
        <v>1798</v>
      </c>
      <c r="S352">
        <v>0</v>
      </c>
      <c r="T352">
        <v>2697</v>
      </c>
      <c r="U352" t="s">
        <v>31</v>
      </c>
      <c r="V352" t="str">
        <v xml:space="preserve"> Kitty Gang Oversized T shirt</v>
      </c>
    </row>
    <row r="353" spans="1:22" ht="19" x14ac:dyDescent="0.25">
      <c r="A353" t="s">
        <v>962</v>
      </c>
      <c r="B353" t="s">
        <v>1095</v>
      </c>
      <c r="C353" t="s">
        <v>135</v>
      </c>
      <c r="D353" t="s">
        <v>23</v>
      </c>
      <c r="E353" t="s">
        <v>24</v>
      </c>
      <c r="F353" t="s">
        <v>25</v>
      </c>
      <c r="G353" t="s">
        <v>34</v>
      </c>
      <c r="H353" s="14" t="str">
        <f t="shared" si="12"/>
        <v>Jun</v>
      </c>
      <c r="I353" s="15">
        <v>8905302263417</v>
      </c>
      <c r="J353" t="s">
        <v>1096</v>
      </c>
      <c r="K353" t="s">
        <v>1097</v>
      </c>
      <c r="L353" t="s">
        <v>1098</v>
      </c>
      <c r="M353" t="s">
        <v>38</v>
      </c>
      <c r="N353">
        <v>6999</v>
      </c>
      <c r="O353">
        <v>6999</v>
      </c>
      <c r="P353">
        <v>1</v>
      </c>
      <c r="Q353">
        <v>6999</v>
      </c>
      <c r="R353">
        <v>1399.8</v>
      </c>
      <c r="S353">
        <v>0</v>
      </c>
      <c r="T353">
        <v>5599.2</v>
      </c>
      <c r="U353" t="s">
        <v>45</v>
      </c>
      <c r="V353" t="str">
        <v>Creative Black</v>
      </c>
    </row>
    <row r="354" spans="1:22" ht="19" x14ac:dyDescent="0.25">
      <c r="A354" t="s">
        <v>62</v>
      </c>
      <c r="B354" t="s">
        <v>1095</v>
      </c>
      <c r="C354" t="s">
        <v>1099</v>
      </c>
      <c r="D354" t="s">
        <v>23</v>
      </c>
      <c r="E354" t="s">
        <v>24</v>
      </c>
      <c r="F354" t="s">
        <v>25</v>
      </c>
      <c r="G354" t="s">
        <v>26</v>
      </c>
      <c r="H354" s="14" t="str">
        <f t="shared" si="12"/>
        <v>Jun</v>
      </c>
      <c r="I354" s="15">
        <v>8905202264873</v>
      </c>
      <c r="J354" t="s">
        <v>130</v>
      </c>
      <c r="K354" t="s">
        <v>131</v>
      </c>
      <c r="L354" t="s">
        <v>94</v>
      </c>
      <c r="M354" t="s">
        <v>44</v>
      </c>
      <c r="N354">
        <v>3995</v>
      </c>
      <c r="O354">
        <v>3995</v>
      </c>
      <c r="P354">
        <v>1</v>
      </c>
      <c r="Q354">
        <v>3995</v>
      </c>
      <c r="R354">
        <v>1598</v>
      </c>
      <c r="S354">
        <v>0</v>
      </c>
      <c r="T354">
        <v>2397</v>
      </c>
      <c r="U354" t="s">
        <v>45</v>
      </c>
      <c r="V354" t="str">
        <v xml:space="preserve"> Psy Bear  Terry Drop Shoulder T-Shirt in Black </v>
      </c>
    </row>
    <row r="355" spans="1:22" ht="19" x14ac:dyDescent="0.25">
      <c r="A355" t="s">
        <v>62</v>
      </c>
      <c r="B355" t="s">
        <v>1095</v>
      </c>
      <c r="C355" t="s">
        <v>1099</v>
      </c>
      <c r="D355" t="s">
        <v>23</v>
      </c>
      <c r="E355" t="s">
        <v>24</v>
      </c>
      <c r="F355" t="s">
        <v>25</v>
      </c>
      <c r="G355" t="s">
        <v>26</v>
      </c>
      <c r="H355" s="14" t="str">
        <f t="shared" si="12"/>
        <v>Jun</v>
      </c>
      <c r="I355" s="15">
        <v>8905202269106</v>
      </c>
      <c r="J355" t="s">
        <v>47</v>
      </c>
      <c r="K355" t="s">
        <v>48</v>
      </c>
      <c r="L355" t="s">
        <v>49</v>
      </c>
      <c r="M355" t="s">
        <v>38</v>
      </c>
      <c r="N355">
        <v>3495</v>
      </c>
      <c r="O355">
        <v>3495</v>
      </c>
      <c r="P355">
        <v>1</v>
      </c>
      <c r="Q355">
        <v>3495</v>
      </c>
      <c r="R355">
        <v>1398</v>
      </c>
      <c r="S355">
        <v>0</v>
      </c>
      <c r="T355">
        <v>2097</v>
      </c>
      <c r="U355" t="s">
        <v>45</v>
      </c>
      <c r="V355" t="str">
        <v>MENS  Oversized  T-Shirt London</v>
      </c>
    </row>
    <row r="356" spans="1:22" ht="19" x14ac:dyDescent="0.25">
      <c r="A356" t="s">
        <v>62</v>
      </c>
      <c r="B356" t="s">
        <v>1095</v>
      </c>
      <c r="C356" t="s">
        <v>1100</v>
      </c>
      <c r="D356" t="s">
        <v>23</v>
      </c>
      <c r="E356" t="s">
        <v>24</v>
      </c>
      <c r="F356" t="s">
        <v>64</v>
      </c>
      <c r="G356" t="s">
        <v>65</v>
      </c>
      <c r="H356" s="14" t="str">
        <f t="shared" si="12"/>
        <v>Jun</v>
      </c>
      <c r="I356" s="15">
        <v>8905302263202</v>
      </c>
      <c r="J356" t="s">
        <v>475</v>
      </c>
      <c r="K356" t="s">
        <v>474</v>
      </c>
      <c r="L356" t="s">
        <v>473</v>
      </c>
      <c r="M356" t="s">
        <v>61</v>
      </c>
      <c r="N356">
        <v>6999</v>
      </c>
      <c r="O356">
        <v>6999</v>
      </c>
      <c r="P356">
        <v>1</v>
      </c>
      <c r="Q356">
        <v>6999</v>
      </c>
      <c r="R356">
        <v>2099.6999999999998</v>
      </c>
      <c r="S356">
        <v>0</v>
      </c>
      <c r="T356">
        <v>4899.3</v>
      </c>
      <c r="U356" t="s">
        <v>55</v>
      </c>
      <c r="V356" t="str">
        <v>Open Bottom Black</v>
      </c>
    </row>
    <row r="357" spans="1:22" ht="19" x14ac:dyDescent="0.25">
      <c r="A357" t="s">
        <v>62</v>
      </c>
      <c r="B357" t="s">
        <v>1095</v>
      </c>
      <c r="C357" t="s">
        <v>1101</v>
      </c>
      <c r="D357" t="s">
        <v>23</v>
      </c>
      <c r="E357" t="s">
        <v>24</v>
      </c>
      <c r="F357" t="s">
        <v>25</v>
      </c>
      <c r="G357" t="s">
        <v>34</v>
      </c>
      <c r="H357" s="14" t="str">
        <f t="shared" si="12"/>
        <v>Jun</v>
      </c>
      <c r="I357" s="15">
        <v>8905302263252</v>
      </c>
      <c r="J357" t="s">
        <v>1102</v>
      </c>
      <c r="K357" t="s">
        <v>1103</v>
      </c>
      <c r="L357" t="s">
        <v>1104</v>
      </c>
      <c r="M357" t="s">
        <v>44</v>
      </c>
      <c r="N357">
        <v>4999</v>
      </c>
      <c r="O357">
        <v>4999</v>
      </c>
      <c r="P357">
        <v>1</v>
      </c>
      <c r="Q357">
        <v>4999</v>
      </c>
      <c r="R357">
        <v>999.8</v>
      </c>
      <c r="S357">
        <v>0</v>
      </c>
      <c r="T357">
        <v>3999.2</v>
      </c>
      <c r="U357" t="s">
        <v>55</v>
      </c>
      <c r="V357" t="str">
        <v>School Micro checks  Black</v>
      </c>
    </row>
    <row r="358" spans="1:22" ht="19" x14ac:dyDescent="0.25">
      <c r="A358" t="s">
        <v>62</v>
      </c>
      <c r="B358" t="s">
        <v>1095</v>
      </c>
      <c r="C358" t="s">
        <v>1105</v>
      </c>
      <c r="D358" t="s">
        <v>23</v>
      </c>
      <c r="E358" t="s">
        <v>24</v>
      </c>
      <c r="F358" t="s">
        <v>25</v>
      </c>
      <c r="G358" t="s">
        <v>26</v>
      </c>
      <c r="H358" s="14" t="str">
        <f t="shared" si="12"/>
        <v>Jun</v>
      </c>
      <c r="I358" s="15">
        <v>8905302263377</v>
      </c>
      <c r="J358" t="s">
        <v>1106</v>
      </c>
      <c r="K358" t="s">
        <v>1107</v>
      </c>
      <c r="L358" t="s">
        <v>1108</v>
      </c>
      <c r="M358" t="s">
        <v>44</v>
      </c>
      <c r="N358">
        <v>3999</v>
      </c>
      <c r="O358">
        <v>3999</v>
      </c>
      <c r="P358">
        <v>1</v>
      </c>
      <c r="Q358">
        <v>3999</v>
      </c>
      <c r="R358">
        <v>1599.6</v>
      </c>
      <c r="S358">
        <v>0</v>
      </c>
      <c r="T358">
        <v>2399.4</v>
      </c>
      <c r="U358" t="s">
        <v>50</v>
      </c>
      <c r="V358" t="str">
        <v>Monaco</v>
      </c>
    </row>
    <row r="359" spans="1:22" ht="19" x14ac:dyDescent="0.25">
      <c r="A359" t="s">
        <v>575</v>
      </c>
      <c r="B359" t="s">
        <v>1095</v>
      </c>
      <c r="C359" t="s">
        <v>1109</v>
      </c>
      <c r="D359" t="s">
        <v>23</v>
      </c>
      <c r="E359" t="s">
        <v>24</v>
      </c>
      <c r="F359" t="s">
        <v>64</v>
      </c>
      <c r="G359" t="s">
        <v>65</v>
      </c>
      <c r="H359" s="14" t="str">
        <f t="shared" si="12"/>
        <v>Jun</v>
      </c>
      <c r="I359" s="15">
        <v>8905302263339</v>
      </c>
      <c r="J359" t="s">
        <v>1110</v>
      </c>
      <c r="K359" t="s">
        <v>1111</v>
      </c>
      <c r="L359" t="s">
        <v>1112</v>
      </c>
      <c r="M359" t="s">
        <v>44</v>
      </c>
      <c r="N359">
        <v>7999</v>
      </c>
      <c r="O359">
        <v>7999</v>
      </c>
      <c r="P359">
        <v>1</v>
      </c>
      <c r="Q359">
        <v>7999</v>
      </c>
      <c r="R359">
        <v>2399.6999999999998</v>
      </c>
      <c r="S359">
        <v>0</v>
      </c>
      <c r="T359">
        <v>5599.3</v>
      </c>
      <c r="U359" t="s">
        <v>45</v>
      </c>
      <c r="V359" t="str">
        <v>Duo Pocket Vintage</v>
      </c>
    </row>
    <row r="360" spans="1:22" ht="19" x14ac:dyDescent="0.25">
      <c r="A360" t="s">
        <v>62</v>
      </c>
      <c r="B360" t="s">
        <v>1113</v>
      </c>
      <c r="C360" t="s">
        <v>1114</v>
      </c>
      <c r="D360" t="s">
        <v>23</v>
      </c>
      <c r="E360" t="s">
        <v>24</v>
      </c>
      <c r="F360" t="s">
        <v>25</v>
      </c>
      <c r="G360" t="s">
        <v>26</v>
      </c>
      <c r="H360" s="14" t="str">
        <f t="shared" si="12"/>
        <v>Jun</v>
      </c>
      <c r="I360" s="15">
        <v>8905202264828</v>
      </c>
      <c r="J360" t="s">
        <v>891</v>
      </c>
      <c r="K360">
        <v>8905202264828</v>
      </c>
      <c r="L360" t="s">
        <v>892</v>
      </c>
      <c r="M360" t="s">
        <v>44</v>
      </c>
      <c r="N360">
        <v>4495</v>
      </c>
      <c r="O360">
        <v>4495</v>
      </c>
      <c r="P360">
        <v>1</v>
      </c>
      <c r="Q360">
        <v>4495</v>
      </c>
      <c r="R360">
        <v>1798</v>
      </c>
      <c r="S360">
        <v>0</v>
      </c>
      <c r="T360">
        <v>2697</v>
      </c>
      <c r="U360" t="s">
        <v>55</v>
      </c>
      <c r="V360" t="str">
        <v xml:space="preserve"> Kitty Gang Oversized T shirt</v>
      </c>
    </row>
    <row r="361" spans="1:22" ht="19" x14ac:dyDescent="0.25">
      <c r="A361" t="s">
        <v>62</v>
      </c>
      <c r="B361" t="s">
        <v>1113</v>
      </c>
      <c r="C361" t="s">
        <v>1115</v>
      </c>
      <c r="D361" t="s">
        <v>23</v>
      </c>
      <c r="E361" t="s">
        <v>24</v>
      </c>
      <c r="F361" t="s">
        <v>25</v>
      </c>
      <c r="G361" t="s">
        <v>26</v>
      </c>
      <c r="H361" s="14" t="str">
        <f t="shared" si="12"/>
        <v>Jun</v>
      </c>
      <c r="I361" s="15">
        <v>8905302263384</v>
      </c>
      <c r="J361" t="s">
        <v>1075</v>
      </c>
      <c r="K361" t="s">
        <v>1076</v>
      </c>
      <c r="L361" t="s">
        <v>87</v>
      </c>
      <c r="M361" t="s">
        <v>38</v>
      </c>
      <c r="N361">
        <v>3999</v>
      </c>
      <c r="O361">
        <v>3999</v>
      </c>
      <c r="P361">
        <v>1</v>
      </c>
      <c r="Q361">
        <v>3999</v>
      </c>
      <c r="R361">
        <v>1599.6</v>
      </c>
      <c r="S361">
        <v>0</v>
      </c>
      <c r="T361">
        <v>2399.4</v>
      </c>
      <c r="U361" t="s">
        <v>50</v>
      </c>
      <c r="V361" t="str">
        <v>Wild Flower</v>
      </c>
    </row>
    <row r="362" spans="1:22" ht="19" x14ac:dyDescent="0.25">
      <c r="A362" t="s">
        <v>62</v>
      </c>
      <c r="B362" t="s">
        <v>1113</v>
      </c>
      <c r="C362" t="s">
        <v>1116</v>
      </c>
      <c r="D362" t="s">
        <v>23</v>
      </c>
      <c r="E362" t="s">
        <v>24</v>
      </c>
      <c r="F362" t="s">
        <v>25</v>
      </c>
      <c r="G362" t="s">
        <v>34</v>
      </c>
      <c r="H362" s="14" t="str">
        <f t="shared" si="12"/>
        <v>Jun</v>
      </c>
      <c r="I362" s="15">
        <v>8905302263296</v>
      </c>
      <c r="J362" t="s">
        <v>1117</v>
      </c>
      <c r="K362" t="s">
        <v>1118</v>
      </c>
      <c r="L362" t="s">
        <v>802</v>
      </c>
      <c r="M362" t="s">
        <v>44</v>
      </c>
      <c r="N362">
        <v>6999</v>
      </c>
      <c r="O362">
        <v>6999</v>
      </c>
      <c r="P362">
        <v>1</v>
      </c>
      <c r="Q362">
        <v>6999</v>
      </c>
      <c r="R362">
        <v>1399.8</v>
      </c>
      <c r="S362">
        <v>0</v>
      </c>
      <c r="T362">
        <v>5599.2</v>
      </c>
      <c r="U362" t="s">
        <v>45</v>
      </c>
      <c r="V362" t="str">
        <v>Linen Sky</v>
      </c>
    </row>
    <row r="363" spans="1:22" ht="19" x14ac:dyDescent="0.25">
      <c r="A363" t="s">
        <v>62</v>
      </c>
      <c r="B363" t="s">
        <v>1119</v>
      </c>
      <c r="C363" t="s">
        <v>930</v>
      </c>
      <c r="D363" t="s">
        <v>23</v>
      </c>
      <c r="E363" t="s">
        <v>24</v>
      </c>
      <c r="F363" t="s">
        <v>64</v>
      </c>
      <c r="G363" t="s">
        <v>65</v>
      </c>
      <c r="H363" s="14" t="str">
        <f t="shared" si="12"/>
        <v>Jun</v>
      </c>
      <c r="I363" s="15">
        <v>8905302263362</v>
      </c>
      <c r="J363" t="s">
        <v>602</v>
      </c>
      <c r="K363" t="s">
        <v>603</v>
      </c>
      <c r="L363" t="s">
        <v>604</v>
      </c>
      <c r="M363" t="s">
        <v>61</v>
      </c>
      <c r="N363">
        <v>7999</v>
      </c>
      <c r="O363">
        <v>7999</v>
      </c>
      <c r="P363">
        <v>1</v>
      </c>
      <c r="Q363">
        <v>7999</v>
      </c>
      <c r="R363">
        <v>2399.6999999999998</v>
      </c>
      <c r="S363">
        <v>0</v>
      </c>
      <c r="T363">
        <v>5599.3</v>
      </c>
      <c r="U363" t="s">
        <v>50</v>
      </c>
      <c r="V363" t="str">
        <v>Black Paint Splash</v>
      </c>
    </row>
    <row r="364" spans="1:22" ht="19" x14ac:dyDescent="0.25">
      <c r="A364" t="s">
        <v>62</v>
      </c>
      <c r="B364" t="s">
        <v>1119</v>
      </c>
      <c r="C364" t="s">
        <v>1120</v>
      </c>
      <c r="D364" t="s">
        <v>23</v>
      </c>
      <c r="E364" t="s">
        <v>24</v>
      </c>
      <c r="F364" t="s">
        <v>25</v>
      </c>
      <c r="G364" t="s">
        <v>26</v>
      </c>
      <c r="H364" s="14" t="str">
        <f t="shared" si="12"/>
        <v>Jun</v>
      </c>
      <c r="I364" s="15">
        <v>8905202264613</v>
      </c>
      <c r="J364" t="s">
        <v>796</v>
      </c>
      <c r="K364">
        <v>8905202264613</v>
      </c>
      <c r="L364" t="s">
        <v>60</v>
      </c>
      <c r="M364" t="s">
        <v>61</v>
      </c>
      <c r="N364">
        <v>3495</v>
      </c>
      <c r="O364">
        <v>3495</v>
      </c>
      <c r="P364">
        <v>1</v>
      </c>
      <c r="Q364">
        <v>3495</v>
      </c>
      <c r="R364">
        <v>1398</v>
      </c>
      <c r="S364">
        <v>419.4</v>
      </c>
      <c r="T364">
        <v>1677.6</v>
      </c>
      <c r="U364" t="s">
        <v>50</v>
      </c>
      <c r="V364" t="str">
        <v xml:space="preserve">Mumbai  Terry Drop Shoulder T-Shirt in Black </v>
      </c>
    </row>
    <row r="365" spans="1:22" ht="19" x14ac:dyDescent="0.25">
      <c r="A365" t="s">
        <v>62</v>
      </c>
      <c r="B365" t="s">
        <v>1119</v>
      </c>
      <c r="C365" t="s">
        <v>1120</v>
      </c>
      <c r="D365" t="s">
        <v>23</v>
      </c>
      <c r="E365" t="s">
        <v>24</v>
      </c>
      <c r="F365" t="s">
        <v>25</v>
      </c>
      <c r="G365" t="s">
        <v>26</v>
      </c>
      <c r="H365" s="14" t="str">
        <f t="shared" si="12"/>
        <v>Jun</v>
      </c>
      <c r="I365" s="15">
        <v>8905302263379</v>
      </c>
      <c r="J365" t="s">
        <v>737</v>
      </c>
      <c r="K365" t="s">
        <v>738</v>
      </c>
      <c r="L365" t="s">
        <v>60</v>
      </c>
      <c r="M365" t="s">
        <v>61</v>
      </c>
      <c r="N365">
        <v>3999</v>
      </c>
      <c r="O365">
        <v>3999</v>
      </c>
      <c r="P365">
        <v>1</v>
      </c>
      <c r="Q365">
        <v>3999</v>
      </c>
      <c r="R365">
        <v>1599.6</v>
      </c>
      <c r="S365">
        <v>479.88</v>
      </c>
      <c r="T365">
        <v>1919.52</v>
      </c>
      <c r="U365" t="s">
        <v>50</v>
      </c>
      <c r="V365" t="str">
        <v>Butterfly</v>
      </c>
    </row>
    <row r="366" spans="1:22" ht="19" x14ac:dyDescent="0.25">
      <c r="A366" t="s">
        <v>62</v>
      </c>
      <c r="B366" t="s">
        <v>1119</v>
      </c>
      <c r="C366" t="s">
        <v>1121</v>
      </c>
      <c r="D366" t="s">
        <v>23</v>
      </c>
      <c r="E366" t="s">
        <v>24</v>
      </c>
      <c r="F366" t="s">
        <v>25</v>
      </c>
      <c r="G366" t="s">
        <v>34</v>
      </c>
      <c r="H366" s="14" t="str">
        <f t="shared" si="12"/>
        <v>Jun</v>
      </c>
      <c r="I366" s="15">
        <v>8905302263236</v>
      </c>
      <c r="J366" t="s">
        <v>76</v>
      </c>
      <c r="K366" t="s">
        <v>77</v>
      </c>
      <c r="L366" t="s">
        <v>78</v>
      </c>
      <c r="M366" t="s">
        <v>54</v>
      </c>
      <c r="N366">
        <v>5999</v>
      </c>
      <c r="O366">
        <v>5999</v>
      </c>
      <c r="P366">
        <v>1</v>
      </c>
      <c r="Q366">
        <v>5999</v>
      </c>
      <c r="R366">
        <v>1199.8</v>
      </c>
      <c r="S366">
        <v>666.75</v>
      </c>
      <c r="T366">
        <v>4132.45</v>
      </c>
      <c r="U366" t="s">
        <v>55</v>
      </c>
      <c r="V366" t="str">
        <v>Grunge Denim Charcoal</v>
      </c>
    </row>
    <row r="367" spans="1:22" ht="19" x14ac:dyDescent="0.25">
      <c r="A367" t="s">
        <v>962</v>
      </c>
      <c r="B367" t="s">
        <v>1122</v>
      </c>
      <c r="C367" t="s">
        <v>1123</v>
      </c>
      <c r="D367" t="s">
        <v>23</v>
      </c>
      <c r="E367" t="s">
        <v>24</v>
      </c>
      <c r="F367" t="s">
        <v>25</v>
      </c>
      <c r="G367" t="s">
        <v>34</v>
      </c>
      <c r="H367" s="14" t="str">
        <f t="shared" si="12"/>
        <v>Jun</v>
      </c>
      <c r="I367" s="15">
        <v>8905302263345</v>
      </c>
      <c r="J367" t="s">
        <v>610</v>
      </c>
      <c r="K367" t="s">
        <v>611</v>
      </c>
      <c r="L367" t="s">
        <v>612</v>
      </c>
      <c r="M367" t="s">
        <v>61</v>
      </c>
      <c r="N367">
        <v>5999</v>
      </c>
      <c r="O367">
        <v>5999</v>
      </c>
      <c r="P367">
        <v>1</v>
      </c>
      <c r="Q367">
        <v>5999</v>
      </c>
      <c r="R367">
        <v>1199.8</v>
      </c>
      <c r="S367">
        <v>0</v>
      </c>
      <c r="T367">
        <v>4799.2</v>
      </c>
      <c r="U367" t="s">
        <v>55</v>
      </c>
      <c r="V367" t="str">
        <v>White Blue Stripe</v>
      </c>
    </row>
    <row r="368" spans="1:22" ht="19" x14ac:dyDescent="0.25">
      <c r="A368" t="s">
        <v>575</v>
      </c>
      <c r="B368" t="s">
        <v>1122</v>
      </c>
      <c r="C368" t="s">
        <v>1124</v>
      </c>
      <c r="D368" t="s">
        <v>23</v>
      </c>
      <c r="E368" t="s">
        <v>24</v>
      </c>
      <c r="F368" t="s">
        <v>64</v>
      </c>
      <c r="G368" t="s">
        <v>65</v>
      </c>
      <c r="H368" s="14" t="str">
        <f t="shared" si="12"/>
        <v>Jun</v>
      </c>
      <c r="I368" s="15">
        <v>8905302263363</v>
      </c>
      <c r="J368" t="s">
        <v>849</v>
      </c>
      <c r="K368" t="s">
        <v>850</v>
      </c>
      <c r="L368" t="s">
        <v>851</v>
      </c>
      <c r="M368" t="s">
        <v>44</v>
      </c>
      <c r="N368">
        <v>7999</v>
      </c>
      <c r="O368">
        <v>7999</v>
      </c>
      <c r="P368">
        <v>1</v>
      </c>
      <c r="Q368">
        <v>7999</v>
      </c>
      <c r="R368">
        <v>2399.6999999999998</v>
      </c>
      <c r="S368">
        <v>0</v>
      </c>
      <c r="T368">
        <v>5599.3</v>
      </c>
      <c r="U368" t="s">
        <v>45</v>
      </c>
      <c r="V368" t="str">
        <v>Black Paint Splash</v>
      </c>
    </row>
    <row r="369" spans="1:22" ht="19" x14ac:dyDescent="0.25">
      <c r="A369" t="s">
        <v>575</v>
      </c>
      <c r="B369" t="s">
        <v>1122</v>
      </c>
      <c r="C369" t="s">
        <v>1124</v>
      </c>
      <c r="D369" t="s">
        <v>23</v>
      </c>
      <c r="E369" t="s">
        <v>24</v>
      </c>
      <c r="F369" t="s">
        <v>25</v>
      </c>
      <c r="G369" t="s">
        <v>34</v>
      </c>
      <c r="H369" s="14" t="str">
        <f t="shared" si="12"/>
        <v>Jun</v>
      </c>
      <c r="I369" s="15">
        <v>8905302263390</v>
      </c>
      <c r="J369" t="s">
        <v>1125</v>
      </c>
      <c r="K369" t="s">
        <v>1126</v>
      </c>
      <c r="L369" t="s">
        <v>829</v>
      </c>
      <c r="M369" t="s">
        <v>61</v>
      </c>
      <c r="N369">
        <v>4999</v>
      </c>
      <c r="O369">
        <v>4999</v>
      </c>
      <c r="P369">
        <v>1</v>
      </c>
      <c r="Q369">
        <v>4999</v>
      </c>
      <c r="R369">
        <v>999.8</v>
      </c>
      <c r="S369">
        <v>0</v>
      </c>
      <c r="T369">
        <v>3999.2</v>
      </c>
      <c r="U369" t="s">
        <v>45</v>
      </c>
      <c r="V369" t="str">
        <v>Victory Stripe Blue</v>
      </c>
    </row>
    <row r="370" spans="1:22" ht="19" x14ac:dyDescent="0.25">
      <c r="A370" t="s">
        <v>575</v>
      </c>
      <c r="B370" t="s">
        <v>1122</v>
      </c>
      <c r="C370" t="s">
        <v>1127</v>
      </c>
      <c r="D370" t="s">
        <v>23</v>
      </c>
      <c r="E370" t="s">
        <v>24</v>
      </c>
      <c r="F370" t="s">
        <v>25</v>
      </c>
      <c r="G370" t="s">
        <v>26</v>
      </c>
      <c r="H370" s="14" t="str">
        <f t="shared" si="12"/>
        <v>Jun</v>
      </c>
      <c r="I370" s="15">
        <v>8905202264705</v>
      </c>
      <c r="J370" t="s">
        <v>438</v>
      </c>
      <c r="K370" t="s">
        <v>437</v>
      </c>
      <c r="L370" t="s">
        <v>436</v>
      </c>
      <c r="M370" t="s">
        <v>30</v>
      </c>
      <c r="N370">
        <v>3495</v>
      </c>
      <c r="O370">
        <v>3495</v>
      </c>
      <c r="P370">
        <v>1</v>
      </c>
      <c r="Q370">
        <v>3495</v>
      </c>
      <c r="R370">
        <v>1398</v>
      </c>
      <c r="S370">
        <v>0</v>
      </c>
      <c r="T370">
        <v>2097</v>
      </c>
      <c r="U370" t="s">
        <v>55</v>
      </c>
      <c r="V370" t="str">
        <v>Mosquito Embroidered Terry Free Size Tee in White</v>
      </c>
    </row>
    <row r="371" spans="1:22" ht="19" x14ac:dyDescent="0.25">
      <c r="A371" t="s">
        <v>962</v>
      </c>
      <c r="B371" t="s">
        <v>1128</v>
      </c>
      <c r="C371" t="s">
        <v>1129</v>
      </c>
      <c r="D371" t="s">
        <v>23</v>
      </c>
      <c r="E371" t="s">
        <v>24</v>
      </c>
      <c r="F371" t="s">
        <v>25</v>
      </c>
      <c r="G371" t="s">
        <v>26</v>
      </c>
      <c r="H371" s="14" t="str">
        <f t="shared" si="12"/>
        <v>Jun</v>
      </c>
      <c r="I371" s="15">
        <v>8905202269083</v>
      </c>
      <c r="J371" t="s">
        <v>189</v>
      </c>
      <c r="K371" t="s">
        <v>190</v>
      </c>
      <c r="L371" t="s">
        <v>191</v>
      </c>
      <c r="M371" t="s">
        <v>61</v>
      </c>
      <c r="N371">
        <v>3495</v>
      </c>
      <c r="O371">
        <v>3495</v>
      </c>
      <c r="P371">
        <v>1</v>
      </c>
      <c r="Q371">
        <v>3495</v>
      </c>
      <c r="R371">
        <v>1398</v>
      </c>
      <c r="S371">
        <v>0</v>
      </c>
      <c r="T371">
        <v>2097</v>
      </c>
      <c r="U371" t="s">
        <v>55</v>
      </c>
      <c r="V371" t="str">
        <v>MENS  Oversized  T-Shirt London</v>
      </c>
    </row>
    <row r="372" spans="1:22" ht="19" x14ac:dyDescent="0.25">
      <c r="A372" t="s">
        <v>20</v>
      </c>
      <c r="B372" t="s">
        <v>1128</v>
      </c>
      <c r="C372" t="s">
        <v>1130</v>
      </c>
      <c r="D372" t="s">
        <v>23</v>
      </c>
      <c r="E372" t="s">
        <v>24</v>
      </c>
      <c r="F372" t="s">
        <v>25</v>
      </c>
      <c r="G372" t="s">
        <v>26</v>
      </c>
      <c r="H372" s="14" t="str">
        <f t="shared" si="12"/>
        <v>Jun</v>
      </c>
      <c r="I372" s="15">
        <v>8905302263376</v>
      </c>
      <c r="J372" t="s">
        <v>864</v>
      </c>
      <c r="K372" t="s">
        <v>865</v>
      </c>
      <c r="L372" t="s">
        <v>866</v>
      </c>
      <c r="M372" t="s">
        <v>61</v>
      </c>
      <c r="N372">
        <v>3999</v>
      </c>
      <c r="O372">
        <v>3999</v>
      </c>
      <c r="P372">
        <v>1</v>
      </c>
      <c r="Q372">
        <v>3999</v>
      </c>
      <c r="R372">
        <v>1599.6</v>
      </c>
      <c r="S372">
        <v>0</v>
      </c>
      <c r="T372">
        <v>2399.4</v>
      </c>
      <c r="U372" t="s">
        <v>55</v>
      </c>
      <c r="V372" t="str">
        <v>Monaco</v>
      </c>
    </row>
    <row r="373" spans="1:22" ht="19" x14ac:dyDescent="0.25">
      <c r="A373" t="s">
        <v>20</v>
      </c>
      <c r="B373" t="s">
        <v>1128</v>
      </c>
      <c r="C373" t="s">
        <v>1131</v>
      </c>
      <c r="D373" t="s">
        <v>23</v>
      </c>
      <c r="E373" t="s">
        <v>24</v>
      </c>
      <c r="F373" t="s">
        <v>25</v>
      </c>
      <c r="G373" t="s">
        <v>34</v>
      </c>
      <c r="H373" s="14" t="str">
        <f t="shared" si="12"/>
        <v>Jun</v>
      </c>
      <c r="I373" s="15">
        <v>8905302263344</v>
      </c>
      <c r="J373" t="s">
        <v>734</v>
      </c>
      <c r="K373" t="s">
        <v>735</v>
      </c>
      <c r="L373" t="s">
        <v>736</v>
      </c>
      <c r="M373" t="s">
        <v>54</v>
      </c>
      <c r="N373">
        <v>5999</v>
      </c>
      <c r="O373">
        <v>5999</v>
      </c>
      <c r="P373">
        <v>1</v>
      </c>
      <c r="Q373">
        <v>5999</v>
      </c>
      <c r="R373">
        <v>1199.8</v>
      </c>
      <c r="S373">
        <v>0</v>
      </c>
      <c r="T373">
        <v>4799.2</v>
      </c>
      <c r="U373" t="s">
        <v>39</v>
      </c>
      <c r="V373" t="str">
        <v>White Blue Stripe</v>
      </c>
    </row>
    <row r="374" spans="1:22" ht="19" x14ac:dyDescent="0.25">
      <c r="A374" t="s">
        <v>20</v>
      </c>
      <c r="B374" t="s">
        <v>1128</v>
      </c>
      <c r="C374" t="s">
        <v>1132</v>
      </c>
      <c r="D374" t="s">
        <v>23</v>
      </c>
      <c r="E374" t="s">
        <v>24</v>
      </c>
      <c r="F374" t="s">
        <v>64</v>
      </c>
      <c r="G374" t="s">
        <v>65</v>
      </c>
      <c r="H374" s="14" t="str">
        <f t="shared" si="12"/>
        <v>Jun</v>
      </c>
      <c r="I374" s="15">
        <v>8905302263314</v>
      </c>
      <c r="J374" t="s">
        <v>599</v>
      </c>
      <c r="K374" t="s">
        <v>600</v>
      </c>
      <c r="L374" t="s">
        <v>601</v>
      </c>
      <c r="M374" t="s">
        <v>61</v>
      </c>
      <c r="N374">
        <v>6999</v>
      </c>
      <c r="O374">
        <v>6999</v>
      </c>
      <c r="P374">
        <v>1</v>
      </c>
      <c r="Q374">
        <v>6999</v>
      </c>
      <c r="R374">
        <v>2099.6999999999998</v>
      </c>
      <c r="S374">
        <v>0</v>
      </c>
      <c r="T374">
        <v>4899.3</v>
      </c>
      <c r="U374" t="s">
        <v>55</v>
      </c>
      <c r="V374" t="str">
        <v>Blue Paint Brush</v>
      </c>
    </row>
    <row r="375" spans="1:22" ht="19" x14ac:dyDescent="0.25">
      <c r="A375" t="s">
        <v>62</v>
      </c>
      <c r="B375" t="s">
        <v>1128</v>
      </c>
      <c r="C375" t="s">
        <v>1133</v>
      </c>
      <c r="D375" t="s">
        <v>23</v>
      </c>
      <c r="E375" t="s">
        <v>24</v>
      </c>
      <c r="F375" t="s">
        <v>64</v>
      </c>
      <c r="G375" t="s">
        <v>65</v>
      </c>
      <c r="H375" s="14" t="str">
        <f t="shared" si="12"/>
        <v>Jun</v>
      </c>
      <c r="I375" s="15">
        <v>8905302263192</v>
      </c>
      <c r="J375" t="s">
        <v>465</v>
      </c>
      <c r="K375" t="s">
        <v>464</v>
      </c>
      <c r="L375" t="s">
        <v>463</v>
      </c>
      <c r="M375" t="s">
        <v>38</v>
      </c>
      <c r="N375">
        <v>7999</v>
      </c>
      <c r="O375">
        <v>7999</v>
      </c>
      <c r="P375">
        <v>1</v>
      </c>
      <c r="Q375">
        <v>7999</v>
      </c>
      <c r="R375">
        <v>2399.6999999999998</v>
      </c>
      <c r="S375">
        <v>0</v>
      </c>
      <c r="T375">
        <v>5599.3</v>
      </c>
      <c r="U375" t="s">
        <v>50</v>
      </c>
      <c r="V375" t="str">
        <v>Duo Pocket Vintage</v>
      </c>
    </row>
    <row r="376" spans="1:22" s="105" customFormat="1" ht="19" x14ac:dyDescent="0.25">
      <c r="A376" t="s">
        <v>962</v>
      </c>
      <c r="B376" t="s">
        <v>1134</v>
      </c>
      <c r="C376" t="s">
        <v>1159</v>
      </c>
      <c r="D376" t="s">
        <v>23</v>
      </c>
      <c r="E376" t="s">
        <v>24</v>
      </c>
      <c r="F376" t="s">
        <v>25</v>
      </c>
      <c r="G376" t="s">
        <v>26</v>
      </c>
      <c r="H376" s="14" t="str">
        <f t="shared" si="12"/>
        <v>Jun</v>
      </c>
      <c r="I376" s="15">
        <v>8905202269298</v>
      </c>
      <c r="J376" t="s">
        <v>628</v>
      </c>
      <c r="K376">
        <v>8905202269298</v>
      </c>
      <c r="L376" t="s">
        <v>53</v>
      </c>
      <c r="M376" t="s">
        <v>54</v>
      </c>
      <c r="N376">
        <v>3495</v>
      </c>
      <c r="O376">
        <v>3495</v>
      </c>
      <c r="P376">
        <v>1</v>
      </c>
      <c r="Q376">
        <v>3495</v>
      </c>
      <c r="R376">
        <v>1398</v>
      </c>
      <c r="S376">
        <v>0</v>
      </c>
      <c r="T376">
        <v>2097</v>
      </c>
      <c r="U376" t="s">
        <v>55</v>
      </c>
      <c r="V376" s="105" t="str">
        <v xml:space="preserve">Back Graffti print Drop Shoulder Crew Neck T-Shirt                                                 </v>
      </c>
    </row>
    <row r="377" spans="1:22" ht="19" x14ac:dyDescent="0.25">
      <c r="A377" t="s">
        <v>962</v>
      </c>
      <c r="B377" t="s">
        <v>1134</v>
      </c>
      <c r="C377" t="s">
        <v>135</v>
      </c>
      <c r="D377" t="s">
        <v>23</v>
      </c>
      <c r="E377" t="s">
        <v>24</v>
      </c>
      <c r="F377" t="s">
        <v>25</v>
      </c>
      <c r="G377" t="s">
        <v>34</v>
      </c>
      <c r="H377" s="14" t="str">
        <f t="shared" si="12"/>
        <v>Jun</v>
      </c>
      <c r="I377" s="15">
        <v>8905302263412</v>
      </c>
      <c r="J377" t="s">
        <v>1135</v>
      </c>
      <c r="K377" t="s">
        <v>1136</v>
      </c>
      <c r="L377" t="s">
        <v>1137</v>
      </c>
      <c r="M377" t="s">
        <v>38</v>
      </c>
      <c r="N377">
        <v>6999</v>
      </c>
      <c r="O377">
        <v>6999</v>
      </c>
      <c r="P377">
        <v>1</v>
      </c>
      <c r="Q377">
        <v>6999</v>
      </c>
      <c r="R377">
        <v>1399.8</v>
      </c>
      <c r="S377">
        <v>0</v>
      </c>
      <c r="T377">
        <v>5599.2</v>
      </c>
      <c r="U377" t="s">
        <v>55</v>
      </c>
      <c r="V377" t="str">
        <v>Creative White</v>
      </c>
    </row>
    <row r="378" spans="1:22" ht="19" x14ac:dyDescent="0.25">
      <c r="A378" t="s">
        <v>20</v>
      </c>
      <c r="B378" t="s">
        <v>1134</v>
      </c>
      <c r="C378" t="s">
        <v>1160</v>
      </c>
      <c r="D378" t="s">
        <v>23</v>
      </c>
      <c r="E378" t="s">
        <v>24</v>
      </c>
      <c r="F378" t="s">
        <v>64</v>
      </c>
      <c r="G378" t="s">
        <v>65</v>
      </c>
      <c r="H378" s="14" t="str">
        <f t="shared" si="12"/>
        <v>Jun</v>
      </c>
      <c r="I378" s="15">
        <v>8905302263360</v>
      </c>
      <c r="J378" t="s">
        <v>744</v>
      </c>
      <c r="K378" t="s">
        <v>745</v>
      </c>
      <c r="L378" t="s">
        <v>743</v>
      </c>
      <c r="M378" t="s">
        <v>38</v>
      </c>
      <c r="N378">
        <v>7999</v>
      </c>
      <c r="O378">
        <v>7999</v>
      </c>
      <c r="P378">
        <v>1</v>
      </c>
      <c r="Q378">
        <v>7999</v>
      </c>
      <c r="R378">
        <v>2399.6999999999998</v>
      </c>
      <c r="S378">
        <v>0</v>
      </c>
      <c r="T378">
        <v>5599.3</v>
      </c>
      <c r="U378" t="s">
        <v>31</v>
      </c>
      <c r="V378" t="str">
        <v>Blue Paint Splash</v>
      </c>
    </row>
    <row r="379" spans="1:22" ht="19" x14ac:dyDescent="0.25">
      <c r="A379" t="s">
        <v>20</v>
      </c>
      <c r="B379" t="s">
        <v>1134</v>
      </c>
      <c r="C379" t="s">
        <v>1161</v>
      </c>
      <c r="D379" t="s">
        <v>23</v>
      </c>
      <c r="E379" t="s">
        <v>24</v>
      </c>
      <c r="F379" t="s">
        <v>25</v>
      </c>
      <c r="G379" t="s">
        <v>34</v>
      </c>
      <c r="H379" s="14" t="str">
        <f t="shared" si="12"/>
        <v>Jun</v>
      </c>
      <c r="I379" s="15">
        <v>8905302263286</v>
      </c>
      <c r="J379" t="s">
        <v>746</v>
      </c>
      <c r="K379" t="s">
        <v>747</v>
      </c>
      <c r="L379" t="s">
        <v>748</v>
      </c>
      <c r="M379" t="s">
        <v>44</v>
      </c>
      <c r="N379">
        <v>5999</v>
      </c>
      <c r="O379">
        <v>5999</v>
      </c>
      <c r="P379">
        <v>1</v>
      </c>
      <c r="Q379">
        <v>5999</v>
      </c>
      <c r="R379">
        <v>1199.8</v>
      </c>
      <c r="S379">
        <v>0</v>
      </c>
      <c r="T379">
        <v>4799.2</v>
      </c>
      <c r="U379" t="s">
        <v>45</v>
      </c>
      <c r="V379" t="str">
        <v>Mushroom Red</v>
      </c>
    </row>
    <row r="380" spans="1:22" ht="19" x14ac:dyDescent="0.25">
      <c r="A380" t="s">
        <v>20</v>
      </c>
      <c r="B380" t="s">
        <v>1134</v>
      </c>
      <c r="C380" t="s">
        <v>1162</v>
      </c>
      <c r="D380" t="s">
        <v>23</v>
      </c>
      <c r="E380" t="s">
        <v>24</v>
      </c>
      <c r="F380" t="s">
        <v>25</v>
      </c>
      <c r="G380" t="s">
        <v>26</v>
      </c>
      <c r="H380" s="14" t="str">
        <f t="shared" si="12"/>
        <v>Jun</v>
      </c>
      <c r="I380" s="15">
        <v>8905302263382</v>
      </c>
      <c r="J380" t="s">
        <v>853</v>
      </c>
      <c r="K380" t="s">
        <v>854</v>
      </c>
      <c r="L380" t="s">
        <v>184</v>
      </c>
      <c r="M380" t="s">
        <v>61</v>
      </c>
      <c r="N380">
        <v>3999</v>
      </c>
      <c r="O380">
        <v>3999</v>
      </c>
      <c r="P380">
        <v>1</v>
      </c>
      <c r="Q380">
        <v>3999</v>
      </c>
      <c r="R380">
        <v>1599.6</v>
      </c>
      <c r="S380">
        <v>0</v>
      </c>
      <c r="T380">
        <v>2399.4</v>
      </c>
      <c r="U380" t="s">
        <v>31</v>
      </c>
      <c r="V380" t="str">
        <v>Wild Flower</v>
      </c>
    </row>
    <row r="381" spans="1:22" ht="19" x14ac:dyDescent="0.25">
      <c r="A381" t="s">
        <v>20</v>
      </c>
      <c r="B381" t="s">
        <v>1134</v>
      </c>
      <c r="C381" t="s">
        <v>1138</v>
      </c>
      <c r="D381" t="s">
        <v>23</v>
      </c>
      <c r="E381" t="s">
        <v>24</v>
      </c>
      <c r="F381" t="s">
        <v>64</v>
      </c>
      <c r="G381" t="s">
        <v>65</v>
      </c>
      <c r="H381" s="14" t="str">
        <f t="shared" si="12"/>
        <v>Jun</v>
      </c>
      <c r="I381" s="15">
        <v>8905302263399</v>
      </c>
      <c r="J381" t="s">
        <v>1041</v>
      </c>
      <c r="K381" t="s">
        <v>1042</v>
      </c>
      <c r="L381" t="s">
        <v>1043</v>
      </c>
      <c r="M381" t="s">
        <v>54</v>
      </c>
      <c r="N381">
        <v>7999</v>
      </c>
      <c r="O381">
        <v>7999</v>
      </c>
      <c r="P381">
        <v>1</v>
      </c>
      <c r="Q381">
        <v>7999</v>
      </c>
      <c r="R381">
        <v>2399.6999999999998</v>
      </c>
      <c r="S381">
        <v>115.43</v>
      </c>
      <c r="T381">
        <v>5483.87</v>
      </c>
      <c r="U381" t="s">
        <v>31</v>
      </c>
      <c r="V381" t="str">
        <v xml:space="preserve">Reverse Classic Blue </v>
      </c>
    </row>
    <row r="382" spans="1:22" ht="19" x14ac:dyDescent="0.25">
      <c r="A382" t="s">
        <v>20</v>
      </c>
      <c r="B382" t="s">
        <v>1134</v>
      </c>
      <c r="C382" t="s">
        <v>1138</v>
      </c>
      <c r="D382" t="s">
        <v>23</v>
      </c>
      <c r="E382" t="s">
        <v>24</v>
      </c>
      <c r="F382" t="s">
        <v>25</v>
      </c>
      <c r="G382" t="s">
        <v>34</v>
      </c>
      <c r="H382" s="14" t="str">
        <f t="shared" si="12"/>
        <v>Jun</v>
      </c>
      <c r="I382" s="15">
        <v>8905302263284</v>
      </c>
      <c r="J382" t="s">
        <v>996</v>
      </c>
      <c r="K382" t="s">
        <v>997</v>
      </c>
      <c r="L382" t="s">
        <v>998</v>
      </c>
      <c r="M382" t="s">
        <v>54</v>
      </c>
      <c r="N382">
        <v>5999</v>
      </c>
      <c r="O382">
        <v>5999</v>
      </c>
      <c r="P382">
        <v>1</v>
      </c>
      <c r="Q382">
        <v>5999</v>
      </c>
      <c r="R382">
        <v>1199.8</v>
      </c>
      <c r="S382">
        <v>98.92</v>
      </c>
      <c r="T382">
        <v>4700.28</v>
      </c>
      <c r="U382" t="s">
        <v>31</v>
      </c>
      <c r="V382" t="str">
        <v>Mushroom Red</v>
      </c>
    </row>
    <row r="383" spans="1:22" ht="19" x14ac:dyDescent="0.25">
      <c r="A383" t="s">
        <v>20</v>
      </c>
      <c r="B383" t="s">
        <v>1134</v>
      </c>
      <c r="C383" t="s">
        <v>1139</v>
      </c>
      <c r="D383" t="s">
        <v>23</v>
      </c>
      <c r="E383" t="s">
        <v>24</v>
      </c>
      <c r="F383" t="s">
        <v>64</v>
      </c>
      <c r="G383" t="s">
        <v>65</v>
      </c>
      <c r="H383" s="14" t="str">
        <f t="shared" si="12"/>
        <v>Jun</v>
      </c>
      <c r="I383" s="15">
        <v>8905302263206</v>
      </c>
      <c r="J383" t="s">
        <v>587</v>
      </c>
      <c r="K383" t="s">
        <v>588</v>
      </c>
      <c r="L383" t="s">
        <v>589</v>
      </c>
      <c r="M383" t="s">
        <v>84</v>
      </c>
      <c r="N383">
        <v>6999</v>
      </c>
      <c r="O383">
        <v>6999</v>
      </c>
      <c r="P383">
        <v>1</v>
      </c>
      <c r="Q383">
        <v>6999</v>
      </c>
      <c r="R383">
        <v>2099.6999999999998</v>
      </c>
      <c r="S383">
        <v>0</v>
      </c>
      <c r="T383">
        <v>4899.3</v>
      </c>
      <c r="U383" t="s">
        <v>45</v>
      </c>
      <c r="V383" t="str">
        <v>Open Bottom Black</v>
      </c>
    </row>
    <row r="384" spans="1:22" ht="19" x14ac:dyDescent="0.25">
      <c r="A384" t="s">
        <v>62</v>
      </c>
      <c r="B384" t="s">
        <v>1134</v>
      </c>
      <c r="C384" t="s">
        <v>1140</v>
      </c>
      <c r="D384" t="s">
        <v>23</v>
      </c>
      <c r="E384" t="s">
        <v>24</v>
      </c>
      <c r="F384" t="s">
        <v>64</v>
      </c>
      <c r="G384" t="s">
        <v>65</v>
      </c>
      <c r="H384" s="14" t="str">
        <f t="shared" si="12"/>
        <v>Jun</v>
      </c>
      <c r="I384" s="15">
        <v>8905302263405</v>
      </c>
      <c r="J384" t="s">
        <v>1003</v>
      </c>
      <c r="K384" t="s">
        <v>1004</v>
      </c>
      <c r="L384" t="s">
        <v>1005</v>
      </c>
      <c r="M384" t="s">
        <v>61</v>
      </c>
      <c r="N384">
        <v>6999</v>
      </c>
      <c r="O384">
        <v>6999</v>
      </c>
      <c r="P384">
        <v>1</v>
      </c>
      <c r="Q384">
        <v>6999</v>
      </c>
      <c r="R384">
        <v>2099.6999999999998</v>
      </c>
      <c r="S384">
        <v>0</v>
      </c>
      <c r="T384">
        <v>4899.3</v>
      </c>
      <c r="U384" t="s">
        <v>55</v>
      </c>
      <c r="V384" t="str">
        <v>Black Dart Denim</v>
      </c>
    </row>
    <row r="385" spans="1:22" ht="19" x14ac:dyDescent="0.25">
      <c r="A385" t="s">
        <v>62</v>
      </c>
      <c r="B385" t="s">
        <v>1134</v>
      </c>
      <c r="C385" t="s">
        <v>1141</v>
      </c>
      <c r="D385" t="s">
        <v>23</v>
      </c>
      <c r="E385" t="s">
        <v>24</v>
      </c>
      <c r="F385" t="s">
        <v>64</v>
      </c>
      <c r="G385" t="s">
        <v>65</v>
      </c>
      <c r="H385" s="14" t="str">
        <f t="shared" si="12"/>
        <v>Jun</v>
      </c>
      <c r="I385" s="15">
        <v>8905302263208</v>
      </c>
      <c r="J385" t="s">
        <v>429</v>
      </c>
      <c r="K385" t="s">
        <v>428</v>
      </c>
      <c r="L385" t="s">
        <v>427</v>
      </c>
      <c r="M385" t="s">
        <v>44</v>
      </c>
      <c r="N385">
        <v>5999</v>
      </c>
      <c r="O385">
        <v>5999</v>
      </c>
      <c r="P385">
        <v>1</v>
      </c>
      <c r="Q385">
        <v>5999</v>
      </c>
      <c r="R385">
        <v>1799.7</v>
      </c>
      <c r="S385">
        <v>0</v>
      </c>
      <c r="T385">
        <v>4199.3</v>
      </c>
      <c r="U385" t="s">
        <v>55</v>
      </c>
      <c r="V385" t="str">
        <v>Half Moon Blue</v>
      </c>
    </row>
    <row r="386" spans="1:22" ht="19" x14ac:dyDescent="0.25">
      <c r="A386" t="s">
        <v>575</v>
      </c>
      <c r="B386" t="s">
        <v>1134</v>
      </c>
      <c r="C386" t="s">
        <v>1163</v>
      </c>
      <c r="D386" t="s">
        <v>23</v>
      </c>
      <c r="E386" t="s">
        <v>24</v>
      </c>
      <c r="F386" t="s">
        <v>64</v>
      </c>
      <c r="G386" t="s">
        <v>65</v>
      </c>
      <c r="H386" s="14" t="str">
        <f t="shared" si="12"/>
        <v>Jun</v>
      </c>
      <c r="I386" s="15">
        <v>8905302263190</v>
      </c>
      <c r="J386" t="s">
        <v>272</v>
      </c>
      <c r="K386" t="s">
        <v>273</v>
      </c>
      <c r="L386" t="s">
        <v>274</v>
      </c>
      <c r="M386" t="s">
        <v>61</v>
      </c>
      <c r="N386">
        <v>7999</v>
      </c>
      <c r="O386">
        <v>7999</v>
      </c>
      <c r="P386">
        <v>1</v>
      </c>
      <c r="Q386">
        <v>7999</v>
      </c>
      <c r="R386">
        <v>2399.6999999999998</v>
      </c>
      <c r="S386">
        <v>0</v>
      </c>
      <c r="T386">
        <v>5599.3</v>
      </c>
      <c r="U386" t="s">
        <v>259</v>
      </c>
      <c r="V386" t="str">
        <v>Duo Pocket Vintage</v>
      </c>
    </row>
    <row r="387" spans="1:22" ht="19" x14ac:dyDescent="0.25">
      <c r="A387" t="s">
        <v>962</v>
      </c>
      <c r="B387" t="s">
        <v>1164</v>
      </c>
      <c r="C387" t="s">
        <v>1165</v>
      </c>
      <c r="D387" t="s">
        <v>23</v>
      </c>
      <c r="E387" t="s">
        <v>24</v>
      </c>
      <c r="F387" t="s">
        <v>25</v>
      </c>
      <c r="G387" t="s">
        <v>34</v>
      </c>
      <c r="H387" s="14" t="str">
        <f t="shared" si="12"/>
        <v>Jun</v>
      </c>
      <c r="I387" s="15">
        <v>8905302263346</v>
      </c>
      <c r="J387" t="s">
        <v>699</v>
      </c>
      <c r="K387" t="s">
        <v>700</v>
      </c>
      <c r="L387" t="s">
        <v>701</v>
      </c>
      <c r="M387" t="s">
        <v>44</v>
      </c>
      <c r="N387">
        <v>5999</v>
      </c>
      <c r="O387">
        <v>5999</v>
      </c>
      <c r="P387">
        <v>1</v>
      </c>
      <c r="Q387">
        <v>5999</v>
      </c>
      <c r="R387">
        <v>1199.8</v>
      </c>
      <c r="S387">
        <v>0</v>
      </c>
      <c r="T387">
        <v>4799.2</v>
      </c>
      <c r="U387" t="s">
        <v>50</v>
      </c>
      <c r="V387" t="str">
        <v>White Blue Stripe</v>
      </c>
    </row>
    <row r="388" spans="1:22" ht="19" x14ac:dyDescent="0.25">
      <c r="A388" t="s">
        <v>962</v>
      </c>
      <c r="B388" t="s">
        <v>1164</v>
      </c>
      <c r="C388" t="s">
        <v>1166</v>
      </c>
      <c r="D388" t="s">
        <v>23</v>
      </c>
      <c r="E388" t="s">
        <v>24</v>
      </c>
      <c r="F388" t="s">
        <v>25</v>
      </c>
      <c r="G388" t="s">
        <v>34</v>
      </c>
      <c r="H388" s="14" t="str">
        <f t="shared" si="12"/>
        <v>Jun</v>
      </c>
      <c r="I388" s="15">
        <v>8905302263345</v>
      </c>
      <c r="J388" t="s">
        <v>610</v>
      </c>
      <c r="K388" t="s">
        <v>611</v>
      </c>
      <c r="L388" t="s">
        <v>612</v>
      </c>
      <c r="M388" t="s">
        <v>61</v>
      </c>
      <c r="N388">
        <v>5999</v>
      </c>
      <c r="O388">
        <v>5999</v>
      </c>
      <c r="P388">
        <v>1</v>
      </c>
      <c r="Q388">
        <v>5999</v>
      </c>
      <c r="R388">
        <v>1199.8</v>
      </c>
      <c r="S388">
        <v>0</v>
      </c>
      <c r="T388">
        <v>4799.2</v>
      </c>
      <c r="U388" t="s">
        <v>39</v>
      </c>
      <c r="V388" t="str">
        <v>White Blue Stripe</v>
      </c>
    </row>
    <row r="389" spans="1:22" ht="19" x14ac:dyDescent="0.25">
      <c r="A389" t="s">
        <v>962</v>
      </c>
      <c r="B389" t="s">
        <v>1164</v>
      </c>
      <c r="C389" t="s">
        <v>1167</v>
      </c>
      <c r="D389" t="s">
        <v>23</v>
      </c>
      <c r="E389" t="s">
        <v>24</v>
      </c>
      <c r="F389" t="s">
        <v>25</v>
      </c>
      <c r="G389" t="s">
        <v>34</v>
      </c>
      <c r="H389" s="14" t="str">
        <f t="shared" si="12"/>
        <v>Jun</v>
      </c>
      <c r="I389" s="15">
        <v>8905302263415</v>
      </c>
      <c r="J389" t="s">
        <v>1168</v>
      </c>
      <c r="K389" t="s">
        <v>1169</v>
      </c>
      <c r="L389" t="s">
        <v>1170</v>
      </c>
      <c r="M389" t="s">
        <v>61</v>
      </c>
      <c r="N389">
        <v>6999</v>
      </c>
      <c r="O389">
        <v>6999</v>
      </c>
      <c r="P389">
        <v>1</v>
      </c>
      <c r="Q389">
        <v>6999</v>
      </c>
      <c r="R389">
        <v>1399.8</v>
      </c>
      <c r="S389">
        <v>0</v>
      </c>
      <c r="T389">
        <v>5599.2</v>
      </c>
      <c r="U389" t="s">
        <v>55</v>
      </c>
      <c r="V389" t="str">
        <v>Creative Black</v>
      </c>
    </row>
    <row r="390" spans="1:22" ht="19" x14ac:dyDescent="0.25">
      <c r="A390" t="s">
        <v>962</v>
      </c>
      <c r="B390" t="s">
        <v>1164</v>
      </c>
      <c r="C390" t="s">
        <v>1171</v>
      </c>
      <c r="D390" t="s">
        <v>23</v>
      </c>
      <c r="E390" t="s">
        <v>24</v>
      </c>
      <c r="F390" t="s">
        <v>25</v>
      </c>
      <c r="G390" t="s">
        <v>26</v>
      </c>
      <c r="H390" s="14" t="str">
        <f t="shared" si="12"/>
        <v>Jun</v>
      </c>
      <c r="I390" s="15">
        <v>8905202264927</v>
      </c>
      <c r="J390" t="s">
        <v>232</v>
      </c>
      <c r="K390" t="s">
        <v>233</v>
      </c>
      <c r="L390" t="s">
        <v>123</v>
      </c>
      <c r="M390" t="s">
        <v>44</v>
      </c>
      <c r="N390">
        <v>2995</v>
      </c>
      <c r="O390">
        <v>2995</v>
      </c>
      <c r="P390">
        <v>1</v>
      </c>
      <c r="Q390">
        <v>2995</v>
      </c>
      <c r="R390">
        <v>1198</v>
      </c>
      <c r="S390">
        <v>0</v>
      </c>
      <c r="T390">
        <v>1797</v>
      </c>
      <c r="U390" t="s">
        <v>45</v>
      </c>
      <c r="V390" t="str">
        <v xml:space="preserve">Stamp Tshirt in Blue </v>
      </c>
    </row>
    <row r="391" spans="1:22" ht="19" x14ac:dyDescent="0.25">
      <c r="A391" t="s">
        <v>962</v>
      </c>
      <c r="B391" t="s">
        <v>1164</v>
      </c>
      <c r="C391" t="s">
        <v>1172</v>
      </c>
      <c r="D391" t="s">
        <v>23</v>
      </c>
      <c r="E391" t="s">
        <v>24</v>
      </c>
      <c r="F391" t="s">
        <v>25</v>
      </c>
      <c r="G391" t="s">
        <v>26</v>
      </c>
      <c r="H391" s="14" t="str">
        <f t="shared" si="12"/>
        <v>Jun</v>
      </c>
      <c r="I391" s="15">
        <v>8905202264835</v>
      </c>
      <c r="J391" t="s">
        <v>552</v>
      </c>
      <c r="K391" t="s">
        <v>553</v>
      </c>
      <c r="L391" t="s">
        <v>53</v>
      </c>
      <c r="M391" t="s">
        <v>54</v>
      </c>
      <c r="N391">
        <v>3995</v>
      </c>
      <c r="O391">
        <v>3995</v>
      </c>
      <c r="P391">
        <v>1</v>
      </c>
      <c r="Q391">
        <v>3995</v>
      </c>
      <c r="R391">
        <v>1598</v>
      </c>
      <c r="S391">
        <v>0</v>
      </c>
      <c r="T391">
        <v>2397</v>
      </c>
      <c r="U391" t="s">
        <v>50</v>
      </c>
      <c r="V391" t="str">
        <v xml:space="preserve"> Psy Bear  Terry Drop Shoulder T-Shirt in Black </v>
      </c>
    </row>
    <row r="392" spans="1:22" ht="19" x14ac:dyDescent="0.25">
      <c r="A392" t="s">
        <v>20</v>
      </c>
      <c r="B392" t="s">
        <v>1164</v>
      </c>
      <c r="C392" t="s">
        <v>1173</v>
      </c>
      <c r="D392" t="s">
        <v>23</v>
      </c>
      <c r="E392" t="s">
        <v>24</v>
      </c>
      <c r="F392" t="s">
        <v>64</v>
      </c>
      <c r="G392" t="s">
        <v>65</v>
      </c>
      <c r="H392" s="14" t="str">
        <f t="shared" si="12"/>
        <v>Jun</v>
      </c>
      <c r="I392" s="15">
        <v>8905302263393</v>
      </c>
      <c r="J392" t="s">
        <v>1015</v>
      </c>
      <c r="K392" t="s">
        <v>1016</v>
      </c>
      <c r="L392" t="s">
        <v>1017</v>
      </c>
      <c r="M392" t="s">
        <v>44</v>
      </c>
      <c r="N392">
        <v>6999</v>
      </c>
      <c r="O392">
        <v>6999</v>
      </c>
      <c r="P392">
        <v>1</v>
      </c>
      <c r="Q392">
        <v>6999</v>
      </c>
      <c r="R392">
        <v>2099.6999999999998</v>
      </c>
      <c r="S392">
        <v>0</v>
      </c>
      <c r="T392">
        <v>4899.3</v>
      </c>
      <c r="U392" t="s">
        <v>50</v>
      </c>
      <c r="V392" t="str">
        <v xml:space="preserve">Blue Baggy Jeans </v>
      </c>
    </row>
    <row r="393" spans="1:22" ht="19" x14ac:dyDescent="0.25">
      <c r="A393" t="s">
        <v>20</v>
      </c>
      <c r="B393" t="s">
        <v>1164</v>
      </c>
      <c r="C393" t="s">
        <v>1174</v>
      </c>
      <c r="D393" t="s">
        <v>23</v>
      </c>
      <c r="E393" t="s">
        <v>24</v>
      </c>
      <c r="F393" t="s">
        <v>25</v>
      </c>
      <c r="G393" t="s">
        <v>26</v>
      </c>
      <c r="H393" s="14" t="str">
        <f t="shared" si="12"/>
        <v>Jun</v>
      </c>
      <c r="I393" s="15">
        <v>8905302263383</v>
      </c>
      <c r="J393" t="s">
        <v>976</v>
      </c>
      <c r="K393" t="s">
        <v>977</v>
      </c>
      <c r="L393" t="s">
        <v>123</v>
      </c>
      <c r="M393" t="s">
        <v>44</v>
      </c>
      <c r="N393">
        <v>3999</v>
      </c>
      <c r="O393">
        <v>3999</v>
      </c>
      <c r="P393">
        <v>1</v>
      </c>
      <c r="Q393">
        <v>3999</v>
      </c>
      <c r="R393">
        <v>1599.6</v>
      </c>
      <c r="S393">
        <v>0</v>
      </c>
      <c r="T393">
        <v>2399.4</v>
      </c>
      <c r="U393" t="s">
        <v>45</v>
      </c>
      <c r="V393" t="str">
        <v>Wild Flower</v>
      </c>
    </row>
    <row r="394" spans="1:22" ht="19" x14ac:dyDescent="0.25">
      <c r="A394" t="s">
        <v>62</v>
      </c>
      <c r="B394" t="s">
        <v>1164</v>
      </c>
      <c r="C394" t="s">
        <v>1175</v>
      </c>
      <c r="D394" t="s">
        <v>23</v>
      </c>
      <c r="E394" t="s">
        <v>24</v>
      </c>
      <c r="F394" t="s">
        <v>25</v>
      </c>
      <c r="G394" t="s">
        <v>26</v>
      </c>
      <c r="H394" s="14" t="str">
        <f t="shared" si="12"/>
        <v>Jun</v>
      </c>
      <c r="I394" s="15">
        <v>8905202264866</v>
      </c>
      <c r="J394" t="s">
        <v>147</v>
      </c>
      <c r="K394" t="s">
        <v>148</v>
      </c>
      <c r="L394" t="s">
        <v>149</v>
      </c>
      <c r="M394" t="s">
        <v>38</v>
      </c>
      <c r="N394">
        <v>3995</v>
      </c>
      <c r="O394">
        <v>3995</v>
      </c>
      <c r="P394">
        <v>1</v>
      </c>
      <c r="Q394">
        <v>3995</v>
      </c>
      <c r="R394">
        <v>1598</v>
      </c>
      <c r="S394">
        <v>0</v>
      </c>
      <c r="T394">
        <v>2397</v>
      </c>
      <c r="U394" t="s">
        <v>55</v>
      </c>
      <c r="V394" t="str">
        <v xml:space="preserve"> Psy Bear  Terry Drop Shoulder T-Shirt in Black </v>
      </c>
    </row>
    <row r="395" spans="1:22" ht="19" x14ac:dyDescent="0.25">
      <c r="A395" t="s">
        <v>62</v>
      </c>
      <c r="B395" t="s">
        <v>1164</v>
      </c>
      <c r="C395" t="s">
        <v>710</v>
      </c>
      <c r="D395" t="s">
        <v>23</v>
      </c>
      <c r="E395" t="s">
        <v>24</v>
      </c>
      <c r="F395" t="s">
        <v>25</v>
      </c>
      <c r="G395" t="s">
        <v>26</v>
      </c>
      <c r="H395" s="14" t="str">
        <f t="shared" si="12"/>
        <v>Jun</v>
      </c>
      <c r="I395" s="15">
        <v>8905202264644</v>
      </c>
      <c r="J395" t="s">
        <v>1176</v>
      </c>
      <c r="K395">
        <v>8905202264644</v>
      </c>
      <c r="L395" t="s">
        <v>251</v>
      </c>
      <c r="M395" t="s">
        <v>84</v>
      </c>
      <c r="N395">
        <v>3495</v>
      </c>
      <c r="O395">
        <v>3495</v>
      </c>
      <c r="P395">
        <v>1</v>
      </c>
      <c r="Q395">
        <v>3495</v>
      </c>
      <c r="R395">
        <v>1398</v>
      </c>
      <c r="S395">
        <v>0</v>
      </c>
      <c r="T395">
        <v>2097</v>
      </c>
      <c r="U395" t="s">
        <v>45</v>
      </c>
      <c r="V395" t="str">
        <v xml:space="preserve">Mumbai  Terry Drop Shoulder T-Shirt in Black </v>
      </c>
    </row>
    <row r="396" spans="1:22" ht="19" x14ac:dyDescent="0.25">
      <c r="A396" t="s">
        <v>62</v>
      </c>
      <c r="B396" t="s">
        <v>1164</v>
      </c>
      <c r="C396" t="s">
        <v>1177</v>
      </c>
      <c r="D396" t="s">
        <v>23</v>
      </c>
      <c r="E396" t="s">
        <v>24</v>
      </c>
      <c r="F396" t="s">
        <v>64</v>
      </c>
      <c r="G396" t="s">
        <v>65</v>
      </c>
      <c r="H396" s="14" t="str">
        <f t="shared" si="12"/>
        <v>Jun</v>
      </c>
      <c r="I396" s="15">
        <v>8905302263358</v>
      </c>
      <c r="J396" t="s">
        <v>868</v>
      </c>
      <c r="K396" t="s">
        <v>869</v>
      </c>
      <c r="L396" t="s">
        <v>601</v>
      </c>
      <c r="M396" t="s">
        <v>61</v>
      </c>
      <c r="N396">
        <v>7999</v>
      </c>
      <c r="O396">
        <v>7999</v>
      </c>
      <c r="P396">
        <v>1</v>
      </c>
      <c r="Q396">
        <v>7999</v>
      </c>
      <c r="R396">
        <v>2399.6999999999998</v>
      </c>
      <c r="S396">
        <v>0</v>
      </c>
      <c r="T396">
        <v>5599.3</v>
      </c>
      <c r="U396" t="s">
        <v>45</v>
      </c>
      <c r="V396" t="str">
        <v>Blue Paint Splash</v>
      </c>
    </row>
    <row r="397" spans="1:22" ht="19" x14ac:dyDescent="0.25">
      <c r="A397" t="s">
        <v>575</v>
      </c>
      <c r="B397" t="s">
        <v>1164</v>
      </c>
      <c r="C397" t="s">
        <v>1178</v>
      </c>
      <c r="D397" t="s">
        <v>23</v>
      </c>
      <c r="E397" t="s">
        <v>24</v>
      </c>
      <c r="F397" t="s">
        <v>25</v>
      </c>
      <c r="G397" t="s">
        <v>26</v>
      </c>
      <c r="H397" s="14" t="str">
        <f t="shared" si="12"/>
        <v>Jun</v>
      </c>
      <c r="I397" s="15">
        <v>8905202264897</v>
      </c>
      <c r="J397" t="s">
        <v>203</v>
      </c>
      <c r="K397">
        <v>8905202264897</v>
      </c>
      <c r="L397" t="s">
        <v>191</v>
      </c>
      <c r="M397" t="s">
        <v>61</v>
      </c>
      <c r="N397">
        <v>2995</v>
      </c>
      <c r="O397">
        <v>2995</v>
      </c>
      <c r="P397">
        <v>1</v>
      </c>
      <c r="Q397">
        <v>2995</v>
      </c>
      <c r="R397">
        <v>1198</v>
      </c>
      <c r="S397">
        <v>0</v>
      </c>
      <c r="T397">
        <v>1797</v>
      </c>
      <c r="U397" t="s">
        <v>45</v>
      </c>
      <c r="V397" t="str">
        <v xml:space="preserve"> Ballet Queen Drop Shoulder T-Shirt in White</v>
      </c>
    </row>
    <row r="398" spans="1:22" ht="19" x14ac:dyDescent="0.25">
      <c r="A398" t="s">
        <v>962</v>
      </c>
      <c r="B398" t="s">
        <v>1179</v>
      </c>
      <c r="C398" t="s">
        <v>1180</v>
      </c>
      <c r="D398" t="s">
        <v>23</v>
      </c>
      <c r="E398" t="s">
        <v>24</v>
      </c>
      <c r="F398" t="s">
        <v>25</v>
      </c>
      <c r="G398" t="s">
        <v>26</v>
      </c>
      <c r="H398" s="14" t="str">
        <f t="shared" si="12"/>
        <v>Jun</v>
      </c>
      <c r="I398" s="15">
        <v>8905202269441</v>
      </c>
      <c r="J398" t="s">
        <v>554</v>
      </c>
      <c r="K398" t="s">
        <v>555</v>
      </c>
      <c r="L398" t="s">
        <v>556</v>
      </c>
      <c r="M398" t="s">
        <v>54</v>
      </c>
      <c r="N398">
        <v>3995</v>
      </c>
      <c r="O398">
        <v>3995</v>
      </c>
      <c r="P398">
        <v>1</v>
      </c>
      <c r="Q398">
        <v>3995</v>
      </c>
      <c r="R398">
        <v>1598</v>
      </c>
      <c r="S398">
        <v>0</v>
      </c>
      <c r="T398">
        <v>2397</v>
      </c>
      <c r="U398" t="s">
        <v>45</v>
      </c>
      <c r="V398" t="str">
        <v>Surfer print  drop shoulder crew neck oversized t-shirt.</v>
      </c>
    </row>
    <row r="399" spans="1:22" ht="19" x14ac:dyDescent="0.25">
      <c r="A399" t="s">
        <v>62</v>
      </c>
      <c r="B399" t="s">
        <v>1179</v>
      </c>
      <c r="C399" t="s">
        <v>1181</v>
      </c>
      <c r="D399" t="s">
        <v>23</v>
      </c>
      <c r="E399" t="s">
        <v>24</v>
      </c>
      <c r="F399" t="s">
        <v>25</v>
      </c>
      <c r="G399" t="s">
        <v>34</v>
      </c>
      <c r="H399" s="14" t="str">
        <f t="shared" si="12"/>
        <v>Jun</v>
      </c>
      <c r="I399" s="15">
        <v>8905302263303</v>
      </c>
      <c r="J399" t="s">
        <v>969</v>
      </c>
      <c r="K399" t="s">
        <v>970</v>
      </c>
      <c r="L399" t="s">
        <v>667</v>
      </c>
      <c r="M399" t="s">
        <v>54</v>
      </c>
      <c r="N399">
        <v>4999</v>
      </c>
      <c r="O399">
        <v>4999</v>
      </c>
      <c r="P399">
        <v>1</v>
      </c>
      <c r="Q399">
        <v>4999</v>
      </c>
      <c r="R399">
        <v>999.8</v>
      </c>
      <c r="S399">
        <v>0</v>
      </c>
      <c r="T399">
        <v>2999.2</v>
      </c>
      <c r="U399" t="s">
        <v>31</v>
      </c>
      <c r="V399" t="str">
        <v>Blue Heart</v>
      </c>
    </row>
    <row r="400" spans="1:22" ht="19" x14ac:dyDescent="0.25">
      <c r="A400" t="s">
        <v>962</v>
      </c>
      <c r="B400" t="s">
        <v>1182</v>
      </c>
      <c r="C400" t="s">
        <v>1183</v>
      </c>
      <c r="D400" t="s">
        <v>23</v>
      </c>
      <c r="E400" t="s">
        <v>24</v>
      </c>
      <c r="F400" t="s">
        <v>25</v>
      </c>
      <c r="G400" t="s">
        <v>34</v>
      </c>
      <c r="H400" s="14" t="str">
        <f t="shared" si="12"/>
        <v>Jun</v>
      </c>
      <c r="I400" s="15">
        <v>8905302263389</v>
      </c>
      <c r="J400" t="s">
        <v>1011</v>
      </c>
      <c r="K400" t="s">
        <v>1012</v>
      </c>
      <c r="L400" t="s">
        <v>667</v>
      </c>
      <c r="M400" t="s">
        <v>54</v>
      </c>
      <c r="N400">
        <v>4999</v>
      </c>
      <c r="O400">
        <v>4999</v>
      </c>
      <c r="P400">
        <v>1</v>
      </c>
      <c r="Q400">
        <v>4999</v>
      </c>
      <c r="R400">
        <v>999.8</v>
      </c>
      <c r="S400">
        <v>0</v>
      </c>
      <c r="T400">
        <v>3999.2</v>
      </c>
      <c r="U400" t="s">
        <v>45</v>
      </c>
      <c r="V400" t="str">
        <v>Victory Stripe Blue</v>
      </c>
    </row>
    <row r="401" spans="1:22" ht="19" x14ac:dyDescent="0.25">
      <c r="A401" t="s">
        <v>962</v>
      </c>
      <c r="B401" t="s">
        <v>1182</v>
      </c>
      <c r="C401">
        <v>98110370260</v>
      </c>
      <c r="D401" t="s">
        <v>23</v>
      </c>
      <c r="E401" t="s">
        <v>24</v>
      </c>
      <c r="F401" t="s">
        <v>64</v>
      </c>
      <c r="G401" t="s">
        <v>65</v>
      </c>
      <c r="H401" s="14" t="str">
        <f t="shared" si="12"/>
        <v>Jun</v>
      </c>
      <c r="I401" s="15">
        <v>8905302263363</v>
      </c>
      <c r="J401" t="s">
        <v>849</v>
      </c>
      <c r="K401" t="s">
        <v>850</v>
      </c>
      <c r="L401" t="s">
        <v>851</v>
      </c>
      <c r="M401" t="s">
        <v>44</v>
      </c>
      <c r="N401">
        <v>7999</v>
      </c>
      <c r="O401">
        <v>7999</v>
      </c>
      <c r="P401">
        <v>1</v>
      </c>
      <c r="Q401">
        <v>7999</v>
      </c>
      <c r="R401">
        <v>2399.6999999999998</v>
      </c>
      <c r="S401">
        <v>0</v>
      </c>
      <c r="T401">
        <v>5599.3</v>
      </c>
      <c r="U401" t="s">
        <v>45</v>
      </c>
      <c r="V401" t="str">
        <v>Black Paint Splash</v>
      </c>
    </row>
    <row r="402" spans="1:22" ht="19" x14ac:dyDescent="0.25">
      <c r="A402" t="s">
        <v>962</v>
      </c>
      <c r="B402" t="s">
        <v>1182</v>
      </c>
      <c r="D402" t="s">
        <v>23</v>
      </c>
      <c r="E402" t="s">
        <v>24</v>
      </c>
      <c r="F402" t="s">
        <v>25</v>
      </c>
      <c r="G402" t="s">
        <v>26</v>
      </c>
      <c r="H402" s="14" t="str">
        <f t="shared" ref="H402:H468" si="13">TEXT(DATE(RIGHT(B402,4),MID(B402,4,2),LEFT(B402,2)),"mmm")</f>
        <v>Jun</v>
      </c>
      <c r="I402" s="15">
        <v>8905202264880</v>
      </c>
      <c r="J402" t="s">
        <v>417</v>
      </c>
      <c r="K402">
        <v>8905202264880</v>
      </c>
      <c r="L402" t="s">
        <v>416</v>
      </c>
      <c r="M402" t="s">
        <v>54</v>
      </c>
      <c r="N402">
        <v>2995</v>
      </c>
      <c r="O402">
        <v>2995</v>
      </c>
      <c r="P402">
        <v>1</v>
      </c>
      <c r="Q402">
        <v>2995</v>
      </c>
      <c r="R402">
        <v>1198</v>
      </c>
      <c r="S402">
        <v>0</v>
      </c>
      <c r="T402">
        <v>1797</v>
      </c>
      <c r="U402" t="s">
        <v>45</v>
      </c>
      <c r="V402" t="str">
        <v xml:space="preserve"> Ballet Queen Drop Shoulder T-Shirt in White</v>
      </c>
    </row>
    <row r="403" spans="1:22" ht="19" x14ac:dyDescent="0.25">
      <c r="A403" t="s">
        <v>62</v>
      </c>
      <c r="B403" t="s">
        <v>1182</v>
      </c>
      <c r="C403" t="s">
        <v>1184</v>
      </c>
      <c r="D403" t="s">
        <v>23</v>
      </c>
      <c r="E403" t="s">
        <v>24</v>
      </c>
      <c r="F403" t="s">
        <v>25</v>
      </c>
      <c r="G403" t="s">
        <v>26</v>
      </c>
      <c r="H403" s="14" t="str">
        <f t="shared" si="13"/>
        <v>Jun</v>
      </c>
      <c r="I403" s="15">
        <v>8905302263376</v>
      </c>
      <c r="J403" t="s">
        <v>864</v>
      </c>
      <c r="K403" t="s">
        <v>865</v>
      </c>
      <c r="L403" t="s">
        <v>866</v>
      </c>
      <c r="M403" t="s">
        <v>61</v>
      </c>
      <c r="N403">
        <v>3999</v>
      </c>
      <c r="O403">
        <v>3999</v>
      </c>
      <c r="P403">
        <v>1</v>
      </c>
      <c r="Q403">
        <v>3999</v>
      </c>
      <c r="R403">
        <v>1599.6</v>
      </c>
      <c r="S403">
        <v>0</v>
      </c>
      <c r="T403">
        <v>2399.4</v>
      </c>
      <c r="U403" t="s">
        <v>55</v>
      </c>
      <c r="V403" t="str">
        <v>Monaco</v>
      </c>
    </row>
    <row r="404" spans="1:22" ht="19" x14ac:dyDescent="0.25">
      <c r="A404" t="s">
        <v>62</v>
      </c>
      <c r="B404" t="s">
        <v>1182</v>
      </c>
      <c r="C404" t="s">
        <v>1185</v>
      </c>
      <c r="D404" t="s">
        <v>23</v>
      </c>
      <c r="E404" t="s">
        <v>24</v>
      </c>
      <c r="F404" t="s">
        <v>25</v>
      </c>
      <c r="G404" t="s">
        <v>26</v>
      </c>
      <c r="H404" s="14" t="str">
        <f t="shared" si="13"/>
        <v>Jun</v>
      </c>
      <c r="I404" s="15">
        <v>8905202265030</v>
      </c>
      <c r="J404" t="s">
        <v>688</v>
      </c>
      <c r="K404" t="s">
        <v>689</v>
      </c>
      <c r="L404" t="s">
        <v>690</v>
      </c>
      <c r="M404" t="s">
        <v>54</v>
      </c>
      <c r="N404">
        <v>2995</v>
      </c>
      <c r="O404">
        <v>2995</v>
      </c>
      <c r="P404">
        <v>1</v>
      </c>
      <c r="Q404">
        <v>2995</v>
      </c>
      <c r="R404">
        <v>1198</v>
      </c>
      <c r="S404">
        <v>0</v>
      </c>
      <c r="T404">
        <v>1797</v>
      </c>
      <c r="U404" t="s">
        <v>50</v>
      </c>
      <c r="V404" t="str">
        <v xml:space="preserve">Stamp Tshirt in Blue </v>
      </c>
    </row>
    <row r="405" spans="1:22" ht="19" x14ac:dyDescent="0.25">
      <c r="A405" t="s">
        <v>62</v>
      </c>
      <c r="B405" t="s">
        <v>1182</v>
      </c>
      <c r="C405" t="s">
        <v>1186</v>
      </c>
      <c r="D405" t="s">
        <v>23</v>
      </c>
      <c r="E405" t="s">
        <v>24</v>
      </c>
      <c r="F405" t="s">
        <v>64</v>
      </c>
      <c r="G405" t="s">
        <v>65</v>
      </c>
      <c r="H405" s="14" t="str">
        <f t="shared" si="13"/>
        <v>Jun</v>
      </c>
      <c r="I405" s="15">
        <v>8905302263317</v>
      </c>
      <c r="J405" t="s">
        <v>1187</v>
      </c>
      <c r="K405" t="s">
        <v>1188</v>
      </c>
      <c r="L405" t="s">
        <v>877</v>
      </c>
      <c r="M405" t="s">
        <v>54</v>
      </c>
      <c r="N405">
        <v>6999</v>
      </c>
      <c r="O405">
        <v>6999</v>
      </c>
      <c r="P405">
        <v>1</v>
      </c>
      <c r="Q405">
        <v>6999</v>
      </c>
      <c r="R405">
        <v>2099.6999999999998</v>
      </c>
      <c r="S405">
        <v>0</v>
      </c>
      <c r="T405">
        <v>4899.3</v>
      </c>
      <c r="U405" t="s">
        <v>45</v>
      </c>
      <c r="V405" t="str">
        <v>Black Paint Brush</v>
      </c>
    </row>
    <row r="406" spans="1:22" ht="19" x14ac:dyDescent="0.25">
      <c r="A406" t="s">
        <v>62</v>
      </c>
      <c r="B406" t="s">
        <v>1182</v>
      </c>
      <c r="C406" t="s">
        <v>1189</v>
      </c>
      <c r="D406" t="s">
        <v>23</v>
      </c>
      <c r="E406" t="s">
        <v>24</v>
      </c>
      <c r="F406" t="s">
        <v>64</v>
      </c>
      <c r="G406" t="s">
        <v>65</v>
      </c>
      <c r="H406" s="14" t="str">
        <f t="shared" si="13"/>
        <v>Jun</v>
      </c>
      <c r="I406" s="15">
        <v>8905302263360</v>
      </c>
      <c r="J406" t="s">
        <v>744</v>
      </c>
      <c r="K406" t="s">
        <v>745</v>
      </c>
      <c r="L406" t="s">
        <v>743</v>
      </c>
      <c r="M406" t="s">
        <v>38</v>
      </c>
      <c r="N406">
        <v>7999</v>
      </c>
      <c r="O406">
        <v>7999</v>
      </c>
      <c r="P406">
        <v>1</v>
      </c>
      <c r="Q406">
        <v>7999</v>
      </c>
      <c r="R406">
        <v>2399.6999999999998</v>
      </c>
      <c r="S406">
        <v>0</v>
      </c>
      <c r="T406">
        <v>5599.3</v>
      </c>
      <c r="U406" t="s">
        <v>50</v>
      </c>
      <c r="V406" t="str">
        <v>Blue Paint Splash</v>
      </c>
    </row>
    <row r="407" spans="1:22" ht="19" x14ac:dyDescent="0.25">
      <c r="A407" t="s">
        <v>62</v>
      </c>
      <c r="B407" t="s">
        <v>1182</v>
      </c>
      <c r="C407" t="s">
        <v>1190</v>
      </c>
      <c r="D407" t="s">
        <v>23</v>
      </c>
      <c r="E407" t="s">
        <v>24</v>
      </c>
      <c r="F407" t="s">
        <v>25</v>
      </c>
      <c r="G407" t="s">
        <v>26</v>
      </c>
      <c r="H407" s="14" t="str">
        <f t="shared" si="13"/>
        <v>Jun</v>
      </c>
      <c r="I407" s="15">
        <v>8905202269434</v>
      </c>
      <c r="J407" t="s">
        <v>155</v>
      </c>
      <c r="K407" t="s">
        <v>156</v>
      </c>
      <c r="L407" t="s">
        <v>157</v>
      </c>
      <c r="M407" t="s">
        <v>61</v>
      </c>
      <c r="N407">
        <v>3995</v>
      </c>
      <c r="O407">
        <v>3995</v>
      </c>
      <c r="P407">
        <v>1</v>
      </c>
      <c r="Q407">
        <v>3995</v>
      </c>
      <c r="R407">
        <v>1598</v>
      </c>
      <c r="S407">
        <v>0</v>
      </c>
      <c r="T407">
        <v>2397</v>
      </c>
      <c r="U407" t="s">
        <v>45</v>
      </c>
      <c r="V407" t="str">
        <v>Surfer print  drop shoulder crew neck oversized t-shirt.</v>
      </c>
    </row>
    <row r="408" spans="1:22" s="48" customFormat="1" ht="19" x14ac:dyDescent="0.25">
      <c r="A408" s="189" t="s">
        <v>62</v>
      </c>
      <c r="B408" s="189" t="s">
        <v>1205</v>
      </c>
      <c r="C408" s="189" t="s">
        <v>1099</v>
      </c>
      <c r="D408" s="189" t="s">
        <v>23</v>
      </c>
      <c r="E408" s="189" t="s">
        <v>24</v>
      </c>
      <c r="F408" s="189" t="s">
        <v>25</v>
      </c>
      <c r="G408" s="189" t="s">
        <v>26</v>
      </c>
      <c r="H408" s="190" t="str">
        <f t="shared" si="13"/>
        <v>Jul</v>
      </c>
      <c r="I408" s="189">
        <v>8905202264873</v>
      </c>
      <c r="J408" s="189" t="s">
        <v>130</v>
      </c>
      <c r="K408" s="189" t="s">
        <v>131</v>
      </c>
      <c r="L408" s="189" t="s">
        <v>94</v>
      </c>
      <c r="M408" s="189" t="s">
        <v>44</v>
      </c>
      <c r="N408" s="189">
        <v>3995</v>
      </c>
      <c r="O408" s="189">
        <v>3995</v>
      </c>
      <c r="P408" s="189">
        <v>-1</v>
      </c>
      <c r="Q408" s="189">
        <v>-3995</v>
      </c>
      <c r="R408" s="189">
        <v>-1598</v>
      </c>
      <c r="S408" s="189">
        <v>0</v>
      </c>
      <c r="T408" s="189">
        <v>-2397</v>
      </c>
      <c r="U408" s="189" t="s">
        <v>647</v>
      </c>
      <c r="V408" s="189" t="str">
        <v xml:space="preserve"> Psy Bear  Terry Drop Shoulder T-Shirt in Black </v>
      </c>
    </row>
    <row r="409" spans="1:22" s="48" customFormat="1" ht="19" x14ac:dyDescent="0.25">
      <c r="A409" s="189" t="s">
        <v>62</v>
      </c>
      <c r="B409" s="189" t="s">
        <v>1205</v>
      </c>
      <c r="C409" s="189" t="s">
        <v>1099</v>
      </c>
      <c r="D409" s="189" t="s">
        <v>23</v>
      </c>
      <c r="E409" s="189" t="s">
        <v>24</v>
      </c>
      <c r="F409" s="189" t="s">
        <v>25</v>
      </c>
      <c r="G409" s="189" t="s">
        <v>26</v>
      </c>
      <c r="H409" s="190" t="str">
        <f t="shared" si="13"/>
        <v>Jul</v>
      </c>
      <c r="I409" s="189">
        <v>8905202269106</v>
      </c>
      <c r="J409" s="189" t="s">
        <v>47</v>
      </c>
      <c r="K409" s="189" t="s">
        <v>48</v>
      </c>
      <c r="L409" s="189" t="s">
        <v>49</v>
      </c>
      <c r="M409" s="189" t="s">
        <v>38</v>
      </c>
      <c r="N409" s="189">
        <v>3495</v>
      </c>
      <c r="O409" s="189">
        <v>3495</v>
      </c>
      <c r="P409" s="189">
        <v>-1</v>
      </c>
      <c r="Q409" s="189">
        <v>-3495</v>
      </c>
      <c r="R409" s="189">
        <v>-1398</v>
      </c>
      <c r="S409" s="189">
        <v>0</v>
      </c>
      <c r="T409" s="189">
        <v>-2097</v>
      </c>
      <c r="U409" s="189" t="s">
        <v>647</v>
      </c>
      <c r="V409" s="189" t="str">
        <v>MENS  Oversized  T-Shirt London</v>
      </c>
    </row>
    <row r="410" spans="1:22" s="48" customFormat="1" ht="19" x14ac:dyDescent="0.25">
      <c r="A410" s="189" t="s">
        <v>20</v>
      </c>
      <c r="B410" s="189" t="s">
        <v>1261</v>
      </c>
      <c r="C410" s="189" t="s">
        <v>1131</v>
      </c>
      <c r="D410" s="189" t="s">
        <v>23</v>
      </c>
      <c r="E410" s="189" t="s">
        <v>24</v>
      </c>
      <c r="F410" s="189" t="s">
        <v>25</v>
      </c>
      <c r="G410" s="189" t="s">
        <v>34</v>
      </c>
      <c r="H410" s="190" t="str">
        <f t="shared" si="13"/>
        <v>Jul</v>
      </c>
      <c r="I410" s="189">
        <v>8905302263344</v>
      </c>
      <c r="J410" s="189" t="s">
        <v>734</v>
      </c>
      <c r="K410" s="189" t="s">
        <v>735</v>
      </c>
      <c r="L410" s="189" t="s">
        <v>736</v>
      </c>
      <c r="M410" s="189" t="s">
        <v>54</v>
      </c>
      <c r="N410" s="189">
        <v>5999</v>
      </c>
      <c r="O410" s="189">
        <v>5999</v>
      </c>
      <c r="P410" s="189">
        <v>-1</v>
      </c>
      <c r="Q410" s="189">
        <v>-5999</v>
      </c>
      <c r="R410" s="189">
        <v>-1199.8</v>
      </c>
      <c r="S410" s="189">
        <v>0</v>
      </c>
      <c r="T410" s="189">
        <v>-4799.2</v>
      </c>
      <c r="U410" s="189" t="s">
        <v>647</v>
      </c>
      <c r="V410" s="189" t="str">
        <v>White Blue Stripe</v>
      </c>
    </row>
    <row r="411" spans="1:22" s="48" customFormat="1" ht="19" x14ac:dyDescent="0.25">
      <c r="A411" s="189" t="s">
        <v>62</v>
      </c>
      <c r="B411" s="189" t="s">
        <v>1261</v>
      </c>
      <c r="C411" s="189" t="s">
        <v>1269</v>
      </c>
      <c r="D411" s="189" t="s">
        <v>23</v>
      </c>
      <c r="E411" s="189" t="s">
        <v>24</v>
      </c>
      <c r="F411" s="189" t="s">
        <v>25</v>
      </c>
      <c r="G411" s="189" t="s">
        <v>34</v>
      </c>
      <c r="H411" s="190" t="str">
        <f t="shared" si="13"/>
        <v>Jul</v>
      </c>
      <c r="I411" s="189">
        <v>8905302263252</v>
      </c>
      <c r="J411" s="189" t="s">
        <v>1102</v>
      </c>
      <c r="K411" s="189" t="s">
        <v>1103</v>
      </c>
      <c r="L411" s="189" t="s">
        <v>1104</v>
      </c>
      <c r="M411" s="189" t="s">
        <v>44</v>
      </c>
      <c r="N411" s="189">
        <v>4999</v>
      </c>
      <c r="O411" s="189">
        <v>4999</v>
      </c>
      <c r="P411" s="189">
        <v>-1</v>
      </c>
      <c r="Q411" s="189">
        <v>-4999</v>
      </c>
      <c r="R411" s="189">
        <v>-999.8</v>
      </c>
      <c r="S411" s="189">
        <v>0</v>
      </c>
      <c r="T411" s="189">
        <v>-3999.2</v>
      </c>
      <c r="U411" s="189" t="s">
        <v>647</v>
      </c>
      <c r="V411" s="189" t="str">
        <v>School Micro checks  Black</v>
      </c>
    </row>
    <row r="412" spans="1:22" s="48" customFormat="1" ht="19" x14ac:dyDescent="0.25">
      <c r="A412" s="189" t="s">
        <v>20</v>
      </c>
      <c r="B412" s="189" t="s">
        <v>1321</v>
      </c>
      <c r="C412" s="189" t="s">
        <v>1083</v>
      </c>
      <c r="D412" s="189" t="s">
        <v>23</v>
      </c>
      <c r="E412" s="189" t="s">
        <v>24</v>
      </c>
      <c r="F412" s="189" t="s">
        <v>25</v>
      </c>
      <c r="G412" s="189" t="s">
        <v>26</v>
      </c>
      <c r="H412" s="190" t="str">
        <f t="shared" si="13"/>
        <v>Jul</v>
      </c>
      <c r="I412" s="189">
        <v>8905202269311</v>
      </c>
      <c r="J412" s="189" t="s">
        <v>1084</v>
      </c>
      <c r="K412" s="189" t="s">
        <v>1085</v>
      </c>
      <c r="L412" s="189" t="s">
        <v>251</v>
      </c>
      <c r="M412" s="189" t="s">
        <v>84</v>
      </c>
      <c r="N412" s="189">
        <v>3495</v>
      </c>
      <c r="O412" s="189">
        <v>3495</v>
      </c>
      <c r="P412" s="189">
        <v>-1</v>
      </c>
      <c r="Q412" s="189">
        <v>-3495</v>
      </c>
      <c r="R412" s="189">
        <v>-1398</v>
      </c>
      <c r="S412" s="189">
        <v>0</v>
      </c>
      <c r="T412" s="189">
        <v>-2097</v>
      </c>
      <c r="U412" s="189" t="s">
        <v>647</v>
      </c>
      <c r="V412" s="189" t="str">
        <v xml:space="preserve">Back Graffti print Drop Shoulder Crew Neck T-Shirt                                                 </v>
      </c>
    </row>
    <row r="413" spans="1:22" s="48" customFormat="1" ht="19" x14ac:dyDescent="0.25">
      <c r="A413" s="189" t="s">
        <v>62</v>
      </c>
      <c r="B413" s="189" t="s">
        <v>1322</v>
      </c>
      <c r="C413" s="189" t="s">
        <v>799</v>
      </c>
      <c r="D413" s="189" t="s">
        <v>23</v>
      </c>
      <c r="E413" s="189" t="s">
        <v>24</v>
      </c>
      <c r="F413" s="189" t="s">
        <v>25</v>
      </c>
      <c r="G413" s="189" t="s">
        <v>34</v>
      </c>
      <c r="H413" s="190" t="str">
        <f t="shared" si="13"/>
        <v>Jul</v>
      </c>
      <c r="I413" s="189">
        <v>8905302263310</v>
      </c>
      <c r="J413" s="189" t="s">
        <v>800</v>
      </c>
      <c r="K413" s="189" t="s">
        <v>801</v>
      </c>
      <c r="L413" s="189" t="s">
        <v>802</v>
      </c>
      <c r="M413" s="189" t="s">
        <v>44</v>
      </c>
      <c r="N413" s="189">
        <v>4999</v>
      </c>
      <c r="O413" s="189">
        <v>4999</v>
      </c>
      <c r="P413" s="189">
        <v>-1</v>
      </c>
      <c r="Q413" s="189">
        <v>-4999</v>
      </c>
      <c r="R413" s="189">
        <v>0</v>
      </c>
      <c r="S413" s="189">
        <v>0</v>
      </c>
      <c r="T413" s="189">
        <v>-4999</v>
      </c>
      <c r="U413" s="189" t="s">
        <v>647</v>
      </c>
      <c r="V413" s="189" t="str">
        <v>Mom's Warning</v>
      </c>
    </row>
    <row r="414" spans="1:22" s="48" customFormat="1" ht="19" x14ac:dyDescent="0.25">
      <c r="A414" s="189" t="s">
        <v>575</v>
      </c>
      <c r="B414" s="189" t="s">
        <v>1332</v>
      </c>
      <c r="C414" s="189" t="s">
        <v>937</v>
      </c>
      <c r="D414" s="189" t="s">
        <v>23</v>
      </c>
      <c r="E414" s="189" t="s">
        <v>24</v>
      </c>
      <c r="F414" s="189" t="s">
        <v>25</v>
      </c>
      <c r="G414" s="189" t="s">
        <v>34</v>
      </c>
      <c r="H414" s="190" t="str">
        <f t="shared" si="13"/>
        <v>Jul</v>
      </c>
      <c r="I414" s="189">
        <v>8905302263322</v>
      </c>
      <c r="J414" s="189" t="s">
        <v>938</v>
      </c>
      <c r="K414" s="189" t="s">
        <v>939</v>
      </c>
      <c r="L414" s="189" t="s">
        <v>661</v>
      </c>
      <c r="M414" s="189" t="s">
        <v>61</v>
      </c>
      <c r="N414" s="189">
        <v>6999</v>
      </c>
      <c r="O414" s="189">
        <v>6999</v>
      </c>
      <c r="P414" s="189">
        <v>-1</v>
      </c>
      <c r="Q414" s="189">
        <v>-6999</v>
      </c>
      <c r="R414" s="189">
        <v>0</v>
      </c>
      <c r="S414" s="189">
        <v>0</v>
      </c>
      <c r="T414" s="189">
        <v>-6999</v>
      </c>
      <c r="U414" s="189" t="s">
        <v>647</v>
      </c>
      <c r="V414" s="189" t="str">
        <v>Green Flower Checks</v>
      </c>
    </row>
    <row r="415" spans="1:22" ht="19" x14ac:dyDescent="0.25">
      <c r="A415" t="s">
        <v>962</v>
      </c>
      <c r="B415" t="s">
        <v>1208</v>
      </c>
      <c r="C415" t="s">
        <v>1209</v>
      </c>
      <c r="D415" t="s">
        <v>23</v>
      </c>
      <c r="E415" t="s">
        <v>24</v>
      </c>
      <c r="F415" t="s">
        <v>25</v>
      </c>
      <c r="G415" t="s">
        <v>26</v>
      </c>
      <c r="H415" s="172" t="str">
        <f t="shared" si="13"/>
        <v>Jul</v>
      </c>
      <c r="I415">
        <v>8905202264644</v>
      </c>
      <c r="J415" t="s">
        <v>1176</v>
      </c>
      <c r="K415">
        <v>8905202264644</v>
      </c>
      <c r="L415" t="s">
        <v>251</v>
      </c>
      <c r="M415" t="s">
        <v>84</v>
      </c>
      <c r="N415">
        <v>3495</v>
      </c>
      <c r="O415">
        <v>3495</v>
      </c>
      <c r="P415">
        <v>1</v>
      </c>
      <c r="Q415">
        <v>3495</v>
      </c>
      <c r="R415">
        <v>1398</v>
      </c>
      <c r="S415">
        <v>0</v>
      </c>
      <c r="T415">
        <v>2097</v>
      </c>
      <c r="U415" t="s">
        <v>31</v>
      </c>
      <c r="V415" t="str">
        <v xml:space="preserve">Mumbai  Terry Drop Shoulder T-Shirt in Black </v>
      </c>
    </row>
    <row r="416" spans="1:22" ht="19" x14ac:dyDescent="0.25">
      <c r="A416" t="s">
        <v>62</v>
      </c>
      <c r="B416" t="s">
        <v>1208</v>
      </c>
      <c r="C416" t="s">
        <v>1210</v>
      </c>
      <c r="D416" t="s">
        <v>23</v>
      </c>
      <c r="E416" t="s">
        <v>24</v>
      </c>
      <c r="F416" t="s">
        <v>64</v>
      </c>
      <c r="G416" t="s">
        <v>65</v>
      </c>
      <c r="H416" s="172" t="str">
        <f t="shared" si="13"/>
        <v>Jul</v>
      </c>
      <c r="I416">
        <v>8905302263192</v>
      </c>
      <c r="J416" t="s">
        <v>465</v>
      </c>
      <c r="K416" t="s">
        <v>464</v>
      </c>
      <c r="L416" t="s">
        <v>463</v>
      </c>
      <c r="M416" t="s">
        <v>38</v>
      </c>
      <c r="N416">
        <v>7999</v>
      </c>
      <c r="O416">
        <v>7999</v>
      </c>
      <c r="P416">
        <v>1</v>
      </c>
      <c r="Q416">
        <v>7999</v>
      </c>
      <c r="R416">
        <v>2399.6999999999998</v>
      </c>
      <c r="S416">
        <v>0</v>
      </c>
      <c r="T416">
        <v>5599.3</v>
      </c>
      <c r="U416" t="s">
        <v>45</v>
      </c>
      <c r="V416" t="str">
        <v>Duo Pocket Vintage</v>
      </c>
    </row>
    <row r="417" spans="1:22" ht="19" x14ac:dyDescent="0.25">
      <c r="A417" t="s">
        <v>20</v>
      </c>
      <c r="B417" t="s">
        <v>1211</v>
      </c>
      <c r="C417" t="s">
        <v>1212</v>
      </c>
      <c r="D417" t="s">
        <v>23</v>
      </c>
      <c r="E417" t="s">
        <v>24</v>
      </c>
      <c r="F417" t="s">
        <v>25</v>
      </c>
      <c r="G417" t="s">
        <v>26</v>
      </c>
      <c r="H417" s="172" t="str">
        <f t="shared" si="13"/>
        <v>Jul</v>
      </c>
      <c r="I417">
        <v>8905202264880</v>
      </c>
      <c r="J417" t="s">
        <v>417</v>
      </c>
      <c r="K417">
        <v>8905202264880</v>
      </c>
      <c r="L417" t="s">
        <v>416</v>
      </c>
      <c r="M417" t="s">
        <v>54</v>
      </c>
      <c r="N417">
        <v>2995</v>
      </c>
      <c r="O417">
        <v>2995</v>
      </c>
      <c r="P417">
        <v>1</v>
      </c>
      <c r="Q417">
        <v>2995</v>
      </c>
      <c r="R417">
        <v>1198</v>
      </c>
      <c r="S417">
        <v>0</v>
      </c>
      <c r="T417">
        <v>1797</v>
      </c>
      <c r="U417" t="s">
        <v>50</v>
      </c>
      <c r="V417" t="str">
        <v xml:space="preserve"> Ballet Queen Drop Shoulder T-Shirt in White</v>
      </c>
    </row>
    <row r="418" spans="1:22" ht="19" x14ac:dyDescent="0.25">
      <c r="A418" t="s">
        <v>20</v>
      </c>
      <c r="B418" t="s">
        <v>1211</v>
      </c>
      <c r="C418" t="s">
        <v>1213</v>
      </c>
      <c r="D418" t="s">
        <v>23</v>
      </c>
      <c r="E418" t="s">
        <v>24</v>
      </c>
      <c r="F418" t="s">
        <v>25</v>
      </c>
      <c r="G418" t="s">
        <v>26</v>
      </c>
      <c r="H418" s="172" t="str">
        <f t="shared" si="13"/>
        <v>Jul</v>
      </c>
      <c r="I418">
        <v>8905202264941</v>
      </c>
      <c r="J418" t="s">
        <v>973</v>
      </c>
      <c r="K418">
        <v>8905202264941</v>
      </c>
      <c r="L418" t="s">
        <v>191</v>
      </c>
      <c r="M418" t="s">
        <v>61</v>
      </c>
      <c r="N418">
        <v>2495</v>
      </c>
      <c r="O418">
        <v>2495</v>
      </c>
      <c r="P418">
        <v>1</v>
      </c>
      <c r="Q418">
        <v>2495</v>
      </c>
      <c r="R418">
        <v>998</v>
      </c>
      <c r="S418">
        <v>299.39999999999998</v>
      </c>
      <c r="T418">
        <v>1197.5999999999999</v>
      </c>
      <c r="U418" t="s">
        <v>45</v>
      </c>
      <c r="V418" t="str">
        <v>Be Crazy not Clown Tshirt</v>
      </c>
    </row>
    <row r="419" spans="1:22" ht="19" x14ac:dyDescent="0.25">
      <c r="A419" t="s">
        <v>20</v>
      </c>
      <c r="B419" t="s">
        <v>1211</v>
      </c>
      <c r="C419" t="s">
        <v>1214</v>
      </c>
      <c r="D419" t="s">
        <v>23</v>
      </c>
      <c r="E419" t="s">
        <v>24</v>
      </c>
      <c r="F419" t="s">
        <v>25</v>
      </c>
      <c r="G419" t="s">
        <v>34</v>
      </c>
      <c r="H419" s="172" t="str">
        <f t="shared" si="13"/>
        <v>Jul</v>
      </c>
      <c r="I419">
        <v>8905302263283</v>
      </c>
      <c r="J419" t="s">
        <v>1065</v>
      </c>
      <c r="K419" t="s">
        <v>1066</v>
      </c>
      <c r="L419" t="s">
        <v>802</v>
      </c>
      <c r="M419" t="s">
        <v>44</v>
      </c>
      <c r="N419">
        <v>5999</v>
      </c>
      <c r="O419">
        <v>5999</v>
      </c>
      <c r="P419">
        <v>1</v>
      </c>
      <c r="Q419">
        <v>5999</v>
      </c>
      <c r="R419">
        <v>1199.8</v>
      </c>
      <c r="S419">
        <v>0</v>
      </c>
      <c r="T419">
        <v>4799.2</v>
      </c>
      <c r="U419" t="s">
        <v>50</v>
      </c>
      <c r="V419" t="str">
        <v>Mushroom Blue</v>
      </c>
    </row>
    <row r="420" spans="1:22" ht="19" x14ac:dyDescent="0.25">
      <c r="A420" t="s">
        <v>20</v>
      </c>
      <c r="B420" t="s">
        <v>1211</v>
      </c>
      <c r="C420" t="s">
        <v>1215</v>
      </c>
      <c r="D420" t="s">
        <v>23</v>
      </c>
      <c r="E420" t="s">
        <v>24</v>
      </c>
      <c r="F420" t="s">
        <v>25</v>
      </c>
      <c r="G420" t="s">
        <v>34</v>
      </c>
      <c r="H420" s="172" t="str">
        <f t="shared" si="13"/>
        <v>Jul</v>
      </c>
      <c r="I420">
        <v>8905302263303</v>
      </c>
      <c r="J420" t="s">
        <v>969</v>
      </c>
      <c r="K420" t="s">
        <v>970</v>
      </c>
      <c r="L420" t="s">
        <v>667</v>
      </c>
      <c r="M420" t="s">
        <v>54</v>
      </c>
      <c r="N420">
        <v>4999</v>
      </c>
      <c r="O420">
        <v>4999</v>
      </c>
      <c r="P420">
        <v>1</v>
      </c>
      <c r="Q420">
        <v>4999</v>
      </c>
      <c r="R420">
        <v>999.8</v>
      </c>
      <c r="S420">
        <v>0</v>
      </c>
      <c r="T420">
        <v>3999.2</v>
      </c>
      <c r="U420" t="s">
        <v>50</v>
      </c>
      <c r="V420" t="str">
        <v>Blue Heart</v>
      </c>
    </row>
    <row r="421" spans="1:22" ht="19" x14ac:dyDescent="0.25">
      <c r="A421" t="s">
        <v>62</v>
      </c>
      <c r="B421" t="s">
        <v>1211</v>
      </c>
      <c r="C421" t="s">
        <v>1216</v>
      </c>
      <c r="D421" t="s">
        <v>23</v>
      </c>
      <c r="E421" t="s">
        <v>24</v>
      </c>
      <c r="F421" t="s">
        <v>64</v>
      </c>
      <c r="G421" t="s">
        <v>65</v>
      </c>
      <c r="H421" s="172" t="str">
        <f t="shared" si="13"/>
        <v>Jul</v>
      </c>
      <c r="I421">
        <v>8905302263205</v>
      </c>
      <c r="J421" t="s">
        <v>461</v>
      </c>
      <c r="K421" t="s">
        <v>460</v>
      </c>
      <c r="L421" t="s">
        <v>459</v>
      </c>
      <c r="M421" t="s">
        <v>38</v>
      </c>
      <c r="N421">
        <v>6999</v>
      </c>
      <c r="O421">
        <v>6999</v>
      </c>
      <c r="P421">
        <v>1</v>
      </c>
      <c r="Q421">
        <v>6999</v>
      </c>
      <c r="R421">
        <v>2099.6999999999998</v>
      </c>
      <c r="S421">
        <v>100.46</v>
      </c>
      <c r="T421">
        <v>4798.84</v>
      </c>
      <c r="U421" t="s">
        <v>45</v>
      </c>
      <c r="V421" t="str">
        <v>Open Bottom Black</v>
      </c>
    </row>
    <row r="422" spans="1:22" ht="19" x14ac:dyDescent="0.25">
      <c r="A422" t="s">
        <v>62</v>
      </c>
      <c r="B422" t="s">
        <v>1211</v>
      </c>
      <c r="C422" t="s">
        <v>1217</v>
      </c>
      <c r="D422" t="s">
        <v>23</v>
      </c>
      <c r="E422" t="s">
        <v>24</v>
      </c>
      <c r="F422" t="s">
        <v>25</v>
      </c>
      <c r="G422" t="s">
        <v>26</v>
      </c>
      <c r="H422" s="172" t="str">
        <f t="shared" si="13"/>
        <v>Jul</v>
      </c>
      <c r="I422">
        <v>8905202264729</v>
      </c>
      <c r="J422" t="s">
        <v>28</v>
      </c>
      <c r="K422">
        <v>8905202264729</v>
      </c>
      <c r="L422" t="s">
        <v>29</v>
      </c>
      <c r="M422" t="s">
        <v>30</v>
      </c>
      <c r="N422">
        <v>2995</v>
      </c>
      <c r="O422">
        <v>2995</v>
      </c>
      <c r="P422">
        <v>1</v>
      </c>
      <c r="Q422">
        <v>2995</v>
      </c>
      <c r="R422">
        <v>1198</v>
      </c>
      <c r="S422">
        <v>0</v>
      </c>
      <c r="T422">
        <v>1797</v>
      </c>
      <c r="U422" t="s">
        <v>55</v>
      </c>
      <c r="V422" t="str">
        <v xml:space="preserve">X Graphic Terry Free Size Tee in Black </v>
      </c>
    </row>
    <row r="423" spans="1:22" ht="19" x14ac:dyDescent="0.25">
      <c r="A423" t="s">
        <v>62</v>
      </c>
      <c r="B423" t="s">
        <v>1211</v>
      </c>
      <c r="D423" t="s">
        <v>23</v>
      </c>
      <c r="E423" t="s">
        <v>24</v>
      </c>
      <c r="F423" t="s">
        <v>25</v>
      </c>
      <c r="G423" t="s">
        <v>34</v>
      </c>
      <c r="H423" s="172" t="str">
        <f t="shared" si="13"/>
        <v>Jul</v>
      </c>
      <c r="I423">
        <v>8905302263257</v>
      </c>
      <c r="J423" t="s">
        <v>759</v>
      </c>
      <c r="K423" t="s">
        <v>760</v>
      </c>
      <c r="L423" t="s">
        <v>118</v>
      </c>
      <c r="M423" t="s">
        <v>44</v>
      </c>
      <c r="N423">
        <v>5999</v>
      </c>
      <c r="O423">
        <v>5999</v>
      </c>
      <c r="P423">
        <v>1</v>
      </c>
      <c r="Q423">
        <v>5999</v>
      </c>
      <c r="R423">
        <v>1199.8</v>
      </c>
      <c r="S423">
        <v>0</v>
      </c>
      <c r="T423">
        <v>4799.2</v>
      </c>
      <c r="U423" t="s">
        <v>45</v>
      </c>
      <c r="V423" t="str">
        <v>CD Drop Shoulder Grey</v>
      </c>
    </row>
    <row r="424" spans="1:22" ht="19" x14ac:dyDescent="0.25">
      <c r="A424" t="s">
        <v>62</v>
      </c>
      <c r="B424" t="s">
        <v>1211</v>
      </c>
      <c r="C424" t="s">
        <v>1218</v>
      </c>
      <c r="D424" t="s">
        <v>23</v>
      </c>
      <c r="E424" t="s">
        <v>24</v>
      </c>
      <c r="F424" t="s">
        <v>25</v>
      </c>
      <c r="G424" t="s">
        <v>34</v>
      </c>
      <c r="H424" s="172" t="str">
        <f t="shared" si="13"/>
        <v>Jul</v>
      </c>
      <c r="I424">
        <v>8905302263229</v>
      </c>
      <c r="J424" t="s">
        <v>1219</v>
      </c>
      <c r="K424" t="s">
        <v>1220</v>
      </c>
      <c r="L424" t="s">
        <v>1221</v>
      </c>
      <c r="M424" t="s">
        <v>38</v>
      </c>
      <c r="N424">
        <v>5999</v>
      </c>
      <c r="O424">
        <v>5999</v>
      </c>
      <c r="P424">
        <v>1</v>
      </c>
      <c r="Q424">
        <v>5999</v>
      </c>
      <c r="R424">
        <v>1199.8</v>
      </c>
      <c r="S424">
        <v>0</v>
      </c>
      <c r="T424">
        <v>4799.2</v>
      </c>
      <c r="U424" t="s">
        <v>1222</v>
      </c>
      <c r="V424" t="str">
        <v>CD Drop Shoulder Olive</v>
      </c>
    </row>
    <row r="425" spans="1:22" ht="19" x14ac:dyDescent="0.25">
      <c r="A425" t="s">
        <v>575</v>
      </c>
      <c r="B425" t="s">
        <v>1211</v>
      </c>
      <c r="C425" t="s">
        <v>1223</v>
      </c>
      <c r="D425" t="s">
        <v>23</v>
      </c>
      <c r="E425" t="s">
        <v>24</v>
      </c>
      <c r="F425" t="s">
        <v>25</v>
      </c>
      <c r="G425" t="s">
        <v>34</v>
      </c>
      <c r="H425" s="172" t="str">
        <f t="shared" si="13"/>
        <v>Jul</v>
      </c>
      <c r="I425">
        <v>8905302263347</v>
      </c>
      <c r="J425" t="s">
        <v>1224</v>
      </c>
      <c r="K425" t="s">
        <v>1225</v>
      </c>
      <c r="L425" t="s">
        <v>667</v>
      </c>
      <c r="M425" t="s">
        <v>54</v>
      </c>
      <c r="N425">
        <v>6999</v>
      </c>
      <c r="O425">
        <v>6999</v>
      </c>
      <c r="P425">
        <v>1</v>
      </c>
      <c r="Q425">
        <v>6999</v>
      </c>
      <c r="R425">
        <v>0</v>
      </c>
      <c r="S425">
        <v>0</v>
      </c>
      <c r="T425">
        <v>6999</v>
      </c>
      <c r="U425" t="s">
        <v>254</v>
      </c>
      <c r="V425" t="str">
        <v>Blue Parasite</v>
      </c>
    </row>
    <row r="426" spans="1:22" ht="19" x14ac:dyDescent="0.25">
      <c r="A426" t="s">
        <v>962</v>
      </c>
      <c r="B426" t="s">
        <v>1230</v>
      </c>
      <c r="C426" t="s">
        <v>1231</v>
      </c>
      <c r="D426" t="s">
        <v>23</v>
      </c>
      <c r="E426" t="s">
        <v>24</v>
      </c>
      <c r="F426" t="s">
        <v>25</v>
      </c>
      <c r="G426" t="s">
        <v>34</v>
      </c>
      <c r="H426" s="172" t="str">
        <f t="shared" si="13"/>
        <v>Jul</v>
      </c>
      <c r="I426">
        <v>8905302263411</v>
      </c>
      <c r="J426" t="s">
        <v>1232</v>
      </c>
      <c r="K426" t="s">
        <v>1233</v>
      </c>
      <c r="L426" t="s">
        <v>1234</v>
      </c>
      <c r="M426" t="s">
        <v>44</v>
      </c>
      <c r="N426">
        <v>6999</v>
      </c>
      <c r="O426">
        <v>6999</v>
      </c>
      <c r="P426">
        <v>1</v>
      </c>
      <c r="Q426">
        <v>6999</v>
      </c>
      <c r="R426">
        <v>1399.8</v>
      </c>
      <c r="S426">
        <v>0</v>
      </c>
      <c r="T426">
        <v>5599.2</v>
      </c>
      <c r="U426" t="s">
        <v>55</v>
      </c>
      <c r="V426" t="str">
        <v>Creative White</v>
      </c>
    </row>
    <row r="427" spans="1:22" ht="19" x14ac:dyDescent="0.25">
      <c r="A427" t="s">
        <v>962</v>
      </c>
      <c r="B427" t="s">
        <v>1230</v>
      </c>
      <c r="C427" t="s">
        <v>1235</v>
      </c>
      <c r="D427" t="s">
        <v>23</v>
      </c>
      <c r="E427" t="s">
        <v>24</v>
      </c>
      <c r="F427" t="s">
        <v>25</v>
      </c>
      <c r="G427" t="s">
        <v>34</v>
      </c>
      <c r="H427" s="172" t="str">
        <f t="shared" si="13"/>
        <v>Jul</v>
      </c>
      <c r="I427">
        <v>8905302263410</v>
      </c>
      <c r="J427" t="s">
        <v>1236</v>
      </c>
      <c r="K427" t="s">
        <v>1237</v>
      </c>
      <c r="L427" t="s">
        <v>1238</v>
      </c>
      <c r="M427" t="s">
        <v>61</v>
      </c>
      <c r="N427">
        <v>6999</v>
      </c>
      <c r="O427">
        <v>6999</v>
      </c>
      <c r="P427">
        <v>1</v>
      </c>
      <c r="Q427">
        <v>6999</v>
      </c>
      <c r="R427">
        <v>1399.8</v>
      </c>
      <c r="S427">
        <v>0</v>
      </c>
      <c r="T427">
        <v>5599.2</v>
      </c>
      <c r="U427" t="s">
        <v>259</v>
      </c>
      <c r="V427" t="str">
        <v>Creative White</v>
      </c>
    </row>
    <row r="428" spans="1:22" ht="19" x14ac:dyDescent="0.25">
      <c r="A428" t="s">
        <v>20</v>
      </c>
      <c r="B428" t="s">
        <v>1230</v>
      </c>
      <c r="C428" t="s">
        <v>1239</v>
      </c>
      <c r="D428" t="s">
        <v>23</v>
      </c>
      <c r="E428" t="s">
        <v>24</v>
      </c>
      <c r="F428" t="s">
        <v>25</v>
      </c>
      <c r="G428" t="s">
        <v>26</v>
      </c>
      <c r="H428" s="172" t="str">
        <f t="shared" si="13"/>
        <v>Jul</v>
      </c>
      <c r="I428">
        <v>8905202264835</v>
      </c>
      <c r="J428" t="s">
        <v>552</v>
      </c>
      <c r="K428" t="s">
        <v>553</v>
      </c>
      <c r="L428" t="s">
        <v>53</v>
      </c>
      <c r="M428" t="s">
        <v>54</v>
      </c>
      <c r="N428">
        <v>3995</v>
      </c>
      <c r="O428">
        <v>3995</v>
      </c>
      <c r="P428">
        <v>1</v>
      </c>
      <c r="Q428">
        <v>3995</v>
      </c>
      <c r="R428">
        <v>1598</v>
      </c>
      <c r="S428">
        <v>0</v>
      </c>
      <c r="T428">
        <v>2397</v>
      </c>
      <c r="U428" t="s">
        <v>50</v>
      </c>
      <c r="V428" t="str">
        <v xml:space="preserve"> Psy Bear  Terry Drop Shoulder T-Shirt in Black </v>
      </c>
    </row>
    <row r="429" spans="1:22" ht="19" x14ac:dyDescent="0.25">
      <c r="A429" t="s">
        <v>20</v>
      </c>
      <c r="B429" t="s">
        <v>1230</v>
      </c>
      <c r="C429" t="s">
        <v>1239</v>
      </c>
      <c r="D429" t="s">
        <v>23</v>
      </c>
      <c r="E429" t="s">
        <v>24</v>
      </c>
      <c r="F429" t="s">
        <v>25</v>
      </c>
      <c r="G429" t="s">
        <v>26</v>
      </c>
      <c r="H429" s="172" t="str">
        <f t="shared" si="13"/>
        <v>Jul</v>
      </c>
      <c r="I429">
        <v>8905202264873</v>
      </c>
      <c r="J429" t="s">
        <v>130</v>
      </c>
      <c r="K429" t="s">
        <v>131</v>
      </c>
      <c r="L429" t="s">
        <v>94</v>
      </c>
      <c r="M429" t="s">
        <v>44</v>
      </c>
      <c r="N429">
        <v>3995</v>
      </c>
      <c r="O429">
        <v>3995</v>
      </c>
      <c r="P429">
        <v>1</v>
      </c>
      <c r="Q429">
        <v>3995</v>
      </c>
      <c r="R429">
        <v>1598</v>
      </c>
      <c r="S429">
        <v>0</v>
      </c>
      <c r="T429">
        <v>2397</v>
      </c>
      <c r="U429" t="s">
        <v>50</v>
      </c>
      <c r="V429" t="str">
        <v xml:space="preserve"> Psy Bear  Terry Drop Shoulder T-Shirt in Black </v>
      </c>
    </row>
    <row r="430" spans="1:22" ht="19" x14ac:dyDescent="0.25">
      <c r="A430" t="s">
        <v>62</v>
      </c>
      <c r="B430" t="s">
        <v>1230</v>
      </c>
      <c r="C430" t="s">
        <v>1240</v>
      </c>
      <c r="D430" t="s">
        <v>23</v>
      </c>
      <c r="E430" t="s">
        <v>24</v>
      </c>
      <c r="F430" t="s">
        <v>25</v>
      </c>
      <c r="G430" t="s">
        <v>26</v>
      </c>
      <c r="H430" s="172" t="str">
        <f t="shared" si="13"/>
        <v>Jul</v>
      </c>
      <c r="I430">
        <v>8905202264873</v>
      </c>
      <c r="J430" t="s">
        <v>130</v>
      </c>
      <c r="K430" t="s">
        <v>131</v>
      </c>
      <c r="L430" t="s">
        <v>94</v>
      </c>
      <c r="M430" t="s">
        <v>44</v>
      </c>
      <c r="N430">
        <v>3995</v>
      </c>
      <c r="O430">
        <v>3995</v>
      </c>
      <c r="P430">
        <v>1</v>
      </c>
      <c r="Q430">
        <v>3995</v>
      </c>
      <c r="R430">
        <v>1598</v>
      </c>
      <c r="S430">
        <v>0</v>
      </c>
      <c r="T430">
        <v>2397</v>
      </c>
      <c r="U430" t="s">
        <v>55</v>
      </c>
      <c r="V430" t="str">
        <v xml:space="preserve"> Psy Bear  Terry Drop Shoulder T-Shirt in Black </v>
      </c>
    </row>
    <row r="431" spans="1:22" ht="19" x14ac:dyDescent="0.25">
      <c r="A431" t="s">
        <v>62</v>
      </c>
      <c r="B431" t="s">
        <v>1230</v>
      </c>
      <c r="C431" t="s">
        <v>1241</v>
      </c>
      <c r="D431" t="s">
        <v>23</v>
      </c>
      <c r="E431" t="s">
        <v>24</v>
      </c>
      <c r="F431" t="s">
        <v>25</v>
      </c>
      <c r="G431" t="s">
        <v>26</v>
      </c>
      <c r="H431" s="172" t="str">
        <f t="shared" si="13"/>
        <v>Jul</v>
      </c>
      <c r="I431">
        <v>8905202264712</v>
      </c>
      <c r="J431" t="s">
        <v>670</v>
      </c>
      <c r="K431" t="s">
        <v>671</v>
      </c>
      <c r="L431" t="s">
        <v>29</v>
      </c>
      <c r="M431" t="s">
        <v>30</v>
      </c>
      <c r="N431">
        <v>3495</v>
      </c>
      <c r="O431">
        <v>3495</v>
      </c>
      <c r="P431">
        <v>1</v>
      </c>
      <c r="Q431">
        <v>3495</v>
      </c>
      <c r="R431">
        <v>1398</v>
      </c>
      <c r="S431">
        <v>0</v>
      </c>
      <c r="T431">
        <v>2097</v>
      </c>
      <c r="U431" t="s">
        <v>45</v>
      </c>
      <c r="V431" t="str">
        <v>Grumpy Face Embroidered Terry Free Size Tee in Black</v>
      </c>
    </row>
    <row r="432" spans="1:22" ht="19" x14ac:dyDescent="0.25">
      <c r="A432" t="s">
        <v>62</v>
      </c>
      <c r="B432" t="s">
        <v>1230</v>
      </c>
      <c r="C432" t="s">
        <v>1242</v>
      </c>
      <c r="D432" t="s">
        <v>23</v>
      </c>
      <c r="E432" t="s">
        <v>24</v>
      </c>
      <c r="F432" t="s">
        <v>25</v>
      </c>
      <c r="G432" t="s">
        <v>26</v>
      </c>
      <c r="H432" s="172" t="str">
        <f t="shared" si="13"/>
        <v>Jul</v>
      </c>
      <c r="I432">
        <v>8905202264675</v>
      </c>
      <c r="J432" t="s">
        <v>481</v>
      </c>
      <c r="K432" t="s">
        <v>480</v>
      </c>
      <c r="L432" t="s">
        <v>53</v>
      </c>
      <c r="M432" t="s">
        <v>54</v>
      </c>
      <c r="N432">
        <v>2995</v>
      </c>
      <c r="O432">
        <v>2995</v>
      </c>
      <c r="P432">
        <v>1</v>
      </c>
      <c r="Q432">
        <v>2995</v>
      </c>
      <c r="R432">
        <v>1198</v>
      </c>
      <c r="S432">
        <v>0</v>
      </c>
      <c r="T432">
        <v>1797</v>
      </c>
      <c r="U432" t="s">
        <v>55</v>
      </c>
      <c r="V432" t="str">
        <v xml:space="preserve">David full print Drop Shoulder Crew Neck T-Shirt                                                 </v>
      </c>
    </row>
    <row r="433" spans="1:22" ht="19" x14ac:dyDescent="0.25">
      <c r="A433" t="s">
        <v>962</v>
      </c>
      <c r="B433" t="s">
        <v>1245</v>
      </c>
      <c r="C433" t="s">
        <v>1246</v>
      </c>
      <c r="D433" t="s">
        <v>23</v>
      </c>
      <c r="E433" t="s">
        <v>24</v>
      </c>
      <c r="F433" t="s">
        <v>64</v>
      </c>
      <c r="G433" t="s">
        <v>65</v>
      </c>
      <c r="H433" s="172" t="str">
        <f t="shared" si="13"/>
        <v>Jul</v>
      </c>
      <c r="I433">
        <v>8905302263359</v>
      </c>
      <c r="J433" t="s">
        <v>1247</v>
      </c>
      <c r="K433" t="s">
        <v>1248</v>
      </c>
      <c r="L433" t="s">
        <v>1017</v>
      </c>
      <c r="M433" t="s">
        <v>44</v>
      </c>
      <c r="N433">
        <v>7999</v>
      </c>
      <c r="O433">
        <v>7999</v>
      </c>
      <c r="P433">
        <v>1</v>
      </c>
      <c r="Q433">
        <v>7999</v>
      </c>
      <c r="R433">
        <v>2399.6999999999998</v>
      </c>
      <c r="S433">
        <v>0</v>
      </c>
      <c r="T433">
        <v>5599.3</v>
      </c>
      <c r="U433" t="s">
        <v>55</v>
      </c>
      <c r="V433" t="str">
        <v>Blue Paint Splash</v>
      </c>
    </row>
    <row r="434" spans="1:22" ht="19" x14ac:dyDescent="0.25">
      <c r="A434" t="s">
        <v>962</v>
      </c>
      <c r="B434" t="s">
        <v>1245</v>
      </c>
      <c r="C434" t="s">
        <v>1246</v>
      </c>
      <c r="D434" t="s">
        <v>23</v>
      </c>
      <c r="E434" t="s">
        <v>24</v>
      </c>
      <c r="F434" t="s">
        <v>64</v>
      </c>
      <c r="G434" t="s">
        <v>65</v>
      </c>
      <c r="H434" s="172" t="str">
        <f t="shared" si="13"/>
        <v>Jul</v>
      </c>
      <c r="I434">
        <v>8905302263363</v>
      </c>
      <c r="J434" t="s">
        <v>849</v>
      </c>
      <c r="K434" t="s">
        <v>850</v>
      </c>
      <c r="L434" t="s">
        <v>851</v>
      </c>
      <c r="M434" t="s">
        <v>44</v>
      </c>
      <c r="N434">
        <v>7999</v>
      </c>
      <c r="O434">
        <v>7999</v>
      </c>
      <c r="P434">
        <v>1</v>
      </c>
      <c r="Q434">
        <v>7999</v>
      </c>
      <c r="R434">
        <v>2399.6999999999998</v>
      </c>
      <c r="S434">
        <v>0</v>
      </c>
      <c r="T434">
        <v>5599.3</v>
      </c>
      <c r="U434" t="s">
        <v>55</v>
      </c>
      <c r="V434" t="str">
        <v>Black Paint Splash</v>
      </c>
    </row>
    <row r="435" spans="1:22" ht="19" x14ac:dyDescent="0.25">
      <c r="A435" t="s">
        <v>962</v>
      </c>
      <c r="B435" t="s">
        <v>1245</v>
      </c>
      <c r="C435" t="s">
        <v>1246</v>
      </c>
      <c r="D435" t="s">
        <v>23</v>
      </c>
      <c r="E435" t="s">
        <v>24</v>
      </c>
      <c r="F435" t="s">
        <v>25</v>
      </c>
      <c r="G435" t="s">
        <v>34</v>
      </c>
      <c r="H435" s="172" t="str">
        <f t="shared" si="13"/>
        <v>Jul</v>
      </c>
      <c r="I435">
        <v>8905302263410</v>
      </c>
      <c r="J435" t="s">
        <v>1236</v>
      </c>
      <c r="K435" t="s">
        <v>1237</v>
      </c>
      <c r="L435" t="s">
        <v>1238</v>
      </c>
      <c r="M435" t="s">
        <v>61</v>
      </c>
      <c r="N435">
        <v>6999</v>
      </c>
      <c r="O435">
        <v>6999</v>
      </c>
      <c r="P435">
        <v>1</v>
      </c>
      <c r="Q435">
        <v>6999</v>
      </c>
      <c r="R435">
        <v>1399.8</v>
      </c>
      <c r="S435">
        <v>0</v>
      </c>
      <c r="T435">
        <v>5599.2</v>
      </c>
      <c r="U435" t="s">
        <v>55</v>
      </c>
      <c r="V435" t="str">
        <v>Creative White</v>
      </c>
    </row>
    <row r="436" spans="1:22" ht="19" x14ac:dyDescent="0.25">
      <c r="A436" t="s">
        <v>962</v>
      </c>
      <c r="B436" t="s">
        <v>1245</v>
      </c>
      <c r="C436" t="s">
        <v>1249</v>
      </c>
      <c r="D436" t="s">
        <v>23</v>
      </c>
      <c r="E436" t="s">
        <v>24</v>
      </c>
      <c r="F436" t="s">
        <v>64</v>
      </c>
      <c r="G436" t="s">
        <v>65</v>
      </c>
      <c r="H436" s="172" t="str">
        <f t="shared" si="13"/>
        <v>Jul</v>
      </c>
      <c r="I436">
        <v>8905302263407</v>
      </c>
      <c r="J436" t="s">
        <v>1250</v>
      </c>
      <c r="K436" t="s">
        <v>1251</v>
      </c>
      <c r="L436" t="s">
        <v>1252</v>
      </c>
      <c r="M436" t="s">
        <v>38</v>
      </c>
      <c r="N436">
        <v>6999</v>
      </c>
      <c r="O436">
        <v>6999</v>
      </c>
      <c r="P436">
        <v>1</v>
      </c>
      <c r="Q436">
        <v>6999</v>
      </c>
      <c r="R436">
        <v>2099.6999999999998</v>
      </c>
      <c r="S436">
        <v>0</v>
      </c>
      <c r="T436">
        <v>4899.3</v>
      </c>
      <c r="U436" t="s">
        <v>55</v>
      </c>
      <c r="V436" t="str">
        <v>Black Dart Denim</v>
      </c>
    </row>
    <row r="437" spans="1:22" ht="19" x14ac:dyDescent="0.25">
      <c r="A437" t="s">
        <v>20</v>
      </c>
      <c r="B437" t="s">
        <v>1245</v>
      </c>
      <c r="C437" t="s">
        <v>1253</v>
      </c>
      <c r="D437" t="s">
        <v>23</v>
      </c>
      <c r="E437" t="s">
        <v>24</v>
      </c>
      <c r="F437" t="s">
        <v>25</v>
      </c>
      <c r="G437" t="s">
        <v>26</v>
      </c>
      <c r="H437" s="172" t="str">
        <f t="shared" si="13"/>
        <v>Jul</v>
      </c>
      <c r="I437">
        <v>8905202264835</v>
      </c>
      <c r="J437" t="s">
        <v>552</v>
      </c>
      <c r="K437" t="s">
        <v>553</v>
      </c>
      <c r="L437" t="s">
        <v>53</v>
      </c>
      <c r="M437" t="s">
        <v>54</v>
      </c>
      <c r="N437">
        <v>3995</v>
      </c>
      <c r="O437">
        <v>3995</v>
      </c>
      <c r="P437">
        <v>1</v>
      </c>
      <c r="Q437">
        <v>3995</v>
      </c>
      <c r="R437">
        <v>1598</v>
      </c>
      <c r="S437">
        <v>0</v>
      </c>
      <c r="T437">
        <v>2397</v>
      </c>
      <c r="U437" t="s">
        <v>50</v>
      </c>
      <c r="V437" t="str">
        <v xml:space="preserve"> Psy Bear  Terry Drop Shoulder T-Shirt in Black </v>
      </c>
    </row>
    <row r="438" spans="1:22" ht="19" x14ac:dyDescent="0.25">
      <c r="A438" t="s">
        <v>20</v>
      </c>
      <c r="B438" t="s">
        <v>1245</v>
      </c>
      <c r="C438" t="s">
        <v>1253</v>
      </c>
      <c r="D438" t="s">
        <v>23</v>
      </c>
      <c r="E438" t="s">
        <v>24</v>
      </c>
      <c r="F438" t="s">
        <v>25</v>
      </c>
      <c r="G438" t="s">
        <v>26</v>
      </c>
      <c r="H438" s="172" t="str">
        <f t="shared" si="13"/>
        <v>Jul</v>
      </c>
      <c r="I438">
        <v>8905202265030</v>
      </c>
      <c r="J438" t="s">
        <v>688</v>
      </c>
      <c r="K438" t="s">
        <v>689</v>
      </c>
      <c r="L438" t="s">
        <v>690</v>
      </c>
      <c r="M438" t="s">
        <v>54</v>
      </c>
      <c r="N438">
        <v>2995</v>
      </c>
      <c r="O438">
        <v>2995</v>
      </c>
      <c r="P438">
        <v>1</v>
      </c>
      <c r="Q438">
        <v>2995</v>
      </c>
      <c r="R438">
        <v>1198</v>
      </c>
      <c r="S438">
        <v>0</v>
      </c>
      <c r="T438">
        <v>1797</v>
      </c>
      <c r="U438" t="s">
        <v>50</v>
      </c>
      <c r="V438" t="str">
        <v xml:space="preserve">Stamp Tshirt in Blue </v>
      </c>
    </row>
    <row r="439" spans="1:22" ht="19" x14ac:dyDescent="0.25">
      <c r="A439" t="s">
        <v>20</v>
      </c>
      <c r="B439" t="s">
        <v>1245</v>
      </c>
      <c r="C439" t="s">
        <v>1254</v>
      </c>
      <c r="D439" t="s">
        <v>23</v>
      </c>
      <c r="E439" t="s">
        <v>24</v>
      </c>
      <c r="F439" t="s">
        <v>25</v>
      </c>
      <c r="G439" t="s">
        <v>26</v>
      </c>
      <c r="H439" s="172" t="str">
        <f t="shared" si="13"/>
        <v>Jul</v>
      </c>
      <c r="I439">
        <v>8905202269427</v>
      </c>
      <c r="J439" t="s">
        <v>95</v>
      </c>
      <c r="K439" t="s">
        <v>96</v>
      </c>
      <c r="L439" t="s">
        <v>97</v>
      </c>
      <c r="M439" t="s">
        <v>44</v>
      </c>
      <c r="N439">
        <v>3995</v>
      </c>
      <c r="O439">
        <v>3995</v>
      </c>
      <c r="P439">
        <v>1</v>
      </c>
      <c r="Q439">
        <v>3995</v>
      </c>
      <c r="R439">
        <v>1598</v>
      </c>
      <c r="S439">
        <v>0</v>
      </c>
      <c r="T439">
        <v>2397</v>
      </c>
      <c r="U439" t="s">
        <v>50</v>
      </c>
      <c r="V439" t="str">
        <v>Surfer print  drop shoulder crew neck oversized t-shirt.</v>
      </c>
    </row>
    <row r="440" spans="1:22" ht="19" x14ac:dyDescent="0.25">
      <c r="A440" t="s">
        <v>62</v>
      </c>
      <c r="B440" t="s">
        <v>1245</v>
      </c>
      <c r="C440" t="s">
        <v>1255</v>
      </c>
      <c r="D440" t="s">
        <v>23</v>
      </c>
      <c r="E440" t="s">
        <v>24</v>
      </c>
      <c r="F440" t="s">
        <v>25</v>
      </c>
      <c r="G440" t="s">
        <v>26</v>
      </c>
      <c r="H440" s="172" t="str">
        <f t="shared" si="13"/>
        <v>Jul</v>
      </c>
      <c r="I440">
        <v>8905302263379</v>
      </c>
      <c r="J440" t="s">
        <v>737</v>
      </c>
      <c r="K440" t="s">
        <v>738</v>
      </c>
      <c r="L440" t="s">
        <v>60</v>
      </c>
      <c r="M440" t="s">
        <v>61</v>
      </c>
      <c r="N440">
        <v>3999</v>
      </c>
      <c r="O440">
        <v>3999</v>
      </c>
      <c r="P440">
        <v>1</v>
      </c>
      <c r="Q440">
        <v>3999</v>
      </c>
      <c r="R440">
        <v>1599.6</v>
      </c>
      <c r="S440">
        <v>0</v>
      </c>
      <c r="T440">
        <v>2399.4</v>
      </c>
      <c r="U440" t="s">
        <v>55</v>
      </c>
      <c r="V440" t="str">
        <v>Butterfly</v>
      </c>
    </row>
    <row r="441" spans="1:22" ht="19" x14ac:dyDescent="0.25">
      <c r="A441" t="s">
        <v>62</v>
      </c>
      <c r="B441" t="s">
        <v>1256</v>
      </c>
      <c r="C441" t="s">
        <v>1257</v>
      </c>
      <c r="D441" t="s">
        <v>23</v>
      </c>
      <c r="E441" t="s">
        <v>24</v>
      </c>
      <c r="F441" t="s">
        <v>25</v>
      </c>
      <c r="G441" t="s">
        <v>26</v>
      </c>
      <c r="H441" s="172" t="str">
        <f t="shared" si="13"/>
        <v>Jul</v>
      </c>
      <c r="I441">
        <v>8905202264699</v>
      </c>
      <c r="J441" t="s">
        <v>807</v>
      </c>
      <c r="K441" t="s">
        <v>808</v>
      </c>
      <c r="L441" t="s">
        <v>251</v>
      </c>
      <c r="M441" t="s">
        <v>84</v>
      </c>
      <c r="N441">
        <v>2995</v>
      </c>
      <c r="O441">
        <v>2995</v>
      </c>
      <c r="P441">
        <v>1</v>
      </c>
      <c r="Q441">
        <v>2995</v>
      </c>
      <c r="R441">
        <v>1198</v>
      </c>
      <c r="S441">
        <v>0</v>
      </c>
      <c r="T441">
        <v>1797</v>
      </c>
      <c r="U441" t="s">
        <v>50</v>
      </c>
      <c r="V441" t="str">
        <v xml:space="preserve">David full print Drop Shoulder Crew Neck T-Shirt                                                 </v>
      </c>
    </row>
    <row r="442" spans="1:22" ht="19" x14ac:dyDescent="0.25">
      <c r="A442" t="s">
        <v>962</v>
      </c>
      <c r="B442" t="s">
        <v>1258</v>
      </c>
      <c r="C442" t="s">
        <v>135</v>
      </c>
      <c r="D442" t="s">
        <v>23</v>
      </c>
      <c r="E442" t="s">
        <v>24</v>
      </c>
      <c r="F442" t="s">
        <v>25</v>
      </c>
      <c r="G442" t="s">
        <v>34</v>
      </c>
      <c r="H442" s="172" t="str">
        <f t="shared" si="13"/>
        <v>Jul</v>
      </c>
      <c r="I442">
        <v>8905302263411</v>
      </c>
      <c r="J442" t="s">
        <v>1232</v>
      </c>
      <c r="K442" t="s">
        <v>1233</v>
      </c>
      <c r="L442" t="s">
        <v>1234</v>
      </c>
      <c r="M442" t="s">
        <v>44</v>
      </c>
      <c r="N442">
        <v>6999</v>
      </c>
      <c r="O442">
        <v>6999</v>
      </c>
      <c r="P442">
        <v>1</v>
      </c>
      <c r="Q442">
        <v>6999</v>
      </c>
      <c r="R442">
        <v>1399.8</v>
      </c>
      <c r="S442">
        <v>0</v>
      </c>
      <c r="T442">
        <v>5599.2</v>
      </c>
      <c r="U442" t="s">
        <v>55</v>
      </c>
      <c r="V442" t="str">
        <v>Creative White</v>
      </c>
    </row>
    <row r="443" spans="1:22" ht="19" x14ac:dyDescent="0.25">
      <c r="A443" t="s">
        <v>20</v>
      </c>
      <c r="B443" t="s">
        <v>1258</v>
      </c>
      <c r="C443" t="s">
        <v>605</v>
      </c>
      <c r="D443" t="s">
        <v>23</v>
      </c>
      <c r="E443" t="s">
        <v>24</v>
      </c>
      <c r="F443" t="s">
        <v>25</v>
      </c>
      <c r="G443" t="s">
        <v>34</v>
      </c>
      <c r="H443" s="172" t="str">
        <f t="shared" si="13"/>
        <v>Jul</v>
      </c>
      <c r="I443">
        <v>8905302263285</v>
      </c>
      <c r="J443" t="s">
        <v>754</v>
      </c>
      <c r="K443" t="s">
        <v>755</v>
      </c>
      <c r="L443" t="s">
        <v>756</v>
      </c>
      <c r="M443" t="s">
        <v>61</v>
      </c>
      <c r="N443">
        <v>5999</v>
      </c>
      <c r="O443">
        <v>5999</v>
      </c>
      <c r="P443">
        <v>1</v>
      </c>
      <c r="Q443">
        <v>5999</v>
      </c>
      <c r="R443">
        <v>1199.8</v>
      </c>
      <c r="S443">
        <v>0</v>
      </c>
      <c r="T443">
        <v>4799.2</v>
      </c>
      <c r="U443" t="s">
        <v>50</v>
      </c>
      <c r="V443" t="str">
        <v>Mushroom Red</v>
      </c>
    </row>
    <row r="444" spans="1:22" ht="19" x14ac:dyDescent="0.25">
      <c r="A444" t="s">
        <v>62</v>
      </c>
      <c r="B444" t="s">
        <v>1258</v>
      </c>
      <c r="C444" t="s">
        <v>1259</v>
      </c>
      <c r="D444" t="s">
        <v>23</v>
      </c>
      <c r="E444" t="s">
        <v>24</v>
      </c>
      <c r="F444" t="s">
        <v>25</v>
      </c>
      <c r="G444" t="s">
        <v>26</v>
      </c>
      <c r="H444" s="172" t="str">
        <f t="shared" si="13"/>
        <v>Jul</v>
      </c>
      <c r="I444">
        <v>8905202264712</v>
      </c>
      <c r="J444" t="s">
        <v>670</v>
      </c>
      <c r="K444" t="s">
        <v>671</v>
      </c>
      <c r="L444" t="s">
        <v>29</v>
      </c>
      <c r="M444" t="s">
        <v>30</v>
      </c>
      <c r="N444">
        <v>3495</v>
      </c>
      <c r="O444">
        <v>3495</v>
      </c>
      <c r="P444">
        <v>1</v>
      </c>
      <c r="Q444">
        <v>3495</v>
      </c>
      <c r="R444">
        <v>1398</v>
      </c>
      <c r="S444">
        <v>0</v>
      </c>
      <c r="T444">
        <v>2097</v>
      </c>
      <c r="U444" t="s">
        <v>45</v>
      </c>
      <c r="V444" t="str">
        <v>Grumpy Face Embroidered Terry Free Size Tee in Black</v>
      </c>
    </row>
    <row r="445" spans="1:22" ht="19" x14ac:dyDescent="0.25">
      <c r="A445" t="s">
        <v>62</v>
      </c>
      <c r="B445" t="s">
        <v>1258</v>
      </c>
      <c r="C445" t="s">
        <v>1259</v>
      </c>
      <c r="D445" t="s">
        <v>23</v>
      </c>
      <c r="E445" t="s">
        <v>24</v>
      </c>
      <c r="F445" t="s">
        <v>25</v>
      </c>
      <c r="G445" t="s">
        <v>26</v>
      </c>
      <c r="H445" s="172" t="str">
        <f t="shared" si="13"/>
        <v>Jul</v>
      </c>
      <c r="I445">
        <v>8905202264859</v>
      </c>
      <c r="J445" t="s">
        <v>249</v>
      </c>
      <c r="K445" t="s">
        <v>250</v>
      </c>
      <c r="L445" t="s">
        <v>251</v>
      </c>
      <c r="M445" t="s">
        <v>84</v>
      </c>
      <c r="N445">
        <v>3995</v>
      </c>
      <c r="O445">
        <v>3995</v>
      </c>
      <c r="P445">
        <v>1</v>
      </c>
      <c r="Q445">
        <v>3995</v>
      </c>
      <c r="R445">
        <v>1598</v>
      </c>
      <c r="S445">
        <v>0</v>
      </c>
      <c r="T445">
        <v>2397</v>
      </c>
      <c r="U445" t="s">
        <v>45</v>
      </c>
      <c r="V445" t="str">
        <v xml:space="preserve"> Psy Bear  Terry Drop Shoulder T-Shirt in Black </v>
      </c>
    </row>
    <row r="446" spans="1:22" ht="19" x14ac:dyDescent="0.25">
      <c r="A446" t="s">
        <v>962</v>
      </c>
      <c r="B446" t="s">
        <v>1261</v>
      </c>
      <c r="C446" t="s">
        <v>1262</v>
      </c>
      <c r="D446" t="s">
        <v>23</v>
      </c>
      <c r="E446" t="s">
        <v>24</v>
      </c>
      <c r="F446" t="s">
        <v>25</v>
      </c>
      <c r="G446" t="s">
        <v>26</v>
      </c>
      <c r="H446" s="172" t="str">
        <f t="shared" si="13"/>
        <v>Jul</v>
      </c>
      <c r="I446">
        <v>8905202265030</v>
      </c>
      <c r="J446" t="s">
        <v>688</v>
      </c>
      <c r="K446" t="s">
        <v>689</v>
      </c>
      <c r="L446" t="s">
        <v>690</v>
      </c>
      <c r="M446" t="s">
        <v>54</v>
      </c>
      <c r="N446">
        <v>2995</v>
      </c>
      <c r="O446">
        <v>2995</v>
      </c>
      <c r="P446">
        <v>1</v>
      </c>
      <c r="Q446">
        <v>2995</v>
      </c>
      <c r="R446">
        <v>1198</v>
      </c>
      <c r="S446">
        <v>0</v>
      </c>
      <c r="T446">
        <v>1797</v>
      </c>
      <c r="U446" t="s">
        <v>45</v>
      </c>
      <c r="V446" t="str">
        <v xml:space="preserve">Stamp Tshirt in Blue </v>
      </c>
    </row>
    <row r="447" spans="1:22" ht="19" x14ac:dyDescent="0.25">
      <c r="A447" t="s">
        <v>962</v>
      </c>
      <c r="B447" t="s">
        <v>1261</v>
      </c>
      <c r="C447" t="s">
        <v>1263</v>
      </c>
      <c r="D447" t="s">
        <v>23</v>
      </c>
      <c r="E447" t="s">
        <v>24</v>
      </c>
      <c r="F447" t="s">
        <v>25</v>
      </c>
      <c r="G447" t="s">
        <v>34</v>
      </c>
      <c r="H447" s="172" t="str">
        <f t="shared" si="13"/>
        <v>Jul</v>
      </c>
      <c r="I447">
        <v>8905302263263</v>
      </c>
      <c r="J447" t="s">
        <v>1264</v>
      </c>
      <c r="K447" t="s">
        <v>1265</v>
      </c>
      <c r="L447" t="s">
        <v>829</v>
      </c>
      <c r="M447" t="s">
        <v>61</v>
      </c>
      <c r="N447">
        <v>4999</v>
      </c>
      <c r="O447">
        <v>4999</v>
      </c>
      <c r="P447">
        <v>1</v>
      </c>
      <c r="Q447">
        <v>4999</v>
      </c>
      <c r="R447">
        <v>999.8</v>
      </c>
      <c r="S447">
        <v>0</v>
      </c>
      <c r="T447">
        <v>3999.2</v>
      </c>
      <c r="U447" t="s">
        <v>45</v>
      </c>
      <c r="V447" t="str">
        <v>Hello Shirt Yellow</v>
      </c>
    </row>
    <row r="448" spans="1:22" ht="19" x14ac:dyDescent="0.25">
      <c r="A448" t="s">
        <v>62</v>
      </c>
      <c r="B448" t="s">
        <v>1261</v>
      </c>
      <c r="C448" t="s">
        <v>1266</v>
      </c>
      <c r="D448" t="s">
        <v>23</v>
      </c>
      <c r="E448" t="s">
        <v>24</v>
      </c>
      <c r="F448" t="s">
        <v>25</v>
      </c>
      <c r="G448" t="s">
        <v>34</v>
      </c>
      <c r="H448" s="172" t="str">
        <f t="shared" si="13"/>
        <v>Jul</v>
      </c>
      <c r="I448">
        <v>8905302263273</v>
      </c>
      <c r="J448" t="s">
        <v>1267</v>
      </c>
      <c r="K448" t="s">
        <v>1268</v>
      </c>
      <c r="L448" t="s">
        <v>829</v>
      </c>
      <c r="M448" t="s">
        <v>61</v>
      </c>
      <c r="N448">
        <v>4999</v>
      </c>
      <c r="O448">
        <v>4999</v>
      </c>
      <c r="P448">
        <v>1</v>
      </c>
      <c r="Q448">
        <v>4999</v>
      </c>
      <c r="R448">
        <v>999.8</v>
      </c>
      <c r="S448">
        <v>0</v>
      </c>
      <c r="T448">
        <v>3999.2</v>
      </c>
      <c r="U448" t="s">
        <v>55</v>
      </c>
      <c r="V448" t="str">
        <v>Cross Stich Blue</v>
      </c>
    </row>
    <row r="449" spans="1:22" ht="19" x14ac:dyDescent="0.25">
      <c r="A449" t="s">
        <v>62</v>
      </c>
      <c r="B449" t="s">
        <v>1261</v>
      </c>
      <c r="C449" t="s">
        <v>1269</v>
      </c>
      <c r="D449" t="s">
        <v>23</v>
      </c>
      <c r="E449" t="s">
        <v>24</v>
      </c>
      <c r="F449" t="s">
        <v>25</v>
      </c>
      <c r="G449" t="s">
        <v>34</v>
      </c>
      <c r="H449" s="172" t="str">
        <f t="shared" si="13"/>
        <v>Jul</v>
      </c>
      <c r="I449">
        <v>8905302263252</v>
      </c>
      <c r="J449" t="s">
        <v>1102</v>
      </c>
      <c r="K449" t="s">
        <v>1103</v>
      </c>
      <c r="L449" t="s">
        <v>1104</v>
      </c>
      <c r="M449" t="s">
        <v>44</v>
      </c>
      <c r="N449">
        <v>4999</v>
      </c>
      <c r="O449">
        <v>4999</v>
      </c>
      <c r="P449">
        <v>2</v>
      </c>
      <c r="Q449">
        <v>9998</v>
      </c>
      <c r="R449">
        <v>1999.6</v>
      </c>
      <c r="S449">
        <v>0</v>
      </c>
      <c r="T449">
        <v>7998.4</v>
      </c>
      <c r="U449" t="s">
        <v>55</v>
      </c>
      <c r="V449" t="str">
        <v>School Micro checks  Black</v>
      </c>
    </row>
    <row r="450" spans="1:22" ht="19" x14ac:dyDescent="0.25">
      <c r="A450" t="s">
        <v>575</v>
      </c>
      <c r="B450" t="s">
        <v>1261</v>
      </c>
      <c r="C450" t="s">
        <v>1270</v>
      </c>
      <c r="D450" t="s">
        <v>23</v>
      </c>
      <c r="E450" t="s">
        <v>24</v>
      </c>
      <c r="F450" t="s">
        <v>25</v>
      </c>
      <c r="G450" t="s">
        <v>34</v>
      </c>
      <c r="H450" s="172" t="str">
        <f t="shared" si="13"/>
        <v>Jul</v>
      </c>
      <c r="I450">
        <v>8905302263236</v>
      </c>
      <c r="J450" t="s">
        <v>76</v>
      </c>
      <c r="K450" t="s">
        <v>77</v>
      </c>
      <c r="L450" t="s">
        <v>78</v>
      </c>
      <c r="M450" t="s">
        <v>54</v>
      </c>
      <c r="N450">
        <v>5999</v>
      </c>
      <c r="O450">
        <v>5999</v>
      </c>
      <c r="P450">
        <v>1</v>
      </c>
      <c r="Q450">
        <v>5999</v>
      </c>
      <c r="R450">
        <v>1199.8</v>
      </c>
      <c r="S450">
        <v>0</v>
      </c>
      <c r="T450">
        <v>4799.2</v>
      </c>
      <c r="U450" t="s">
        <v>55</v>
      </c>
      <c r="V450" t="str">
        <v>Grunge Denim Charcoal</v>
      </c>
    </row>
    <row r="451" spans="1:22" ht="19" x14ac:dyDescent="0.25">
      <c r="A451" t="s">
        <v>62</v>
      </c>
      <c r="B451" t="s">
        <v>1271</v>
      </c>
      <c r="C451" t="s">
        <v>1272</v>
      </c>
      <c r="D451" t="s">
        <v>23</v>
      </c>
      <c r="E451" t="s">
        <v>24</v>
      </c>
      <c r="F451" t="s">
        <v>25</v>
      </c>
      <c r="G451" t="s">
        <v>34</v>
      </c>
      <c r="H451" s="172" t="str">
        <f t="shared" si="13"/>
        <v>Jul</v>
      </c>
      <c r="I451">
        <v>8905302263304</v>
      </c>
      <c r="J451" t="s">
        <v>928</v>
      </c>
      <c r="K451" t="s">
        <v>929</v>
      </c>
      <c r="L451" t="s">
        <v>829</v>
      </c>
      <c r="M451" t="s">
        <v>61</v>
      </c>
      <c r="N451">
        <v>4999</v>
      </c>
      <c r="O451">
        <v>4999</v>
      </c>
      <c r="P451">
        <v>1</v>
      </c>
      <c r="Q451">
        <v>4999</v>
      </c>
      <c r="R451">
        <v>999.8</v>
      </c>
      <c r="S451">
        <v>0</v>
      </c>
      <c r="T451">
        <v>3999.2</v>
      </c>
      <c r="U451" t="s">
        <v>39</v>
      </c>
      <c r="V451" t="str">
        <v>Blue Heart</v>
      </c>
    </row>
    <row r="452" spans="1:22" ht="19" x14ac:dyDescent="0.25">
      <c r="A452" t="s">
        <v>62</v>
      </c>
      <c r="B452" t="s">
        <v>1271</v>
      </c>
      <c r="C452" t="s">
        <v>1273</v>
      </c>
      <c r="D452" t="s">
        <v>23</v>
      </c>
      <c r="E452" t="s">
        <v>24</v>
      </c>
      <c r="F452" t="s">
        <v>25</v>
      </c>
      <c r="G452" t="s">
        <v>34</v>
      </c>
      <c r="H452" s="172" t="str">
        <f t="shared" si="13"/>
        <v>Jul</v>
      </c>
      <c r="I452">
        <v>8905302263305</v>
      </c>
      <c r="J452" t="s">
        <v>896</v>
      </c>
      <c r="K452" t="s">
        <v>897</v>
      </c>
      <c r="L452" t="s">
        <v>802</v>
      </c>
      <c r="M452" t="s">
        <v>44</v>
      </c>
      <c r="N452">
        <v>4999</v>
      </c>
      <c r="O452">
        <v>4999</v>
      </c>
      <c r="P452">
        <v>1</v>
      </c>
      <c r="Q452">
        <v>4999</v>
      </c>
      <c r="R452">
        <v>999.8</v>
      </c>
      <c r="S452">
        <v>0</v>
      </c>
      <c r="T452">
        <v>3999.2</v>
      </c>
      <c r="U452" t="s">
        <v>50</v>
      </c>
      <c r="V452" t="str">
        <v>Blue Heart</v>
      </c>
    </row>
    <row r="453" spans="1:22" ht="19" x14ac:dyDescent="0.25">
      <c r="A453" t="s">
        <v>575</v>
      </c>
      <c r="B453" t="s">
        <v>1271</v>
      </c>
      <c r="C453" t="s">
        <v>1274</v>
      </c>
      <c r="D453" t="s">
        <v>23</v>
      </c>
      <c r="E453" t="s">
        <v>24</v>
      </c>
      <c r="F453" t="s">
        <v>25</v>
      </c>
      <c r="G453" t="s">
        <v>34</v>
      </c>
      <c r="H453" s="172" t="str">
        <f t="shared" si="13"/>
        <v>Jul</v>
      </c>
      <c r="I453">
        <v>8905302263279</v>
      </c>
      <c r="J453" t="s">
        <v>1275</v>
      </c>
      <c r="K453" t="s">
        <v>1276</v>
      </c>
      <c r="L453" t="s">
        <v>817</v>
      </c>
      <c r="M453" t="s">
        <v>44</v>
      </c>
      <c r="N453">
        <v>4499</v>
      </c>
      <c r="O453">
        <v>4499</v>
      </c>
      <c r="P453">
        <v>1</v>
      </c>
      <c r="Q453">
        <v>4499</v>
      </c>
      <c r="R453">
        <v>899.8</v>
      </c>
      <c r="S453">
        <v>0</v>
      </c>
      <c r="T453">
        <v>3599.2</v>
      </c>
      <c r="U453" t="s">
        <v>55</v>
      </c>
      <c r="V453" t="str">
        <v>Brooklyn Green</v>
      </c>
    </row>
    <row r="454" spans="1:22" ht="19" x14ac:dyDescent="0.25">
      <c r="A454" t="s">
        <v>575</v>
      </c>
      <c r="B454" t="s">
        <v>1271</v>
      </c>
      <c r="C454" t="s">
        <v>1274</v>
      </c>
      <c r="D454" t="s">
        <v>23</v>
      </c>
      <c r="E454" t="s">
        <v>24</v>
      </c>
      <c r="F454" t="s">
        <v>25</v>
      </c>
      <c r="G454" t="s">
        <v>26</v>
      </c>
      <c r="H454" s="172" t="str">
        <f t="shared" si="13"/>
        <v>Jul</v>
      </c>
      <c r="I454">
        <v>8905202269083</v>
      </c>
      <c r="J454" t="s">
        <v>189</v>
      </c>
      <c r="K454" t="s">
        <v>190</v>
      </c>
      <c r="L454" t="s">
        <v>191</v>
      </c>
      <c r="M454" t="s">
        <v>61</v>
      </c>
      <c r="N454">
        <v>3495</v>
      </c>
      <c r="O454">
        <v>3495</v>
      </c>
      <c r="P454">
        <v>1</v>
      </c>
      <c r="Q454">
        <v>3495</v>
      </c>
      <c r="R454">
        <v>1398</v>
      </c>
      <c r="S454">
        <v>0</v>
      </c>
      <c r="T454">
        <v>2097</v>
      </c>
      <c r="U454" t="s">
        <v>55</v>
      </c>
      <c r="V454" t="str">
        <v>MENS  Oversized  T-Shirt London</v>
      </c>
    </row>
    <row r="455" spans="1:22" ht="19" x14ac:dyDescent="0.25">
      <c r="A455" t="s">
        <v>575</v>
      </c>
      <c r="B455" t="s">
        <v>1271</v>
      </c>
      <c r="C455" t="s">
        <v>1274</v>
      </c>
      <c r="D455" t="s">
        <v>23</v>
      </c>
      <c r="E455" t="s">
        <v>24</v>
      </c>
      <c r="F455" t="s">
        <v>25</v>
      </c>
      <c r="G455" t="s">
        <v>26</v>
      </c>
      <c r="H455" s="172" t="str">
        <f t="shared" si="13"/>
        <v>Jul</v>
      </c>
      <c r="I455">
        <v>8905302263433</v>
      </c>
      <c r="J455" t="s">
        <v>1277</v>
      </c>
      <c r="K455" t="s">
        <v>1278</v>
      </c>
      <c r="L455" t="s">
        <v>1279</v>
      </c>
      <c r="M455" t="s">
        <v>44</v>
      </c>
      <c r="N455">
        <v>3999</v>
      </c>
      <c r="O455">
        <v>3999</v>
      </c>
      <c r="P455">
        <v>1</v>
      </c>
      <c r="Q455">
        <v>3999</v>
      </c>
      <c r="R455">
        <v>1599.6</v>
      </c>
      <c r="S455">
        <v>0</v>
      </c>
      <c r="T455">
        <v>2399.4</v>
      </c>
      <c r="U455" t="s">
        <v>55</v>
      </c>
      <c r="V455" t="str">
        <v>Butterfly Grey</v>
      </c>
    </row>
    <row r="456" spans="1:22" ht="19" x14ac:dyDescent="0.25">
      <c r="A456" t="s">
        <v>20</v>
      </c>
      <c r="B456" t="s">
        <v>1280</v>
      </c>
      <c r="C456" t="s">
        <v>1281</v>
      </c>
      <c r="D456" t="s">
        <v>23</v>
      </c>
      <c r="E456" t="s">
        <v>24</v>
      </c>
      <c r="F456" t="s">
        <v>25</v>
      </c>
      <c r="G456" t="s">
        <v>34</v>
      </c>
      <c r="H456" s="172" t="str">
        <f t="shared" si="13"/>
        <v>Jul</v>
      </c>
      <c r="I456">
        <v>8905302263281</v>
      </c>
      <c r="J456" t="s">
        <v>1282</v>
      </c>
      <c r="K456" t="s">
        <v>1283</v>
      </c>
      <c r="L456" t="s">
        <v>667</v>
      </c>
      <c r="M456" t="s">
        <v>54</v>
      </c>
      <c r="N456">
        <v>5999</v>
      </c>
      <c r="O456">
        <v>5999</v>
      </c>
      <c r="P456">
        <v>1</v>
      </c>
      <c r="Q456">
        <v>5999</v>
      </c>
      <c r="R456">
        <v>1199.8</v>
      </c>
      <c r="S456">
        <v>0</v>
      </c>
      <c r="T456">
        <v>4799.2</v>
      </c>
      <c r="U456" t="s">
        <v>39</v>
      </c>
      <c r="V456" t="str">
        <v>Mushroom Blue</v>
      </c>
    </row>
    <row r="457" spans="1:22" ht="19" x14ac:dyDescent="0.25">
      <c r="A457" t="s">
        <v>20</v>
      </c>
      <c r="B457" t="s">
        <v>1280</v>
      </c>
      <c r="C457" t="s">
        <v>1284</v>
      </c>
      <c r="D457" t="s">
        <v>23</v>
      </c>
      <c r="E457" t="s">
        <v>24</v>
      </c>
      <c r="F457" t="s">
        <v>64</v>
      </c>
      <c r="G457" t="s">
        <v>65</v>
      </c>
      <c r="H457" s="172" t="str">
        <f t="shared" si="13"/>
        <v>Jul</v>
      </c>
      <c r="I457">
        <v>8905302263361</v>
      </c>
      <c r="J457" t="s">
        <v>875</v>
      </c>
      <c r="K457" t="s">
        <v>876</v>
      </c>
      <c r="L457" t="s">
        <v>877</v>
      </c>
      <c r="M457" t="s">
        <v>54</v>
      </c>
      <c r="N457">
        <v>7999</v>
      </c>
      <c r="O457">
        <v>7999</v>
      </c>
      <c r="P457">
        <v>1</v>
      </c>
      <c r="Q457">
        <v>7999</v>
      </c>
      <c r="R457">
        <v>2399.6999999999998</v>
      </c>
      <c r="S457">
        <v>350.72</v>
      </c>
      <c r="T457">
        <v>5248.58</v>
      </c>
      <c r="U457" t="s">
        <v>31</v>
      </c>
      <c r="V457" t="str">
        <v>Black Paint Splash</v>
      </c>
    </row>
    <row r="458" spans="1:22" ht="19" x14ac:dyDescent="0.25">
      <c r="A458" t="s">
        <v>62</v>
      </c>
      <c r="B458" t="s">
        <v>1280</v>
      </c>
      <c r="C458" t="s">
        <v>1290</v>
      </c>
      <c r="D458" t="s">
        <v>23</v>
      </c>
      <c r="E458" t="s">
        <v>24</v>
      </c>
      <c r="F458" t="s">
        <v>25</v>
      </c>
      <c r="G458" t="s">
        <v>26</v>
      </c>
      <c r="H458" s="172" t="str">
        <f t="shared" si="13"/>
        <v>Jul</v>
      </c>
      <c r="I458">
        <v>8905202269106</v>
      </c>
      <c r="J458" t="s">
        <v>47</v>
      </c>
      <c r="K458" t="s">
        <v>48</v>
      </c>
      <c r="L458" t="s">
        <v>49</v>
      </c>
      <c r="M458" t="s">
        <v>38</v>
      </c>
      <c r="N458">
        <v>3495</v>
      </c>
      <c r="O458">
        <v>3495</v>
      </c>
      <c r="P458">
        <v>1</v>
      </c>
      <c r="Q458">
        <v>3495</v>
      </c>
      <c r="R458">
        <v>1398</v>
      </c>
      <c r="S458">
        <v>0</v>
      </c>
      <c r="T458">
        <v>2097</v>
      </c>
      <c r="U458" t="s">
        <v>50</v>
      </c>
      <c r="V458" t="str">
        <v>MENS  Oversized  T-Shirt London</v>
      </c>
    </row>
    <row r="459" spans="1:22" ht="19" x14ac:dyDescent="0.25">
      <c r="A459" t="s">
        <v>62</v>
      </c>
      <c r="B459" t="s">
        <v>1280</v>
      </c>
      <c r="C459" t="s">
        <v>1285</v>
      </c>
      <c r="D459" t="s">
        <v>23</v>
      </c>
      <c r="E459" t="s">
        <v>24</v>
      </c>
      <c r="F459" t="s">
        <v>64</v>
      </c>
      <c r="G459" t="s">
        <v>65</v>
      </c>
      <c r="H459" s="172" t="str">
        <f t="shared" si="13"/>
        <v>Jul</v>
      </c>
      <c r="I459">
        <v>8905302263407</v>
      </c>
      <c r="J459" t="s">
        <v>1250</v>
      </c>
      <c r="K459" t="s">
        <v>1251</v>
      </c>
      <c r="L459" t="s">
        <v>1252</v>
      </c>
      <c r="M459" t="s">
        <v>38</v>
      </c>
      <c r="N459">
        <v>6999</v>
      </c>
      <c r="O459">
        <v>6999</v>
      </c>
      <c r="P459">
        <v>1</v>
      </c>
      <c r="Q459">
        <v>6999</v>
      </c>
      <c r="R459">
        <v>2099.6999999999998</v>
      </c>
      <c r="S459">
        <v>0</v>
      </c>
      <c r="T459">
        <v>4899.3</v>
      </c>
      <c r="U459" t="s">
        <v>45</v>
      </c>
      <c r="V459" t="str">
        <v>Black Dart Denim</v>
      </c>
    </row>
    <row r="460" spans="1:22" ht="19" x14ac:dyDescent="0.25">
      <c r="A460" t="s">
        <v>62</v>
      </c>
      <c r="B460" t="s">
        <v>1280</v>
      </c>
      <c r="C460" t="s">
        <v>1285</v>
      </c>
      <c r="D460" t="s">
        <v>23</v>
      </c>
      <c r="E460" t="s">
        <v>24</v>
      </c>
      <c r="F460" t="s">
        <v>25</v>
      </c>
      <c r="G460" t="s">
        <v>34</v>
      </c>
      <c r="H460" s="172" t="str">
        <f t="shared" si="13"/>
        <v>Jul</v>
      </c>
      <c r="I460">
        <v>8905302263241</v>
      </c>
      <c r="J460" t="s">
        <v>1051</v>
      </c>
      <c r="K460" t="s">
        <v>1052</v>
      </c>
      <c r="L460" t="s">
        <v>829</v>
      </c>
      <c r="M460" t="s">
        <v>61</v>
      </c>
      <c r="N460">
        <v>5999</v>
      </c>
      <c r="O460">
        <v>5999</v>
      </c>
      <c r="P460">
        <v>1</v>
      </c>
      <c r="Q460">
        <v>5999</v>
      </c>
      <c r="R460">
        <v>1199.8</v>
      </c>
      <c r="S460">
        <v>0</v>
      </c>
      <c r="T460">
        <v>4799.2</v>
      </c>
      <c r="U460" t="s">
        <v>45</v>
      </c>
      <c r="V460" t="str">
        <v>Grunge Denim Blue</v>
      </c>
    </row>
    <row r="461" spans="1:22" ht="19" x14ac:dyDescent="0.25">
      <c r="A461" t="s">
        <v>62</v>
      </c>
      <c r="B461" t="s">
        <v>1280</v>
      </c>
      <c r="C461" t="s">
        <v>1285</v>
      </c>
      <c r="D461" t="s">
        <v>23</v>
      </c>
      <c r="E461" t="s">
        <v>24</v>
      </c>
      <c r="F461" t="s">
        <v>25</v>
      </c>
      <c r="G461" t="s">
        <v>26</v>
      </c>
      <c r="H461" s="172" t="str">
        <f t="shared" si="13"/>
        <v>Jul</v>
      </c>
      <c r="I461">
        <v>8905202264736</v>
      </c>
      <c r="J461" t="s">
        <v>1286</v>
      </c>
      <c r="K461" t="s">
        <v>1287</v>
      </c>
      <c r="L461" t="s">
        <v>416</v>
      </c>
      <c r="M461" t="s">
        <v>54</v>
      </c>
      <c r="N461">
        <v>2495</v>
      </c>
      <c r="O461">
        <v>2495</v>
      </c>
      <c r="P461">
        <v>1</v>
      </c>
      <c r="Q461">
        <v>2495</v>
      </c>
      <c r="R461">
        <v>998</v>
      </c>
      <c r="S461">
        <v>0</v>
      </c>
      <c r="T461">
        <v>1497</v>
      </c>
      <c r="U461" t="s">
        <v>45</v>
      </c>
      <c r="V461" t="str">
        <v xml:space="preserve"> Pixel print drop  oversized unisex T shirt                     </v>
      </c>
    </row>
    <row r="462" spans="1:22" ht="19" x14ac:dyDescent="0.25">
      <c r="A462" t="s">
        <v>62</v>
      </c>
      <c r="B462" t="s">
        <v>1280</v>
      </c>
      <c r="C462" t="s">
        <v>135</v>
      </c>
      <c r="D462" t="s">
        <v>23</v>
      </c>
      <c r="E462" t="s">
        <v>24</v>
      </c>
      <c r="F462" t="s">
        <v>25</v>
      </c>
      <c r="G462" t="s">
        <v>26</v>
      </c>
      <c r="H462" s="172" t="str">
        <f t="shared" si="13"/>
        <v>Jul</v>
      </c>
      <c r="I462">
        <v>8905202264699</v>
      </c>
      <c r="J462" t="s">
        <v>807</v>
      </c>
      <c r="K462" t="s">
        <v>808</v>
      </c>
      <c r="L462" t="s">
        <v>251</v>
      </c>
      <c r="M462" t="s">
        <v>84</v>
      </c>
      <c r="N462">
        <v>2995</v>
      </c>
      <c r="O462">
        <v>2995</v>
      </c>
      <c r="P462">
        <v>1</v>
      </c>
      <c r="Q462">
        <v>2995</v>
      </c>
      <c r="R462">
        <v>1198</v>
      </c>
      <c r="S462">
        <v>0</v>
      </c>
      <c r="T462">
        <v>1797</v>
      </c>
      <c r="U462" t="s">
        <v>284</v>
      </c>
      <c r="V462" t="str">
        <v xml:space="preserve">David full print Drop Shoulder Crew Neck T-Shirt                                                 </v>
      </c>
    </row>
    <row r="463" spans="1:22" ht="19" x14ac:dyDescent="0.25">
      <c r="A463" t="s">
        <v>62</v>
      </c>
      <c r="B463" t="s">
        <v>1280</v>
      </c>
      <c r="C463" t="s">
        <v>1288</v>
      </c>
      <c r="D463" t="s">
        <v>23</v>
      </c>
      <c r="E463" t="s">
        <v>24</v>
      </c>
      <c r="F463" t="s">
        <v>25</v>
      </c>
      <c r="G463" t="s">
        <v>26</v>
      </c>
      <c r="H463" s="172" t="str">
        <f t="shared" si="13"/>
        <v>Jul</v>
      </c>
      <c r="I463">
        <v>8905202264712</v>
      </c>
      <c r="J463" t="s">
        <v>670</v>
      </c>
      <c r="K463" t="s">
        <v>671</v>
      </c>
      <c r="L463" t="s">
        <v>29</v>
      </c>
      <c r="M463" t="s">
        <v>30</v>
      </c>
      <c r="N463">
        <v>3495</v>
      </c>
      <c r="O463">
        <v>3495</v>
      </c>
      <c r="P463">
        <v>1</v>
      </c>
      <c r="Q463">
        <v>3495</v>
      </c>
      <c r="R463">
        <v>1398</v>
      </c>
      <c r="S463">
        <v>0</v>
      </c>
      <c r="T463">
        <v>2097</v>
      </c>
      <c r="U463" t="s">
        <v>45</v>
      </c>
      <c r="V463" t="str">
        <v>Grumpy Face Embroidered Terry Free Size Tee in Black</v>
      </c>
    </row>
    <row r="464" spans="1:22" ht="19" x14ac:dyDescent="0.25">
      <c r="A464" t="s">
        <v>62</v>
      </c>
      <c r="B464" t="s">
        <v>1280</v>
      </c>
      <c r="C464" t="s">
        <v>1289</v>
      </c>
      <c r="D464" t="s">
        <v>23</v>
      </c>
      <c r="E464" t="s">
        <v>24</v>
      </c>
      <c r="F464" t="s">
        <v>25</v>
      </c>
      <c r="G464" t="s">
        <v>26</v>
      </c>
      <c r="H464" s="172" t="str">
        <f t="shared" si="13"/>
        <v>Jul</v>
      </c>
      <c r="I464">
        <v>8905202264675</v>
      </c>
      <c r="J464" t="s">
        <v>481</v>
      </c>
      <c r="K464" t="s">
        <v>480</v>
      </c>
      <c r="L464" t="s">
        <v>53</v>
      </c>
      <c r="M464" t="s">
        <v>54</v>
      </c>
      <c r="N464">
        <v>2995</v>
      </c>
      <c r="O464">
        <v>2995</v>
      </c>
      <c r="P464">
        <v>1</v>
      </c>
      <c r="Q464">
        <v>2995</v>
      </c>
      <c r="R464">
        <v>1198</v>
      </c>
      <c r="S464">
        <v>0</v>
      </c>
      <c r="T464">
        <v>1797</v>
      </c>
      <c r="U464" t="s">
        <v>50</v>
      </c>
      <c r="V464" t="str">
        <v xml:space="preserve">David full print Drop Shoulder Crew Neck T-Shirt                                                 </v>
      </c>
    </row>
    <row r="465" spans="1:22" ht="19" x14ac:dyDescent="0.25">
      <c r="A465" t="s">
        <v>962</v>
      </c>
      <c r="B465" t="s">
        <v>1291</v>
      </c>
      <c r="C465" t="s">
        <v>1292</v>
      </c>
      <c r="D465" t="s">
        <v>23</v>
      </c>
      <c r="E465" t="s">
        <v>24</v>
      </c>
      <c r="F465" t="s">
        <v>25</v>
      </c>
      <c r="G465" t="s">
        <v>34</v>
      </c>
      <c r="H465" s="172" t="str">
        <f t="shared" si="13"/>
        <v>Jul</v>
      </c>
      <c r="I465">
        <v>8905302263391</v>
      </c>
      <c r="J465" t="s">
        <v>1293</v>
      </c>
      <c r="K465" t="s">
        <v>1294</v>
      </c>
      <c r="L465" t="s">
        <v>802</v>
      </c>
      <c r="M465" t="s">
        <v>44</v>
      </c>
      <c r="N465">
        <v>4999</v>
      </c>
      <c r="O465">
        <v>4999</v>
      </c>
      <c r="P465">
        <v>1</v>
      </c>
      <c r="Q465">
        <v>4999</v>
      </c>
      <c r="R465">
        <v>999.8</v>
      </c>
      <c r="S465">
        <v>0</v>
      </c>
      <c r="T465">
        <v>3999.2</v>
      </c>
      <c r="U465" t="s">
        <v>45</v>
      </c>
      <c r="V465" t="str">
        <v>Victory Stripe Blue</v>
      </c>
    </row>
    <row r="466" spans="1:22" ht="19" x14ac:dyDescent="0.25">
      <c r="A466" t="s">
        <v>962</v>
      </c>
      <c r="B466" t="s">
        <v>1291</v>
      </c>
      <c r="C466" t="s">
        <v>1295</v>
      </c>
      <c r="D466" t="s">
        <v>23</v>
      </c>
      <c r="E466" t="s">
        <v>24</v>
      </c>
      <c r="F466" t="s">
        <v>64</v>
      </c>
      <c r="G466" t="s">
        <v>294</v>
      </c>
      <c r="H466" s="172" t="str">
        <f t="shared" si="13"/>
        <v>Jul</v>
      </c>
      <c r="I466">
        <v>8905302263222</v>
      </c>
      <c r="J466" t="s">
        <v>1296</v>
      </c>
      <c r="K466" t="s">
        <v>1297</v>
      </c>
      <c r="L466" t="s">
        <v>1298</v>
      </c>
      <c r="M466" t="s">
        <v>38</v>
      </c>
      <c r="N466">
        <v>4999</v>
      </c>
      <c r="O466">
        <v>4999</v>
      </c>
      <c r="P466">
        <v>1</v>
      </c>
      <c r="Q466">
        <v>4999</v>
      </c>
      <c r="R466">
        <v>1999.6</v>
      </c>
      <c r="S466">
        <v>0</v>
      </c>
      <c r="T466">
        <v>2999.4</v>
      </c>
      <c r="U466" t="s">
        <v>45</v>
      </c>
      <c r="V466" t="str">
        <v>Denim Shorts Blue</v>
      </c>
    </row>
    <row r="467" spans="1:22" ht="19" x14ac:dyDescent="0.25">
      <c r="A467" t="s">
        <v>962</v>
      </c>
      <c r="B467" t="s">
        <v>1291</v>
      </c>
      <c r="C467" t="s">
        <v>1295</v>
      </c>
      <c r="D467" t="s">
        <v>23</v>
      </c>
      <c r="E467" t="s">
        <v>24</v>
      </c>
      <c r="F467" t="s">
        <v>25</v>
      </c>
      <c r="G467" t="s">
        <v>26</v>
      </c>
      <c r="H467" s="172" t="str">
        <f t="shared" si="13"/>
        <v>Jul</v>
      </c>
      <c r="I467">
        <v>8905202264705</v>
      </c>
      <c r="J467" t="s">
        <v>438</v>
      </c>
      <c r="K467" t="s">
        <v>437</v>
      </c>
      <c r="L467" t="s">
        <v>436</v>
      </c>
      <c r="M467" t="s">
        <v>30</v>
      </c>
      <c r="N467">
        <v>3495</v>
      </c>
      <c r="O467">
        <v>3495</v>
      </c>
      <c r="P467">
        <v>1</v>
      </c>
      <c r="Q467">
        <v>3495</v>
      </c>
      <c r="R467">
        <v>1398</v>
      </c>
      <c r="S467">
        <v>0</v>
      </c>
      <c r="T467">
        <v>2097</v>
      </c>
      <c r="U467" t="s">
        <v>45</v>
      </c>
      <c r="V467" t="str">
        <v>Mosquito Embroidered Terry Free Size Tee in White</v>
      </c>
    </row>
    <row r="468" spans="1:22" ht="19" x14ac:dyDescent="0.25">
      <c r="A468" t="s">
        <v>962</v>
      </c>
      <c r="B468" t="s">
        <v>1291</v>
      </c>
      <c r="C468" t="s">
        <v>1299</v>
      </c>
      <c r="D468" t="s">
        <v>23</v>
      </c>
      <c r="E468" t="s">
        <v>24</v>
      </c>
      <c r="F468" t="s">
        <v>25</v>
      </c>
      <c r="G468" t="s">
        <v>34</v>
      </c>
      <c r="H468" s="172" t="str">
        <f t="shared" si="13"/>
        <v>Jul</v>
      </c>
      <c r="I468">
        <v>8905302263414</v>
      </c>
      <c r="J468" t="s">
        <v>1300</v>
      </c>
      <c r="K468" t="s">
        <v>1301</v>
      </c>
      <c r="L468" t="s">
        <v>1302</v>
      </c>
      <c r="M468" t="s">
        <v>54</v>
      </c>
      <c r="N468">
        <v>6999</v>
      </c>
      <c r="O468">
        <v>6999</v>
      </c>
      <c r="P468">
        <v>1</v>
      </c>
      <c r="Q468">
        <v>6999</v>
      </c>
      <c r="R468">
        <v>1399.8</v>
      </c>
      <c r="S468">
        <v>0</v>
      </c>
      <c r="T468">
        <v>5599.2</v>
      </c>
      <c r="U468" t="s">
        <v>31</v>
      </c>
      <c r="V468" t="str">
        <v>Creative Black</v>
      </c>
    </row>
    <row r="469" spans="1:22" ht="19" x14ac:dyDescent="0.25">
      <c r="A469" t="s">
        <v>962</v>
      </c>
      <c r="B469" t="s">
        <v>1291</v>
      </c>
      <c r="C469" t="s">
        <v>1303</v>
      </c>
      <c r="D469" t="s">
        <v>23</v>
      </c>
      <c r="E469" t="s">
        <v>24</v>
      </c>
      <c r="F469" t="s">
        <v>25</v>
      </c>
      <c r="G469" t="s">
        <v>26</v>
      </c>
      <c r="H469" s="172" t="str">
        <f t="shared" ref="H469:H531" si="14">TEXT(DATE(RIGHT(B469,4),MID(B469,4,2),LEFT(B469,2)),"mmm")</f>
        <v>Jul</v>
      </c>
      <c r="I469">
        <v>8905202264682</v>
      </c>
      <c r="J469" t="s">
        <v>529</v>
      </c>
      <c r="K469" t="s">
        <v>530</v>
      </c>
      <c r="L469" t="s">
        <v>149</v>
      </c>
      <c r="M469" t="s">
        <v>38</v>
      </c>
      <c r="N469">
        <v>2995</v>
      </c>
      <c r="O469">
        <v>2995</v>
      </c>
      <c r="P469">
        <v>1</v>
      </c>
      <c r="Q469">
        <v>2995</v>
      </c>
      <c r="R469">
        <v>1198</v>
      </c>
      <c r="S469">
        <v>0</v>
      </c>
      <c r="T469">
        <v>1797</v>
      </c>
      <c r="U469" t="s">
        <v>31</v>
      </c>
      <c r="V469" t="str">
        <v xml:space="preserve">David full print Drop Shoulder Crew Neck T-Shirt                                                 </v>
      </c>
    </row>
    <row r="470" spans="1:22" ht="19" x14ac:dyDescent="0.25">
      <c r="A470" t="s">
        <v>962</v>
      </c>
      <c r="B470" t="s">
        <v>1291</v>
      </c>
      <c r="C470" t="s">
        <v>1304</v>
      </c>
      <c r="D470" t="s">
        <v>23</v>
      </c>
      <c r="E470" t="s">
        <v>24</v>
      </c>
      <c r="F470" t="s">
        <v>64</v>
      </c>
      <c r="G470" t="s">
        <v>65</v>
      </c>
      <c r="H470" s="172" t="str">
        <f t="shared" si="14"/>
        <v>Jul</v>
      </c>
      <c r="I470">
        <v>8905302263360</v>
      </c>
      <c r="J470" t="s">
        <v>744</v>
      </c>
      <c r="K470" t="s">
        <v>745</v>
      </c>
      <c r="L470" t="s">
        <v>743</v>
      </c>
      <c r="M470" t="s">
        <v>38</v>
      </c>
      <c r="N470">
        <v>7999</v>
      </c>
      <c r="O470">
        <v>7999</v>
      </c>
      <c r="P470">
        <v>1</v>
      </c>
      <c r="Q470">
        <v>7999</v>
      </c>
      <c r="R470">
        <v>2399.6999999999998</v>
      </c>
      <c r="S470">
        <v>0</v>
      </c>
      <c r="T470">
        <v>5599.3</v>
      </c>
      <c r="U470" t="s">
        <v>55</v>
      </c>
      <c r="V470" t="str">
        <v>Blue Paint Splash</v>
      </c>
    </row>
    <row r="471" spans="1:22" ht="19" x14ac:dyDescent="0.25">
      <c r="A471" t="s">
        <v>20</v>
      </c>
      <c r="B471" t="s">
        <v>1291</v>
      </c>
      <c r="C471" t="s">
        <v>1305</v>
      </c>
      <c r="D471" t="s">
        <v>23</v>
      </c>
      <c r="E471" t="s">
        <v>24</v>
      </c>
      <c r="F471" t="s">
        <v>25</v>
      </c>
      <c r="G471" t="s">
        <v>34</v>
      </c>
      <c r="H471" s="172" t="str">
        <f t="shared" si="14"/>
        <v>Jul</v>
      </c>
      <c r="I471">
        <v>8905302263227</v>
      </c>
      <c r="J471" t="s">
        <v>111</v>
      </c>
      <c r="K471" t="s">
        <v>112</v>
      </c>
      <c r="L471" t="s">
        <v>113</v>
      </c>
      <c r="M471" t="s">
        <v>61</v>
      </c>
      <c r="N471">
        <v>5999</v>
      </c>
      <c r="O471">
        <v>5999</v>
      </c>
      <c r="P471">
        <v>1</v>
      </c>
      <c r="Q471">
        <v>5999</v>
      </c>
      <c r="R471">
        <v>1199.8</v>
      </c>
      <c r="S471">
        <v>0</v>
      </c>
      <c r="T471">
        <v>4799.2</v>
      </c>
      <c r="U471" t="s">
        <v>284</v>
      </c>
      <c r="V471" t="str">
        <v>CD Drop Shoulder Olive</v>
      </c>
    </row>
    <row r="472" spans="1:22" ht="19" x14ac:dyDescent="0.25">
      <c r="A472" t="s">
        <v>20</v>
      </c>
      <c r="B472" t="s">
        <v>1291</v>
      </c>
      <c r="C472" t="s">
        <v>1305</v>
      </c>
      <c r="D472" t="s">
        <v>23</v>
      </c>
      <c r="E472" t="s">
        <v>24</v>
      </c>
      <c r="F472" t="s">
        <v>25</v>
      </c>
      <c r="G472" t="s">
        <v>34</v>
      </c>
      <c r="H472" s="172" t="str">
        <f t="shared" si="14"/>
        <v>Jul</v>
      </c>
      <c r="I472">
        <v>8905302263331</v>
      </c>
      <c r="J472" t="s">
        <v>1306</v>
      </c>
      <c r="K472" t="s">
        <v>1307</v>
      </c>
      <c r="L472" t="s">
        <v>1308</v>
      </c>
      <c r="M472" t="s">
        <v>61</v>
      </c>
      <c r="N472">
        <v>4999</v>
      </c>
      <c r="O472">
        <v>4999</v>
      </c>
      <c r="P472">
        <v>1</v>
      </c>
      <c r="Q472">
        <v>4999</v>
      </c>
      <c r="R472">
        <v>999.8</v>
      </c>
      <c r="S472">
        <v>0</v>
      </c>
      <c r="T472">
        <v>3999.2</v>
      </c>
      <c r="U472" t="s">
        <v>284</v>
      </c>
      <c r="V472" t="str">
        <v>Mom's Warning Navy</v>
      </c>
    </row>
    <row r="473" spans="1:22" ht="19" x14ac:dyDescent="0.25">
      <c r="A473" t="s">
        <v>20</v>
      </c>
      <c r="B473" t="s">
        <v>1291</v>
      </c>
      <c r="C473" t="s">
        <v>1309</v>
      </c>
      <c r="D473" t="s">
        <v>23</v>
      </c>
      <c r="E473" t="s">
        <v>24</v>
      </c>
      <c r="F473" t="s">
        <v>64</v>
      </c>
      <c r="G473" t="s">
        <v>65</v>
      </c>
      <c r="H473" s="172" t="str">
        <f t="shared" si="14"/>
        <v>Jul</v>
      </c>
      <c r="I473">
        <v>8905302263181</v>
      </c>
      <c r="J473" t="s">
        <v>256</v>
      </c>
      <c r="K473" t="s">
        <v>257</v>
      </c>
      <c r="L473" t="s">
        <v>258</v>
      </c>
      <c r="M473" t="s">
        <v>61</v>
      </c>
      <c r="N473">
        <v>5999</v>
      </c>
      <c r="O473">
        <v>5999</v>
      </c>
      <c r="P473">
        <v>1</v>
      </c>
      <c r="Q473">
        <v>5999</v>
      </c>
      <c r="R473">
        <v>1799.7</v>
      </c>
      <c r="S473">
        <v>0</v>
      </c>
      <c r="T473">
        <v>4199.3</v>
      </c>
      <c r="U473" t="s">
        <v>45</v>
      </c>
      <c r="V473" t="str">
        <v>Barell Fit Grey</v>
      </c>
    </row>
    <row r="474" spans="1:22" ht="19" x14ac:dyDescent="0.25">
      <c r="A474" t="s">
        <v>20</v>
      </c>
      <c r="B474" t="s">
        <v>1291</v>
      </c>
      <c r="C474" t="s">
        <v>1309</v>
      </c>
      <c r="D474" t="s">
        <v>23</v>
      </c>
      <c r="E474" t="s">
        <v>24</v>
      </c>
      <c r="F474" t="s">
        <v>64</v>
      </c>
      <c r="G474" t="s">
        <v>65</v>
      </c>
      <c r="H474" s="172" t="str">
        <f t="shared" si="14"/>
        <v>Jul</v>
      </c>
      <c r="I474">
        <v>8905302263358</v>
      </c>
      <c r="J474" t="s">
        <v>868</v>
      </c>
      <c r="K474" t="s">
        <v>869</v>
      </c>
      <c r="L474" t="s">
        <v>601</v>
      </c>
      <c r="M474" t="s">
        <v>61</v>
      </c>
      <c r="N474">
        <v>7999</v>
      </c>
      <c r="O474">
        <v>7999</v>
      </c>
      <c r="P474">
        <v>1</v>
      </c>
      <c r="Q474">
        <v>7999</v>
      </c>
      <c r="R474">
        <v>2399.6999999999998</v>
      </c>
      <c r="S474">
        <v>0</v>
      </c>
      <c r="T474">
        <v>5599.3</v>
      </c>
      <c r="U474" t="s">
        <v>45</v>
      </c>
      <c r="V474" t="str">
        <v>Blue Paint Splash</v>
      </c>
    </row>
    <row r="475" spans="1:22" ht="19" x14ac:dyDescent="0.25">
      <c r="A475" t="s">
        <v>20</v>
      </c>
      <c r="B475" t="s">
        <v>1291</v>
      </c>
      <c r="C475" t="s">
        <v>1310</v>
      </c>
      <c r="D475" t="s">
        <v>23</v>
      </c>
      <c r="E475" t="s">
        <v>24</v>
      </c>
      <c r="F475" t="s">
        <v>25</v>
      </c>
      <c r="G475" t="s">
        <v>34</v>
      </c>
      <c r="H475" s="172" t="str">
        <f t="shared" si="14"/>
        <v>Jul</v>
      </c>
      <c r="I475">
        <v>8905302263277</v>
      </c>
      <c r="J475" t="s">
        <v>1311</v>
      </c>
      <c r="K475" t="s">
        <v>1312</v>
      </c>
      <c r="L475" t="s">
        <v>1104</v>
      </c>
      <c r="M475" t="s">
        <v>44</v>
      </c>
      <c r="N475">
        <v>4999</v>
      </c>
      <c r="O475">
        <v>4999</v>
      </c>
      <c r="P475">
        <v>1</v>
      </c>
      <c r="Q475">
        <v>4999</v>
      </c>
      <c r="R475">
        <v>999.8</v>
      </c>
      <c r="S475">
        <v>0</v>
      </c>
      <c r="T475">
        <v>3999.2</v>
      </c>
      <c r="U475" t="s">
        <v>45</v>
      </c>
      <c r="V475" t="str">
        <v>Cross Stich Black</v>
      </c>
    </row>
    <row r="476" spans="1:22" ht="19" x14ac:dyDescent="0.25">
      <c r="A476" t="s">
        <v>62</v>
      </c>
      <c r="B476" t="s">
        <v>1291</v>
      </c>
      <c r="C476" t="s">
        <v>1313</v>
      </c>
      <c r="D476" t="s">
        <v>23</v>
      </c>
      <c r="E476" t="s">
        <v>24</v>
      </c>
      <c r="F476" t="s">
        <v>25</v>
      </c>
      <c r="G476" t="s">
        <v>26</v>
      </c>
      <c r="H476" s="172" t="str">
        <f t="shared" si="14"/>
        <v>Jul</v>
      </c>
      <c r="I476">
        <v>8905302263377</v>
      </c>
      <c r="J476" t="s">
        <v>1106</v>
      </c>
      <c r="K476" t="s">
        <v>1107</v>
      </c>
      <c r="L476" t="s">
        <v>1108</v>
      </c>
      <c r="M476" t="s">
        <v>44</v>
      </c>
      <c r="N476">
        <v>3999</v>
      </c>
      <c r="O476">
        <v>3999</v>
      </c>
      <c r="P476">
        <v>1</v>
      </c>
      <c r="Q476">
        <v>3999</v>
      </c>
      <c r="R476">
        <v>1599.6</v>
      </c>
      <c r="S476">
        <v>0</v>
      </c>
      <c r="T476">
        <v>2399.4</v>
      </c>
      <c r="U476" t="s">
        <v>39</v>
      </c>
      <c r="V476" t="str">
        <v>Monaco</v>
      </c>
    </row>
    <row r="477" spans="1:22" ht="19" x14ac:dyDescent="0.25">
      <c r="A477" t="s">
        <v>62</v>
      </c>
      <c r="B477" t="s">
        <v>1291</v>
      </c>
      <c r="C477" t="s">
        <v>1314</v>
      </c>
      <c r="D477" t="s">
        <v>23</v>
      </c>
      <c r="E477" t="s">
        <v>24</v>
      </c>
      <c r="F477" t="s">
        <v>25</v>
      </c>
      <c r="G477" t="s">
        <v>26</v>
      </c>
      <c r="H477" s="172" t="str">
        <f t="shared" si="14"/>
        <v>Jul</v>
      </c>
      <c r="I477">
        <v>8905202264712</v>
      </c>
      <c r="J477" t="s">
        <v>670</v>
      </c>
      <c r="K477" t="s">
        <v>671</v>
      </c>
      <c r="L477" t="s">
        <v>29</v>
      </c>
      <c r="M477" t="s">
        <v>30</v>
      </c>
      <c r="N477">
        <v>3495</v>
      </c>
      <c r="O477">
        <v>3495</v>
      </c>
      <c r="P477">
        <v>1</v>
      </c>
      <c r="Q477">
        <v>3495</v>
      </c>
      <c r="R477">
        <v>1398</v>
      </c>
      <c r="S477">
        <v>0</v>
      </c>
      <c r="T477">
        <v>2097</v>
      </c>
      <c r="U477" t="s">
        <v>1315</v>
      </c>
      <c r="V477" t="str">
        <v>Grumpy Face Embroidered Terry Free Size Tee in Black</v>
      </c>
    </row>
    <row r="478" spans="1:22" ht="19" x14ac:dyDescent="0.25">
      <c r="A478" t="s">
        <v>62</v>
      </c>
      <c r="B478" t="s">
        <v>1291</v>
      </c>
      <c r="C478" t="s">
        <v>1316</v>
      </c>
      <c r="D478" t="s">
        <v>23</v>
      </c>
      <c r="E478" t="s">
        <v>24</v>
      </c>
      <c r="F478" t="s">
        <v>25</v>
      </c>
      <c r="G478" t="s">
        <v>26</v>
      </c>
      <c r="H478" s="172" t="str">
        <f t="shared" si="14"/>
        <v>Jul</v>
      </c>
      <c r="I478">
        <v>8905202264705</v>
      </c>
      <c r="J478" t="s">
        <v>438</v>
      </c>
      <c r="K478" t="s">
        <v>437</v>
      </c>
      <c r="L478" t="s">
        <v>436</v>
      </c>
      <c r="M478" t="s">
        <v>30</v>
      </c>
      <c r="N478">
        <v>3495</v>
      </c>
      <c r="O478">
        <v>3495</v>
      </c>
      <c r="P478">
        <v>1</v>
      </c>
      <c r="Q478">
        <v>3495</v>
      </c>
      <c r="R478">
        <v>1398</v>
      </c>
      <c r="S478">
        <v>0</v>
      </c>
      <c r="T478">
        <v>2097</v>
      </c>
      <c r="U478" t="s">
        <v>50</v>
      </c>
      <c r="V478" t="str">
        <v>Mosquito Embroidered Terry Free Size Tee in White</v>
      </c>
    </row>
    <row r="479" spans="1:22" ht="19" x14ac:dyDescent="0.25">
      <c r="A479" t="s">
        <v>62</v>
      </c>
      <c r="B479" t="s">
        <v>1291</v>
      </c>
      <c r="C479" t="s">
        <v>1316</v>
      </c>
      <c r="D479" t="s">
        <v>23</v>
      </c>
      <c r="E479" t="s">
        <v>24</v>
      </c>
      <c r="F479" t="s">
        <v>25</v>
      </c>
      <c r="G479" t="s">
        <v>26</v>
      </c>
      <c r="H479" s="172" t="str">
        <f t="shared" si="14"/>
        <v>Jul</v>
      </c>
      <c r="I479">
        <v>8905202264729</v>
      </c>
      <c r="J479" t="s">
        <v>28</v>
      </c>
      <c r="K479">
        <v>8905202264729</v>
      </c>
      <c r="L479" t="s">
        <v>29</v>
      </c>
      <c r="M479" t="s">
        <v>30</v>
      </c>
      <c r="N479">
        <v>2995</v>
      </c>
      <c r="O479">
        <v>2995</v>
      </c>
      <c r="P479">
        <v>1</v>
      </c>
      <c r="Q479">
        <v>2995</v>
      </c>
      <c r="R479">
        <v>1198</v>
      </c>
      <c r="S479">
        <v>0</v>
      </c>
      <c r="T479">
        <v>1797</v>
      </c>
      <c r="U479" t="s">
        <v>50</v>
      </c>
      <c r="V479" t="str">
        <v xml:space="preserve">X Graphic Terry Free Size Tee in Black </v>
      </c>
    </row>
    <row r="480" spans="1:22" ht="19" x14ac:dyDescent="0.25">
      <c r="A480" t="s">
        <v>62</v>
      </c>
      <c r="B480" t="s">
        <v>1291</v>
      </c>
      <c r="C480" t="s">
        <v>1316</v>
      </c>
      <c r="D480" t="s">
        <v>23</v>
      </c>
      <c r="E480" t="s">
        <v>24</v>
      </c>
      <c r="F480" t="s">
        <v>25</v>
      </c>
      <c r="G480" t="s">
        <v>26</v>
      </c>
      <c r="H480" s="172" t="str">
        <f t="shared" si="14"/>
        <v>Jul</v>
      </c>
      <c r="I480">
        <v>8905202264910</v>
      </c>
      <c r="J480" t="s">
        <v>85</v>
      </c>
      <c r="K480" t="s">
        <v>86</v>
      </c>
      <c r="L480" t="s">
        <v>87</v>
      </c>
      <c r="M480" t="s">
        <v>38</v>
      </c>
      <c r="N480">
        <v>2995</v>
      </c>
      <c r="O480">
        <v>2995</v>
      </c>
      <c r="P480">
        <v>1</v>
      </c>
      <c r="Q480">
        <v>2995</v>
      </c>
      <c r="R480">
        <v>1198</v>
      </c>
      <c r="S480">
        <v>0</v>
      </c>
      <c r="T480">
        <v>1797</v>
      </c>
      <c r="U480" t="s">
        <v>50</v>
      </c>
      <c r="V480" t="str">
        <v xml:space="preserve">Stamp Tshirt in Blue </v>
      </c>
    </row>
    <row r="481" spans="1:22" ht="19" x14ac:dyDescent="0.25">
      <c r="A481" t="s">
        <v>62</v>
      </c>
      <c r="B481" t="s">
        <v>1291</v>
      </c>
      <c r="C481" t="s">
        <v>1316</v>
      </c>
      <c r="D481" t="s">
        <v>23</v>
      </c>
      <c r="E481" t="s">
        <v>24</v>
      </c>
      <c r="F481" t="s">
        <v>25</v>
      </c>
      <c r="G481" t="s">
        <v>26</v>
      </c>
      <c r="H481" s="172" t="str">
        <f t="shared" si="14"/>
        <v>Jul</v>
      </c>
      <c r="I481">
        <v>8905302263434</v>
      </c>
      <c r="J481" t="s">
        <v>1317</v>
      </c>
      <c r="K481" t="s">
        <v>1318</v>
      </c>
      <c r="L481" t="s">
        <v>1319</v>
      </c>
      <c r="M481" t="s">
        <v>38</v>
      </c>
      <c r="N481">
        <v>3999</v>
      </c>
      <c r="O481">
        <v>3999</v>
      </c>
      <c r="P481">
        <v>1</v>
      </c>
      <c r="Q481">
        <v>3999</v>
      </c>
      <c r="R481">
        <v>1599.6</v>
      </c>
      <c r="S481">
        <v>0</v>
      </c>
      <c r="T481">
        <v>2399.4</v>
      </c>
      <c r="U481" t="s">
        <v>50</v>
      </c>
      <c r="V481" t="str">
        <v>Butterfly Grey</v>
      </c>
    </row>
    <row r="482" spans="1:22" ht="19" x14ac:dyDescent="0.25">
      <c r="A482" t="s">
        <v>62</v>
      </c>
      <c r="B482" t="s">
        <v>1291</v>
      </c>
      <c r="C482" t="s">
        <v>1320</v>
      </c>
      <c r="D482" t="s">
        <v>23</v>
      </c>
      <c r="E482" t="s">
        <v>24</v>
      </c>
      <c r="F482" t="s">
        <v>25</v>
      </c>
      <c r="G482" t="s">
        <v>26</v>
      </c>
      <c r="H482" s="172" t="str">
        <f t="shared" si="14"/>
        <v>Jul</v>
      </c>
      <c r="I482">
        <v>8905202264637</v>
      </c>
      <c r="J482" t="s">
        <v>572</v>
      </c>
      <c r="K482">
        <v>8905202264637</v>
      </c>
      <c r="L482" t="s">
        <v>149</v>
      </c>
      <c r="M482" t="s">
        <v>38</v>
      </c>
      <c r="N482">
        <v>3495</v>
      </c>
      <c r="O482">
        <v>3495</v>
      </c>
      <c r="P482">
        <v>1</v>
      </c>
      <c r="Q482">
        <v>3495</v>
      </c>
      <c r="R482">
        <v>1398</v>
      </c>
      <c r="S482">
        <v>0</v>
      </c>
      <c r="T482">
        <v>2097</v>
      </c>
      <c r="U482" t="s">
        <v>45</v>
      </c>
      <c r="V482" t="str">
        <v xml:space="preserve">Mumbai  Terry Drop Shoulder T-Shirt in Black </v>
      </c>
    </row>
    <row r="483" spans="1:22" ht="19" x14ac:dyDescent="0.25">
      <c r="A483" t="s">
        <v>62</v>
      </c>
      <c r="B483" t="s">
        <v>1291</v>
      </c>
      <c r="C483" t="s">
        <v>1320</v>
      </c>
      <c r="D483" t="s">
        <v>23</v>
      </c>
      <c r="E483" t="s">
        <v>24</v>
      </c>
      <c r="F483" t="s">
        <v>25</v>
      </c>
      <c r="G483" t="s">
        <v>26</v>
      </c>
      <c r="H483" s="172" t="str">
        <f t="shared" si="14"/>
        <v>Jul</v>
      </c>
      <c r="I483">
        <v>8905202264866</v>
      </c>
      <c r="J483" t="s">
        <v>147</v>
      </c>
      <c r="K483" t="s">
        <v>148</v>
      </c>
      <c r="L483" t="s">
        <v>149</v>
      </c>
      <c r="M483" t="s">
        <v>38</v>
      </c>
      <c r="N483">
        <v>3995</v>
      </c>
      <c r="O483">
        <v>3995</v>
      </c>
      <c r="P483">
        <v>1</v>
      </c>
      <c r="Q483">
        <v>3995</v>
      </c>
      <c r="R483">
        <v>1598</v>
      </c>
      <c r="S483">
        <v>0</v>
      </c>
      <c r="T483">
        <v>2397</v>
      </c>
      <c r="U483" t="s">
        <v>45</v>
      </c>
      <c r="V483" t="str">
        <v xml:space="preserve"> Psy Bear  Terry Drop Shoulder T-Shirt in Black </v>
      </c>
    </row>
    <row r="484" spans="1:22" ht="19" x14ac:dyDescent="0.25">
      <c r="A484" t="s">
        <v>62</v>
      </c>
      <c r="B484" t="s">
        <v>1291</v>
      </c>
      <c r="C484" t="s">
        <v>1320</v>
      </c>
      <c r="D484" t="s">
        <v>23</v>
      </c>
      <c r="E484" t="s">
        <v>24</v>
      </c>
      <c r="F484" t="s">
        <v>25</v>
      </c>
      <c r="G484" t="s">
        <v>26</v>
      </c>
      <c r="H484" s="172" t="str">
        <f t="shared" si="14"/>
        <v>Jul</v>
      </c>
      <c r="I484">
        <v>8905302263434</v>
      </c>
      <c r="J484" t="s">
        <v>1317</v>
      </c>
      <c r="K484" t="s">
        <v>1318</v>
      </c>
      <c r="L484" t="s">
        <v>1319</v>
      </c>
      <c r="M484" t="s">
        <v>38</v>
      </c>
      <c r="N484">
        <v>3999</v>
      </c>
      <c r="O484">
        <v>3999</v>
      </c>
      <c r="P484">
        <v>1</v>
      </c>
      <c r="Q484">
        <v>3999</v>
      </c>
      <c r="R484">
        <v>1599.6</v>
      </c>
      <c r="S484">
        <v>0</v>
      </c>
      <c r="T484">
        <v>2399.4</v>
      </c>
      <c r="U484" t="s">
        <v>45</v>
      </c>
      <c r="V484" t="str">
        <v>Butterfly Grey</v>
      </c>
    </row>
    <row r="485" spans="1:22" ht="19" x14ac:dyDescent="0.25">
      <c r="A485" t="s">
        <v>962</v>
      </c>
      <c r="B485" t="s">
        <v>1321</v>
      </c>
      <c r="C485" t="s">
        <v>1323</v>
      </c>
      <c r="D485" t="s">
        <v>23</v>
      </c>
      <c r="E485" t="s">
        <v>24</v>
      </c>
      <c r="F485" t="s">
        <v>25</v>
      </c>
      <c r="G485" t="s">
        <v>34</v>
      </c>
      <c r="H485" s="172" t="str">
        <f t="shared" si="14"/>
        <v>Jul</v>
      </c>
      <c r="I485">
        <v>8905302263390</v>
      </c>
      <c r="J485" t="s">
        <v>1125</v>
      </c>
      <c r="K485" t="s">
        <v>1126</v>
      </c>
      <c r="L485" t="s">
        <v>829</v>
      </c>
      <c r="M485" t="s">
        <v>61</v>
      </c>
      <c r="N485">
        <v>4999</v>
      </c>
      <c r="O485">
        <v>4999</v>
      </c>
      <c r="P485">
        <v>1</v>
      </c>
      <c r="Q485">
        <v>4999</v>
      </c>
      <c r="R485">
        <v>999.8</v>
      </c>
      <c r="S485">
        <v>0</v>
      </c>
      <c r="T485">
        <v>3999.2</v>
      </c>
      <c r="U485" t="s">
        <v>55</v>
      </c>
      <c r="V485" t="str">
        <v>Victory Stripe Blue</v>
      </c>
    </row>
    <row r="486" spans="1:22" ht="19" x14ac:dyDescent="0.25">
      <c r="A486" t="s">
        <v>62</v>
      </c>
      <c r="B486" t="s">
        <v>1321</v>
      </c>
      <c r="C486" t="s">
        <v>1324</v>
      </c>
      <c r="D486" t="s">
        <v>23</v>
      </c>
      <c r="E486" t="s">
        <v>24</v>
      </c>
      <c r="F486" t="s">
        <v>25</v>
      </c>
      <c r="G486" t="s">
        <v>34</v>
      </c>
      <c r="H486" s="172" t="str">
        <f t="shared" si="14"/>
        <v>Jul</v>
      </c>
      <c r="I486">
        <v>8905302263252</v>
      </c>
      <c r="J486" t="s">
        <v>1102</v>
      </c>
      <c r="K486" t="s">
        <v>1103</v>
      </c>
      <c r="L486" t="s">
        <v>1104</v>
      </c>
      <c r="M486" t="s">
        <v>44</v>
      </c>
      <c r="N486">
        <v>4999</v>
      </c>
      <c r="O486">
        <v>4999</v>
      </c>
      <c r="P486">
        <v>1</v>
      </c>
      <c r="Q486">
        <v>4999</v>
      </c>
      <c r="R486">
        <v>999.8</v>
      </c>
      <c r="S486">
        <v>0</v>
      </c>
      <c r="T486">
        <v>3999.2</v>
      </c>
      <c r="U486" t="s">
        <v>55</v>
      </c>
      <c r="V486" t="str">
        <v>School Micro checks  Black</v>
      </c>
    </row>
    <row r="487" spans="1:22" ht="19" x14ac:dyDescent="0.25">
      <c r="A487" t="s">
        <v>62</v>
      </c>
      <c r="B487" t="s">
        <v>1322</v>
      </c>
      <c r="C487" t="s">
        <v>1325</v>
      </c>
      <c r="D487" t="s">
        <v>23</v>
      </c>
      <c r="E487" t="s">
        <v>24</v>
      </c>
      <c r="F487" t="s">
        <v>64</v>
      </c>
      <c r="G487" t="s">
        <v>65</v>
      </c>
      <c r="H487" s="172" t="str">
        <f t="shared" si="14"/>
        <v>Jul</v>
      </c>
      <c r="I487">
        <v>8905302263339</v>
      </c>
      <c r="J487" t="s">
        <v>1110</v>
      </c>
      <c r="K487" t="s">
        <v>1111</v>
      </c>
      <c r="L487" t="s">
        <v>1112</v>
      </c>
      <c r="M487" t="s">
        <v>44</v>
      </c>
      <c r="N487">
        <v>7999</v>
      </c>
      <c r="O487">
        <v>7999</v>
      </c>
      <c r="P487">
        <v>1</v>
      </c>
      <c r="Q487">
        <v>7999</v>
      </c>
      <c r="R487">
        <v>2399.6999999999998</v>
      </c>
      <c r="S487">
        <v>0</v>
      </c>
      <c r="T487">
        <v>5599.3</v>
      </c>
      <c r="U487" t="s">
        <v>50</v>
      </c>
      <c r="V487" t="str">
        <v>Duo Pocket Vintage</v>
      </c>
    </row>
    <row r="488" spans="1:22" ht="19" x14ac:dyDescent="0.25">
      <c r="A488" t="s">
        <v>62</v>
      </c>
      <c r="B488" t="s">
        <v>1322</v>
      </c>
      <c r="C488" t="s">
        <v>1325</v>
      </c>
      <c r="D488" t="s">
        <v>23</v>
      </c>
      <c r="E488" t="s">
        <v>24</v>
      </c>
      <c r="F488" t="s">
        <v>64</v>
      </c>
      <c r="G488" t="s">
        <v>65</v>
      </c>
      <c r="H488" s="172" t="str">
        <f t="shared" si="14"/>
        <v>Jul</v>
      </c>
      <c r="I488">
        <v>8905302263359</v>
      </c>
      <c r="J488" t="s">
        <v>1247</v>
      </c>
      <c r="K488" t="s">
        <v>1248</v>
      </c>
      <c r="L488" t="s">
        <v>1017</v>
      </c>
      <c r="M488" t="s">
        <v>44</v>
      </c>
      <c r="N488">
        <v>7999</v>
      </c>
      <c r="O488">
        <v>7999</v>
      </c>
      <c r="P488">
        <v>1</v>
      </c>
      <c r="Q488">
        <v>7999</v>
      </c>
      <c r="R488">
        <v>2399.6999999999998</v>
      </c>
      <c r="S488">
        <v>0</v>
      </c>
      <c r="T488">
        <v>5599.3</v>
      </c>
      <c r="U488" t="s">
        <v>50</v>
      </c>
      <c r="V488" t="str">
        <v>Blue Paint Splash</v>
      </c>
    </row>
    <row r="489" spans="1:22" ht="19" x14ac:dyDescent="0.25">
      <c r="A489" t="s">
        <v>62</v>
      </c>
      <c r="B489" t="s">
        <v>1322</v>
      </c>
      <c r="C489" t="s">
        <v>1326</v>
      </c>
      <c r="D489" t="s">
        <v>23</v>
      </c>
      <c r="E489" t="s">
        <v>24</v>
      </c>
      <c r="F489" t="s">
        <v>25</v>
      </c>
      <c r="G489" t="s">
        <v>26</v>
      </c>
      <c r="H489" s="172" t="str">
        <f t="shared" si="14"/>
        <v>Jul</v>
      </c>
      <c r="I489">
        <v>8905302263432</v>
      </c>
      <c r="J489" t="s">
        <v>1327</v>
      </c>
      <c r="K489" t="s">
        <v>1328</v>
      </c>
      <c r="L489" t="s">
        <v>1329</v>
      </c>
      <c r="M489" t="s">
        <v>61</v>
      </c>
      <c r="N489">
        <v>3999</v>
      </c>
      <c r="O489">
        <v>3999</v>
      </c>
      <c r="P489">
        <v>1</v>
      </c>
      <c r="Q489">
        <v>3999</v>
      </c>
      <c r="R489">
        <v>1599.6</v>
      </c>
      <c r="S489">
        <v>0</v>
      </c>
      <c r="T489">
        <v>2399.4</v>
      </c>
      <c r="U489" t="s">
        <v>45</v>
      </c>
      <c r="V489" t="str">
        <v>Butterfly Grey</v>
      </c>
    </row>
    <row r="490" spans="1:22" ht="19" x14ac:dyDescent="0.25">
      <c r="A490" t="s">
        <v>62</v>
      </c>
      <c r="B490" t="s">
        <v>1322</v>
      </c>
      <c r="C490" t="s">
        <v>1330</v>
      </c>
      <c r="D490" t="s">
        <v>23</v>
      </c>
      <c r="E490" t="s">
        <v>24</v>
      </c>
      <c r="F490" t="s">
        <v>25</v>
      </c>
      <c r="G490" t="s">
        <v>26</v>
      </c>
      <c r="H490" s="172" t="str">
        <f t="shared" si="14"/>
        <v>Jul</v>
      </c>
      <c r="I490">
        <v>8905202269465</v>
      </c>
      <c r="J490" t="s">
        <v>683</v>
      </c>
      <c r="K490" t="s">
        <v>684</v>
      </c>
      <c r="L490" t="s">
        <v>685</v>
      </c>
      <c r="M490" t="s">
        <v>84</v>
      </c>
      <c r="N490">
        <v>3995</v>
      </c>
      <c r="O490">
        <v>3995</v>
      </c>
      <c r="P490">
        <v>1</v>
      </c>
      <c r="Q490">
        <v>3995</v>
      </c>
      <c r="R490">
        <v>1598</v>
      </c>
      <c r="S490">
        <v>0</v>
      </c>
      <c r="T490">
        <v>2397</v>
      </c>
      <c r="U490" t="s">
        <v>1331</v>
      </c>
      <c r="V490" t="str">
        <v>Surfer print  drop shoulder crew neck oversized t-shirt.</v>
      </c>
    </row>
    <row r="491" spans="1:22" ht="19" x14ac:dyDescent="0.25">
      <c r="A491" t="s">
        <v>962</v>
      </c>
      <c r="B491" t="s">
        <v>1332</v>
      </c>
      <c r="C491" t="s">
        <v>135</v>
      </c>
      <c r="D491" t="s">
        <v>23</v>
      </c>
      <c r="E491" t="s">
        <v>24</v>
      </c>
      <c r="F491" t="s">
        <v>25</v>
      </c>
      <c r="G491" t="s">
        <v>26</v>
      </c>
      <c r="H491" s="172" t="str">
        <f t="shared" si="14"/>
        <v>Jul</v>
      </c>
      <c r="I491">
        <v>8905202264668</v>
      </c>
      <c r="J491" t="s">
        <v>787</v>
      </c>
      <c r="K491" t="s">
        <v>788</v>
      </c>
      <c r="L491" t="s">
        <v>60</v>
      </c>
      <c r="M491" t="s">
        <v>61</v>
      </c>
      <c r="N491">
        <v>2995</v>
      </c>
      <c r="O491">
        <v>2995</v>
      </c>
      <c r="P491">
        <v>1</v>
      </c>
      <c r="Q491">
        <v>2995</v>
      </c>
      <c r="R491">
        <v>1198</v>
      </c>
      <c r="S491">
        <v>0</v>
      </c>
      <c r="T491">
        <v>1797</v>
      </c>
      <c r="U491" t="s">
        <v>284</v>
      </c>
      <c r="V491" t="str">
        <v xml:space="preserve">David full print Drop Shoulder Crew Neck T-Shirt                                                 </v>
      </c>
    </row>
    <row r="492" spans="1:22" ht="19" x14ac:dyDescent="0.25">
      <c r="A492" t="s">
        <v>20</v>
      </c>
      <c r="B492" t="s">
        <v>1332</v>
      </c>
      <c r="C492" t="s">
        <v>1333</v>
      </c>
      <c r="D492" t="s">
        <v>23</v>
      </c>
      <c r="E492" t="s">
        <v>136</v>
      </c>
      <c r="F492" t="s">
        <v>25</v>
      </c>
      <c r="G492" t="s">
        <v>26</v>
      </c>
      <c r="H492" s="172" t="str">
        <f t="shared" si="14"/>
        <v>Jul</v>
      </c>
      <c r="I492">
        <v>8905202268918</v>
      </c>
      <c r="J492" t="s">
        <v>287</v>
      </c>
      <c r="K492">
        <v>8905202268918</v>
      </c>
      <c r="L492" t="s">
        <v>288</v>
      </c>
      <c r="M492" t="s">
        <v>44</v>
      </c>
      <c r="N492">
        <v>1995</v>
      </c>
      <c r="O492">
        <v>1995</v>
      </c>
      <c r="P492">
        <v>1</v>
      </c>
      <c r="Q492">
        <v>1995</v>
      </c>
      <c r="R492">
        <v>798</v>
      </c>
      <c r="S492">
        <v>0</v>
      </c>
      <c r="T492">
        <v>1197</v>
      </c>
      <c r="U492" t="s">
        <v>50</v>
      </c>
      <c r="V492" t="str">
        <v>Cosmic Intruder Crop - Black</v>
      </c>
    </row>
    <row r="493" spans="1:22" ht="19" x14ac:dyDescent="0.25">
      <c r="A493" t="s">
        <v>62</v>
      </c>
      <c r="B493" t="s">
        <v>1332</v>
      </c>
      <c r="C493" t="s">
        <v>1334</v>
      </c>
      <c r="D493" t="s">
        <v>23</v>
      </c>
      <c r="E493" t="s">
        <v>24</v>
      </c>
      <c r="F493" t="s">
        <v>25</v>
      </c>
      <c r="G493" t="s">
        <v>34</v>
      </c>
      <c r="H493" s="172" t="str">
        <f t="shared" si="14"/>
        <v>Jul</v>
      </c>
      <c r="I493">
        <v>8905302263237</v>
      </c>
      <c r="J493" t="s">
        <v>606</v>
      </c>
      <c r="K493" t="s">
        <v>607</v>
      </c>
      <c r="L493" t="s">
        <v>608</v>
      </c>
      <c r="M493" t="s">
        <v>61</v>
      </c>
      <c r="N493">
        <v>5999</v>
      </c>
      <c r="O493">
        <v>5999</v>
      </c>
      <c r="P493">
        <v>1</v>
      </c>
      <c r="Q493">
        <v>5999</v>
      </c>
      <c r="R493">
        <v>1199.8</v>
      </c>
      <c r="S493">
        <v>201.37</v>
      </c>
      <c r="T493">
        <v>4597.83</v>
      </c>
      <c r="U493" t="s">
        <v>45</v>
      </c>
      <c r="V493" t="str">
        <v>Grunge Denim Charcoal</v>
      </c>
    </row>
    <row r="494" spans="1:22" ht="19" x14ac:dyDescent="0.25">
      <c r="A494" t="s">
        <v>62</v>
      </c>
      <c r="B494" t="s">
        <v>1332</v>
      </c>
      <c r="C494" t="s">
        <v>1335</v>
      </c>
      <c r="D494" t="s">
        <v>23</v>
      </c>
      <c r="E494" t="s">
        <v>24</v>
      </c>
      <c r="F494" t="s">
        <v>25</v>
      </c>
      <c r="G494" t="s">
        <v>26</v>
      </c>
      <c r="H494" s="172" t="str">
        <f t="shared" si="14"/>
        <v>Jul</v>
      </c>
      <c r="I494">
        <v>8905202264729</v>
      </c>
      <c r="J494" t="s">
        <v>28</v>
      </c>
      <c r="K494">
        <v>8905202264729</v>
      </c>
      <c r="L494" t="s">
        <v>29</v>
      </c>
      <c r="M494" t="s">
        <v>30</v>
      </c>
      <c r="N494">
        <v>2995</v>
      </c>
      <c r="O494">
        <v>2995</v>
      </c>
      <c r="P494">
        <v>1</v>
      </c>
      <c r="Q494">
        <v>2995</v>
      </c>
      <c r="R494">
        <v>1198</v>
      </c>
      <c r="S494">
        <v>0</v>
      </c>
      <c r="T494">
        <v>1797</v>
      </c>
      <c r="U494" t="s">
        <v>50</v>
      </c>
      <c r="V494" t="str">
        <v xml:space="preserve">X Graphic Terry Free Size Tee in Black </v>
      </c>
    </row>
    <row r="495" spans="1:22" ht="19" x14ac:dyDescent="0.25">
      <c r="A495" t="s">
        <v>62</v>
      </c>
      <c r="B495" t="s">
        <v>1332</v>
      </c>
      <c r="C495" t="s">
        <v>1335</v>
      </c>
      <c r="D495" t="s">
        <v>23</v>
      </c>
      <c r="E495" t="s">
        <v>24</v>
      </c>
      <c r="F495" t="s">
        <v>25</v>
      </c>
      <c r="G495" t="s">
        <v>26</v>
      </c>
      <c r="H495" s="172" t="str">
        <f t="shared" si="14"/>
        <v>Jul</v>
      </c>
      <c r="I495">
        <v>8905202269465</v>
      </c>
      <c r="J495" t="s">
        <v>683</v>
      </c>
      <c r="K495" t="s">
        <v>684</v>
      </c>
      <c r="L495" t="s">
        <v>685</v>
      </c>
      <c r="M495" t="s">
        <v>84</v>
      </c>
      <c r="N495">
        <v>3995</v>
      </c>
      <c r="O495">
        <v>3995</v>
      </c>
      <c r="P495">
        <v>1</v>
      </c>
      <c r="Q495">
        <v>3995</v>
      </c>
      <c r="R495">
        <v>1598</v>
      </c>
      <c r="S495">
        <v>0</v>
      </c>
      <c r="T495">
        <v>2397</v>
      </c>
      <c r="U495" t="s">
        <v>50</v>
      </c>
      <c r="V495" t="str">
        <v>Surfer print  drop shoulder crew neck oversized t-shirt.</v>
      </c>
    </row>
    <row r="496" spans="1:22" ht="19" x14ac:dyDescent="0.25">
      <c r="A496" t="s">
        <v>62</v>
      </c>
      <c r="B496" t="s">
        <v>1332</v>
      </c>
      <c r="C496" t="s">
        <v>1336</v>
      </c>
      <c r="D496" t="s">
        <v>23</v>
      </c>
      <c r="E496" t="s">
        <v>24</v>
      </c>
      <c r="F496" t="s">
        <v>64</v>
      </c>
      <c r="G496" t="s">
        <v>294</v>
      </c>
      <c r="H496" s="172" t="str">
        <f t="shared" si="14"/>
        <v>Jul</v>
      </c>
      <c r="I496">
        <v>8905302263223</v>
      </c>
      <c r="J496" t="s">
        <v>1020</v>
      </c>
      <c r="K496" t="s">
        <v>1021</v>
      </c>
      <c r="L496" t="s">
        <v>1022</v>
      </c>
      <c r="M496" t="s">
        <v>84</v>
      </c>
      <c r="N496">
        <v>4999</v>
      </c>
      <c r="O496">
        <v>4999</v>
      </c>
      <c r="P496">
        <v>1</v>
      </c>
      <c r="Q496">
        <v>4999</v>
      </c>
      <c r="R496">
        <v>1999.6</v>
      </c>
      <c r="S496">
        <v>0</v>
      </c>
      <c r="T496">
        <v>2999.4</v>
      </c>
      <c r="U496" t="s">
        <v>50</v>
      </c>
      <c r="V496" t="str">
        <v>Denim Shorts Blue</v>
      </c>
    </row>
    <row r="497" spans="1:22" ht="19" x14ac:dyDescent="0.25">
      <c r="A497" t="s">
        <v>575</v>
      </c>
      <c r="B497" t="s">
        <v>1332</v>
      </c>
      <c r="C497" t="s">
        <v>937</v>
      </c>
      <c r="D497" t="s">
        <v>23</v>
      </c>
      <c r="E497" t="s">
        <v>24</v>
      </c>
      <c r="F497" t="s">
        <v>64</v>
      </c>
      <c r="G497" t="s">
        <v>65</v>
      </c>
      <c r="H497" s="172" t="str">
        <f t="shared" si="14"/>
        <v>Jul</v>
      </c>
      <c r="I497">
        <v>8905302263364</v>
      </c>
      <c r="J497" t="s">
        <v>900</v>
      </c>
      <c r="K497" t="s">
        <v>901</v>
      </c>
      <c r="L497" t="s">
        <v>694</v>
      </c>
      <c r="M497" t="s">
        <v>38</v>
      </c>
      <c r="N497">
        <v>7999</v>
      </c>
      <c r="O497">
        <v>7999</v>
      </c>
      <c r="P497">
        <v>1</v>
      </c>
      <c r="Q497">
        <v>7999</v>
      </c>
      <c r="R497">
        <v>2399.6999999999998</v>
      </c>
      <c r="S497">
        <v>0</v>
      </c>
      <c r="T497">
        <v>5599.3</v>
      </c>
      <c r="U497" t="s">
        <v>449</v>
      </c>
      <c r="V497" t="str">
        <v>Black Paint Splash</v>
      </c>
    </row>
    <row r="498" spans="1:22" ht="19" x14ac:dyDescent="0.25">
      <c r="A498" t="s">
        <v>575</v>
      </c>
      <c r="B498" t="s">
        <v>1332</v>
      </c>
      <c r="C498" t="s">
        <v>937</v>
      </c>
      <c r="D498" t="s">
        <v>23</v>
      </c>
      <c r="E498" t="s">
        <v>24</v>
      </c>
      <c r="F498" t="s">
        <v>25</v>
      </c>
      <c r="G498" t="s">
        <v>34</v>
      </c>
      <c r="H498" s="172" t="str">
        <f t="shared" si="14"/>
        <v>Jul</v>
      </c>
      <c r="I498">
        <v>8905302263238</v>
      </c>
      <c r="J498" t="s">
        <v>639</v>
      </c>
      <c r="K498" t="s">
        <v>640</v>
      </c>
      <c r="L498" t="s">
        <v>641</v>
      </c>
      <c r="M498" t="s">
        <v>44</v>
      </c>
      <c r="N498">
        <v>5999</v>
      </c>
      <c r="O498">
        <v>5999</v>
      </c>
      <c r="P498">
        <v>1</v>
      </c>
      <c r="Q498">
        <v>5999</v>
      </c>
      <c r="R498">
        <v>1199.8</v>
      </c>
      <c r="S498">
        <v>0</v>
      </c>
      <c r="T498">
        <v>4799.2</v>
      </c>
      <c r="U498" t="s">
        <v>449</v>
      </c>
      <c r="V498" t="str">
        <v>Grunge Denim Charcoal</v>
      </c>
    </row>
    <row r="499" spans="1:22" ht="19" x14ac:dyDescent="0.25">
      <c r="A499" t="s">
        <v>575</v>
      </c>
      <c r="B499" t="s">
        <v>1332</v>
      </c>
      <c r="C499" t="s">
        <v>1337</v>
      </c>
      <c r="D499" t="s">
        <v>23</v>
      </c>
      <c r="E499" t="s">
        <v>24</v>
      </c>
      <c r="F499" t="s">
        <v>25</v>
      </c>
      <c r="G499" t="s">
        <v>26</v>
      </c>
      <c r="H499" s="172" t="str">
        <f t="shared" si="14"/>
        <v>Jul</v>
      </c>
      <c r="I499">
        <v>8905202264712</v>
      </c>
      <c r="J499" t="s">
        <v>670</v>
      </c>
      <c r="K499" t="s">
        <v>671</v>
      </c>
      <c r="L499" t="s">
        <v>29</v>
      </c>
      <c r="M499" t="s">
        <v>30</v>
      </c>
      <c r="N499">
        <v>3495</v>
      </c>
      <c r="O499">
        <v>3495</v>
      </c>
      <c r="P499">
        <v>1</v>
      </c>
      <c r="Q499">
        <v>3495</v>
      </c>
      <c r="R499">
        <v>1398</v>
      </c>
      <c r="S499">
        <v>0</v>
      </c>
      <c r="T499">
        <v>2097</v>
      </c>
      <c r="U499" t="s">
        <v>45</v>
      </c>
      <c r="V499" t="str">
        <v>Grumpy Face Embroidered Terry Free Size Tee in Black</v>
      </c>
    </row>
    <row r="500" spans="1:22" ht="19" x14ac:dyDescent="0.25">
      <c r="A500" t="s">
        <v>62</v>
      </c>
      <c r="B500" t="s">
        <v>1338</v>
      </c>
      <c r="C500" t="s">
        <v>1339</v>
      </c>
      <c r="D500" t="s">
        <v>23</v>
      </c>
      <c r="E500" t="s">
        <v>24</v>
      </c>
      <c r="F500" t="s">
        <v>25</v>
      </c>
      <c r="G500" t="s">
        <v>34</v>
      </c>
      <c r="H500" s="172" t="str">
        <f t="shared" si="14"/>
        <v>Jul</v>
      </c>
      <c r="I500">
        <v>8905302263292</v>
      </c>
      <c r="J500" t="s">
        <v>1340</v>
      </c>
      <c r="K500" t="s">
        <v>1341</v>
      </c>
      <c r="L500" t="s">
        <v>881</v>
      </c>
      <c r="M500" t="s">
        <v>44</v>
      </c>
      <c r="N500">
        <v>6999</v>
      </c>
      <c r="O500">
        <v>6999</v>
      </c>
      <c r="P500">
        <v>1</v>
      </c>
      <c r="Q500">
        <v>6999</v>
      </c>
      <c r="R500">
        <v>1399.8</v>
      </c>
      <c r="S500">
        <v>0</v>
      </c>
      <c r="T500">
        <v>5599.2</v>
      </c>
      <c r="U500" t="s">
        <v>45</v>
      </c>
      <c r="V500" t="str">
        <v>Linen Navy</v>
      </c>
    </row>
    <row r="501" spans="1:22" ht="19" x14ac:dyDescent="0.25">
      <c r="A501" t="s">
        <v>62</v>
      </c>
      <c r="B501" t="s">
        <v>1338</v>
      </c>
      <c r="D501" t="s">
        <v>23</v>
      </c>
      <c r="E501" t="s">
        <v>24</v>
      </c>
      <c r="F501" t="s">
        <v>25</v>
      </c>
      <c r="G501" t="s">
        <v>26</v>
      </c>
      <c r="H501" s="172" t="str">
        <f t="shared" si="14"/>
        <v>Jul</v>
      </c>
      <c r="I501">
        <v>8905202264842</v>
      </c>
      <c r="J501" t="s">
        <v>58</v>
      </c>
      <c r="K501" t="s">
        <v>59</v>
      </c>
      <c r="L501" t="s">
        <v>60</v>
      </c>
      <c r="M501" t="s">
        <v>61</v>
      </c>
      <c r="N501">
        <v>3995</v>
      </c>
      <c r="O501">
        <v>3995</v>
      </c>
      <c r="P501">
        <v>1</v>
      </c>
      <c r="Q501">
        <v>3995</v>
      </c>
      <c r="R501">
        <v>1598</v>
      </c>
      <c r="S501">
        <v>0</v>
      </c>
      <c r="T501">
        <v>2397</v>
      </c>
      <c r="U501" t="s">
        <v>45</v>
      </c>
      <c r="V501" t="str">
        <v xml:space="preserve"> Psy Bear  Terry Drop Shoulder T-Shirt in Black </v>
      </c>
    </row>
    <row r="502" spans="1:22" ht="19" x14ac:dyDescent="0.25">
      <c r="A502" t="s">
        <v>62</v>
      </c>
      <c r="B502" t="s">
        <v>1338</v>
      </c>
      <c r="D502" t="s">
        <v>23</v>
      </c>
      <c r="E502" t="s">
        <v>24</v>
      </c>
      <c r="F502" t="s">
        <v>25</v>
      </c>
      <c r="G502" t="s">
        <v>26</v>
      </c>
      <c r="H502" s="172" t="str">
        <f t="shared" si="14"/>
        <v>Jul</v>
      </c>
      <c r="I502">
        <v>8905202264941</v>
      </c>
      <c r="J502" t="s">
        <v>973</v>
      </c>
      <c r="K502">
        <v>8905202264941</v>
      </c>
      <c r="L502" t="s">
        <v>191</v>
      </c>
      <c r="M502" t="s">
        <v>61</v>
      </c>
      <c r="N502">
        <v>2495</v>
      </c>
      <c r="O502">
        <v>2495</v>
      </c>
      <c r="P502">
        <v>1</v>
      </c>
      <c r="Q502">
        <v>2495</v>
      </c>
      <c r="R502">
        <v>998</v>
      </c>
      <c r="S502">
        <v>0</v>
      </c>
      <c r="T502">
        <v>1497</v>
      </c>
      <c r="U502" t="s">
        <v>45</v>
      </c>
      <c r="V502" t="str">
        <v>Be Crazy not Clown Tshirt</v>
      </c>
    </row>
    <row r="503" spans="1:22" ht="19" x14ac:dyDescent="0.25">
      <c r="A503" t="s">
        <v>62</v>
      </c>
      <c r="B503" t="s">
        <v>1338</v>
      </c>
      <c r="D503" t="s">
        <v>23</v>
      </c>
      <c r="E503" t="s">
        <v>24</v>
      </c>
      <c r="F503" t="s">
        <v>25</v>
      </c>
      <c r="G503" t="s">
        <v>26</v>
      </c>
      <c r="H503" s="172" t="str">
        <f t="shared" si="14"/>
        <v>Jul</v>
      </c>
      <c r="I503">
        <v>8905202269434</v>
      </c>
      <c r="J503" t="s">
        <v>155</v>
      </c>
      <c r="K503" t="s">
        <v>156</v>
      </c>
      <c r="L503" t="s">
        <v>157</v>
      </c>
      <c r="M503" t="s">
        <v>61</v>
      </c>
      <c r="N503">
        <v>3995</v>
      </c>
      <c r="O503">
        <v>3995</v>
      </c>
      <c r="P503">
        <v>1</v>
      </c>
      <c r="Q503">
        <v>3995</v>
      </c>
      <c r="R503">
        <v>1598</v>
      </c>
      <c r="S503">
        <v>0</v>
      </c>
      <c r="T503">
        <v>2397</v>
      </c>
      <c r="U503" t="s">
        <v>45</v>
      </c>
      <c r="V503" t="str">
        <v>Surfer print  drop shoulder crew neck oversized t-shirt.</v>
      </c>
    </row>
    <row r="504" spans="1:22" ht="19" x14ac:dyDescent="0.25">
      <c r="A504" t="s">
        <v>575</v>
      </c>
      <c r="B504" t="s">
        <v>1338</v>
      </c>
      <c r="C504" t="s">
        <v>1342</v>
      </c>
      <c r="D504" t="s">
        <v>23</v>
      </c>
      <c r="E504" t="s">
        <v>24</v>
      </c>
      <c r="F504" t="s">
        <v>64</v>
      </c>
      <c r="G504" t="s">
        <v>65</v>
      </c>
      <c r="H504" s="172" t="str">
        <f t="shared" si="14"/>
        <v>Jul</v>
      </c>
      <c r="I504">
        <v>8905302263192</v>
      </c>
      <c r="J504" t="s">
        <v>465</v>
      </c>
      <c r="K504" t="s">
        <v>464</v>
      </c>
      <c r="L504" t="s">
        <v>463</v>
      </c>
      <c r="M504" t="s">
        <v>38</v>
      </c>
      <c r="N504">
        <v>7999</v>
      </c>
      <c r="O504">
        <v>7999</v>
      </c>
      <c r="P504">
        <v>1</v>
      </c>
      <c r="Q504">
        <v>7999</v>
      </c>
      <c r="R504">
        <v>2399.6999999999998</v>
      </c>
      <c r="S504">
        <v>0</v>
      </c>
      <c r="T504">
        <v>5599.3</v>
      </c>
      <c r="U504" t="s">
        <v>31</v>
      </c>
      <c r="V504" t="str">
        <v>Duo Pocket Vintage</v>
      </c>
    </row>
    <row r="505" spans="1:22" ht="19" x14ac:dyDescent="0.25">
      <c r="A505" t="s">
        <v>575</v>
      </c>
      <c r="B505" t="s">
        <v>1338</v>
      </c>
      <c r="C505" t="s">
        <v>1342</v>
      </c>
      <c r="D505" t="s">
        <v>23</v>
      </c>
      <c r="E505" t="s">
        <v>24</v>
      </c>
      <c r="F505" t="s">
        <v>64</v>
      </c>
      <c r="G505" t="s">
        <v>65</v>
      </c>
      <c r="H505" s="172" t="str">
        <f t="shared" si="14"/>
        <v>Jul</v>
      </c>
      <c r="I505">
        <v>8905302263206</v>
      </c>
      <c r="J505" t="s">
        <v>587</v>
      </c>
      <c r="K505" t="s">
        <v>588</v>
      </c>
      <c r="L505" t="s">
        <v>589</v>
      </c>
      <c r="M505" t="s">
        <v>84</v>
      </c>
      <c r="N505">
        <v>6999</v>
      </c>
      <c r="O505">
        <v>6999</v>
      </c>
      <c r="P505">
        <v>1</v>
      </c>
      <c r="Q505">
        <v>6999</v>
      </c>
      <c r="R505">
        <v>2099.6999999999998</v>
      </c>
      <c r="S505">
        <v>0</v>
      </c>
      <c r="T505">
        <v>4899.3</v>
      </c>
      <c r="U505" t="s">
        <v>31</v>
      </c>
      <c r="V505" t="str">
        <v>Open Bottom Black</v>
      </c>
    </row>
    <row r="506" spans="1:22" ht="19" x14ac:dyDescent="0.25">
      <c r="A506" t="s">
        <v>575</v>
      </c>
      <c r="B506" t="s">
        <v>1338</v>
      </c>
      <c r="C506" t="s">
        <v>1342</v>
      </c>
      <c r="D506" t="s">
        <v>23</v>
      </c>
      <c r="E506" t="s">
        <v>136</v>
      </c>
      <c r="F506" t="s">
        <v>25</v>
      </c>
      <c r="G506" t="s">
        <v>26</v>
      </c>
      <c r="H506" s="172" t="str">
        <f t="shared" si="14"/>
        <v>Jul</v>
      </c>
      <c r="I506">
        <v>8905302263196</v>
      </c>
      <c r="J506" t="s">
        <v>1343</v>
      </c>
      <c r="K506">
        <v>8905302263196</v>
      </c>
      <c r="L506" t="s">
        <v>1344</v>
      </c>
      <c r="M506" t="s">
        <v>38</v>
      </c>
      <c r="N506">
        <v>2495</v>
      </c>
      <c r="O506">
        <v>2495</v>
      </c>
      <c r="P506">
        <v>1</v>
      </c>
      <c r="Q506">
        <v>2495</v>
      </c>
      <c r="R506">
        <v>748.5</v>
      </c>
      <c r="S506">
        <v>0</v>
      </c>
      <c r="T506">
        <v>1746.5</v>
      </c>
      <c r="U506" t="s">
        <v>31</v>
      </c>
      <c r="V506" t="str">
        <v>Reverse Blue</v>
      </c>
    </row>
    <row r="507" spans="1:22" ht="19" x14ac:dyDescent="0.25">
      <c r="A507" t="s">
        <v>20</v>
      </c>
      <c r="B507" t="s">
        <v>1345</v>
      </c>
      <c r="C507" t="s">
        <v>1346</v>
      </c>
      <c r="D507" t="s">
        <v>23</v>
      </c>
      <c r="E507" t="s">
        <v>24</v>
      </c>
      <c r="F507" t="s">
        <v>64</v>
      </c>
      <c r="G507" t="s">
        <v>65</v>
      </c>
      <c r="H507" s="172" t="str">
        <f t="shared" si="14"/>
        <v>Jul</v>
      </c>
      <c r="I507">
        <v>8905302263402</v>
      </c>
      <c r="J507" t="s">
        <v>1347</v>
      </c>
      <c r="K507" t="s">
        <v>1348</v>
      </c>
      <c r="L507" t="s">
        <v>1349</v>
      </c>
      <c r="M507" t="s">
        <v>38</v>
      </c>
      <c r="N507">
        <v>7999</v>
      </c>
      <c r="O507">
        <v>7999</v>
      </c>
      <c r="P507">
        <v>1</v>
      </c>
      <c r="Q507">
        <v>7999</v>
      </c>
      <c r="R507">
        <v>2399.6999999999998</v>
      </c>
      <c r="S507">
        <v>0</v>
      </c>
      <c r="T507">
        <v>5599.3</v>
      </c>
      <c r="U507" t="s">
        <v>50</v>
      </c>
      <c r="V507" t="str">
        <v xml:space="preserve">Reverse Classic Blue </v>
      </c>
    </row>
    <row r="508" spans="1:22" ht="19" x14ac:dyDescent="0.25">
      <c r="A508" t="s">
        <v>62</v>
      </c>
      <c r="B508" t="s">
        <v>1345</v>
      </c>
      <c r="C508" t="s">
        <v>1350</v>
      </c>
      <c r="D508" t="s">
        <v>23</v>
      </c>
      <c r="E508" t="s">
        <v>24</v>
      </c>
      <c r="F508" t="s">
        <v>25</v>
      </c>
      <c r="G508" t="s">
        <v>26</v>
      </c>
      <c r="H508" s="172" t="str">
        <f t="shared" si="14"/>
        <v>Jul</v>
      </c>
      <c r="I508">
        <v>8905202264729</v>
      </c>
      <c r="J508" t="s">
        <v>28</v>
      </c>
      <c r="K508">
        <v>8905202264729</v>
      </c>
      <c r="L508" t="s">
        <v>29</v>
      </c>
      <c r="M508" t="s">
        <v>30</v>
      </c>
      <c r="N508">
        <v>2995</v>
      </c>
      <c r="O508">
        <v>2995</v>
      </c>
      <c r="P508">
        <v>1</v>
      </c>
      <c r="Q508">
        <v>2995</v>
      </c>
      <c r="R508">
        <v>1198</v>
      </c>
      <c r="S508">
        <v>0</v>
      </c>
      <c r="T508">
        <v>1797</v>
      </c>
      <c r="U508" t="s">
        <v>45</v>
      </c>
      <c r="V508" t="str">
        <v xml:space="preserve">X Graphic Terry Free Size Tee in Black </v>
      </c>
    </row>
    <row r="509" spans="1:22" ht="19" x14ac:dyDescent="0.25">
      <c r="A509" t="s">
        <v>575</v>
      </c>
      <c r="B509" t="s">
        <v>1345</v>
      </c>
      <c r="C509" t="s">
        <v>1351</v>
      </c>
      <c r="D509" t="s">
        <v>23</v>
      </c>
      <c r="E509" t="s">
        <v>24</v>
      </c>
      <c r="F509" t="s">
        <v>25</v>
      </c>
      <c r="G509" t="s">
        <v>26</v>
      </c>
      <c r="H509" s="172" t="str">
        <f t="shared" si="14"/>
        <v>Jul</v>
      </c>
      <c r="I509">
        <v>8905202269076</v>
      </c>
      <c r="J509" t="s">
        <v>142</v>
      </c>
      <c r="K509" t="s">
        <v>143</v>
      </c>
      <c r="L509" t="s">
        <v>144</v>
      </c>
      <c r="M509" t="s">
        <v>44</v>
      </c>
      <c r="N509">
        <v>3495</v>
      </c>
      <c r="O509">
        <v>3495</v>
      </c>
      <c r="P509">
        <v>1</v>
      </c>
      <c r="Q509">
        <v>3495</v>
      </c>
      <c r="R509">
        <v>1398</v>
      </c>
      <c r="S509">
        <v>0</v>
      </c>
      <c r="T509">
        <v>2097</v>
      </c>
      <c r="U509" t="s">
        <v>254</v>
      </c>
      <c r="V509" t="str">
        <v>MENS  Oversized  T-Shirt London</v>
      </c>
    </row>
    <row r="510" spans="1:22" ht="19" x14ac:dyDescent="0.25">
      <c r="A510" t="s">
        <v>20</v>
      </c>
      <c r="B510" t="s">
        <v>1368</v>
      </c>
      <c r="C510" t="s">
        <v>1369</v>
      </c>
      <c r="D510" t="s">
        <v>23</v>
      </c>
      <c r="E510" t="s">
        <v>24</v>
      </c>
      <c r="F510" t="s">
        <v>25</v>
      </c>
      <c r="G510" t="s">
        <v>26</v>
      </c>
      <c r="H510" s="172" t="str">
        <f t="shared" si="14"/>
        <v>Jul</v>
      </c>
      <c r="I510">
        <v>8905302263384</v>
      </c>
      <c r="J510" t="s">
        <v>1075</v>
      </c>
      <c r="K510" t="s">
        <v>1076</v>
      </c>
      <c r="L510" t="s">
        <v>87</v>
      </c>
      <c r="M510" t="s">
        <v>38</v>
      </c>
      <c r="N510">
        <v>3999</v>
      </c>
      <c r="O510">
        <v>3999</v>
      </c>
      <c r="P510">
        <v>1</v>
      </c>
      <c r="Q510">
        <v>3999</v>
      </c>
      <c r="R510">
        <v>1599.6</v>
      </c>
      <c r="S510">
        <v>0</v>
      </c>
      <c r="T510">
        <v>2399.4</v>
      </c>
      <c r="U510" t="s">
        <v>45</v>
      </c>
      <c r="V510" t="str">
        <v>Wild Flower</v>
      </c>
    </row>
    <row r="511" spans="1:22" ht="19" x14ac:dyDescent="0.25">
      <c r="A511" t="s">
        <v>20</v>
      </c>
      <c r="B511" t="s">
        <v>1368</v>
      </c>
      <c r="C511" t="s">
        <v>1370</v>
      </c>
      <c r="D511" t="s">
        <v>23</v>
      </c>
      <c r="E511" t="s">
        <v>24</v>
      </c>
      <c r="F511" t="s">
        <v>25</v>
      </c>
      <c r="G511" t="s">
        <v>26</v>
      </c>
      <c r="H511" s="172" t="str">
        <f t="shared" si="14"/>
        <v>Jul</v>
      </c>
      <c r="I511">
        <v>8905202264866</v>
      </c>
      <c r="J511" t="s">
        <v>147</v>
      </c>
      <c r="K511" t="s">
        <v>148</v>
      </c>
      <c r="L511" t="s">
        <v>149</v>
      </c>
      <c r="M511" t="s">
        <v>38</v>
      </c>
      <c r="N511">
        <v>3995</v>
      </c>
      <c r="O511">
        <v>3995</v>
      </c>
      <c r="P511">
        <v>1</v>
      </c>
      <c r="Q511">
        <v>3995</v>
      </c>
      <c r="R511">
        <v>1598</v>
      </c>
      <c r="S511">
        <v>0</v>
      </c>
      <c r="T511">
        <v>2397</v>
      </c>
      <c r="U511" t="s">
        <v>45</v>
      </c>
      <c r="V511" t="str">
        <v xml:space="preserve"> Psy Bear  Terry Drop Shoulder T-Shirt in Black </v>
      </c>
    </row>
    <row r="512" spans="1:22" ht="19" x14ac:dyDescent="0.25">
      <c r="A512" t="s">
        <v>20</v>
      </c>
      <c r="B512" t="s">
        <v>1368</v>
      </c>
      <c r="C512" t="s">
        <v>1371</v>
      </c>
      <c r="D512" t="s">
        <v>23</v>
      </c>
      <c r="E512" t="s">
        <v>24</v>
      </c>
      <c r="F512" t="s">
        <v>25</v>
      </c>
      <c r="G512" t="s">
        <v>26</v>
      </c>
      <c r="H512" s="172" t="str">
        <f t="shared" si="14"/>
        <v>Jul</v>
      </c>
      <c r="I512">
        <v>8905202264606</v>
      </c>
      <c r="J512" t="s">
        <v>93</v>
      </c>
      <c r="K512">
        <v>8905202264606</v>
      </c>
      <c r="L512" t="s">
        <v>94</v>
      </c>
      <c r="M512" t="s">
        <v>44</v>
      </c>
      <c r="N512">
        <v>3495</v>
      </c>
      <c r="O512">
        <v>3495</v>
      </c>
      <c r="P512">
        <v>1</v>
      </c>
      <c r="Q512">
        <v>3495</v>
      </c>
      <c r="R512">
        <v>1398</v>
      </c>
      <c r="S512">
        <v>0</v>
      </c>
      <c r="T512">
        <v>2097</v>
      </c>
      <c r="U512" t="s">
        <v>45</v>
      </c>
      <c r="V512" t="str">
        <v xml:space="preserve">Mumbai  Terry Drop Shoulder T-Shirt in Black </v>
      </c>
    </row>
    <row r="513" spans="1:22" ht="19" x14ac:dyDescent="0.25">
      <c r="A513" t="s">
        <v>20</v>
      </c>
      <c r="B513" t="s">
        <v>1368</v>
      </c>
      <c r="C513" t="s">
        <v>1372</v>
      </c>
      <c r="D513" t="s">
        <v>23</v>
      </c>
      <c r="E513" t="s">
        <v>24</v>
      </c>
      <c r="F513" t="s">
        <v>64</v>
      </c>
      <c r="G513" t="s">
        <v>294</v>
      </c>
      <c r="H513" s="172" t="str">
        <f t="shared" si="14"/>
        <v>Jul</v>
      </c>
      <c r="I513">
        <v>8905302263215</v>
      </c>
      <c r="J513" t="s">
        <v>1373</v>
      </c>
      <c r="K513" t="s">
        <v>1374</v>
      </c>
      <c r="L513" t="s">
        <v>1375</v>
      </c>
      <c r="M513" t="s">
        <v>61</v>
      </c>
      <c r="N513">
        <v>4999</v>
      </c>
      <c r="O513">
        <v>4999</v>
      </c>
      <c r="P513">
        <v>1</v>
      </c>
      <c r="Q513">
        <v>4999</v>
      </c>
      <c r="R513">
        <v>1999.6</v>
      </c>
      <c r="S513">
        <v>0</v>
      </c>
      <c r="T513">
        <v>2999.4</v>
      </c>
      <c r="U513" t="s">
        <v>50</v>
      </c>
      <c r="V513" t="str">
        <v>Denim Shorts Black</v>
      </c>
    </row>
    <row r="514" spans="1:22" ht="19" x14ac:dyDescent="0.25">
      <c r="A514" t="s">
        <v>62</v>
      </c>
      <c r="B514" t="s">
        <v>1368</v>
      </c>
      <c r="C514" t="s">
        <v>1376</v>
      </c>
      <c r="D514" t="s">
        <v>23</v>
      </c>
      <c r="E514" t="s">
        <v>24</v>
      </c>
      <c r="F514" t="s">
        <v>25</v>
      </c>
      <c r="G514" t="s">
        <v>26</v>
      </c>
      <c r="H514" s="172" t="str">
        <f t="shared" si="14"/>
        <v>Jul</v>
      </c>
      <c r="I514">
        <v>8905202269076</v>
      </c>
      <c r="J514" t="s">
        <v>142</v>
      </c>
      <c r="K514" t="s">
        <v>143</v>
      </c>
      <c r="L514" t="s">
        <v>144</v>
      </c>
      <c r="M514" t="s">
        <v>44</v>
      </c>
      <c r="N514">
        <v>3495</v>
      </c>
      <c r="O514">
        <v>3495</v>
      </c>
      <c r="P514">
        <v>1</v>
      </c>
      <c r="Q514">
        <v>3495</v>
      </c>
      <c r="R514">
        <v>1398</v>
      </c>
      <c r="S514">
        <v>0</v>
      </c>
      <c r="T514">
        <v>2097</v>
      </c>
      <c r="U514" t="s">
        <v>45</v>
      </c>
      <c r="V514" t="str">
        <v>MENS  Oversized  T-Shirt London</v>
      </c>
    </row>
    <row r="515" spans="1:22" ht="19" x14ac:dyDescent="0.25">
      <c r="A515" t="s">
        <v>62</v>
      </c>
      <c r="B515" t="s">
        <v>1368</v>
      </c>
      <c r="C515" t="s">
        <v>135</v>
      </c>
      <c r="D515" t="s">
        <v>23</v>
      </c>
      <c r="E515" t="s">
        <v>24</v>
      </c>
      <c r="F515" t="s">
        <v>25</v>
      </c>
      <c r="G515" t="s">
        <v>34</v>
      </c>
      <c r="H515" s="172" t="str">
        <f t="shared" si="14"/>
        <v>Jul</v>
      </c>
      <c r="I515">
        <v>8905302263303</v>
      </c>
      <c r="J515" t="s">
        <v>969</v>
      </c>
      <c r="K515" t="s">
        <v>970</v>
      </c>
      <c r="L515" t="s">
        <v>667</v>
      </c>
      <c r="M515" t="s">
        <v>54</v>
      </c>
      <c r="N515">
        <v>4999</v>
      </c>
      <c r="O515">
        <v>4999</v>
      </c>
      <c r="P515">
        <v>1</v>
      </c>
      <c r="Q515">
        <v>4999</v>
      </c>
      <c r="R515">
        <v>999.8</v>
      </c>
      <c r="S515">
        <v>0</v>
      </c>
      <c r="T515">
        <v>3999.2</v>
      </c>
      <c r="U515" t="s">
        <v>50</v>
      </c>
      <c r="V515" t="str">
        <v>Blue Heart</v>
      </c>
    </row>
    <row r="516" spans="1:22" ht="19" x14ac:dyDescent="0.25">
      <c r="A516" t="s">
        <v>575</v>
      </c>
      <c r="B516" t="s">
        <v>1368</v>
      </c>
      <c r="C516" t="s">
        <v>1377</v>
      </c>
      <c r="D516" t="s">
        <v>23</v>
      </c>
      <c r="E516" t="s">
        <v>24</v>
      </c>
      <c r="F516" t="s">
        <v>25</v>
      </c>
      <c r="G516" t="s">
        <v>26</v>
      </c>
      <c r="H516" s="172" t="str">
        <f t="shared" si="14"/>
        <v>Jul</v>
      </c>
      <c r="I516">
        <v>8905202264729</v>
      </c>
      <c r="J516" t="s">
        <v>28</v>
      </c>
      <c r="K516">
        <v>8905202264729</v>
      </c>
      <c r="L516" t="s">
        <v>29</v>
      </c>
      <c r="M516" t="s">
        <v>30</v>
      </c>
      <c r="N516">
        <v>2995</v>
      </c>
      <c r="O516">
        <v>2995</v>
      </c>
      <c r="P516">
        <v>1</v>
      </c>
      <c r="Q516">
        <v>2995</v>
      </c>
      <c r="R516">
        <v>1198</v>
      </c>
      <c r="S516">
        <v>0</v>
      </c>
      <c r="T516">
        <v>1797</v>
      </c>
      <c r="U516" t="s">
        <v>259</v>
      </c>
      <c r="V516" t="str">
        <v xml:space="preserve">X Graphic Terry Free Size Tee in Black </v>
      </c>
    </row>
    <row r="517" spans="1:22" ht="19" x14ac:dyDescent="0.25">
      <c r="A517" t="s">
        <v>962</v>
      </c>
      <c r="B517" t="s">
        <v>1352</v>
      </c>
      <c r="C517" t="s">
        <v>1353</v>
      </c>
      <c r="D517" t="s">
        <v>23</v>
      </c>
      <c r="E517" t="s">
        <v>24</v>
      </c>
      <c r="F517" t="s">
        <v>25</v>
      </c>
      <c r="G517" t="s">
        <v>26</v>
      </c>
      <c r="H517" s="172" t="str">
        <f t="shared" si="14"/>
        <v>Jul</v>
      </c>
      <c r="I517">
        <v>8905202264613</v>
      </c>
      <c r="J517" t="s">
        <v>796</v>
      </c>
      <c r="K517">
        <v>8905202264613</v>
      </c>
      <c r="L517" t="s">
        <v>60</v>
      </c>
      <c r="M517" t="s">
        <v>61</v>
      </c>
      <c r="N517">
        <v>3495</v>
      </c>
      <c r="O517">
        <v>3495</v>
      </c>
      <c r="P517">
        <v>1</v>
      </c>
      <c r="Q517">
        <v>3495</v>
      </c>
      <c r="R517">
        <v>1398</v>
      </c>
      <c r="S517">
        <v>0</v>
      </c>
      <c r="T517">
        <v>2097</v>
      </c>
      <c r="U517" t="s">
        <v>55</v>
      </c>
      <c r="V517" t="str">
        <v xml:space="preserve">Mumbai  Terry Drop Shoulder T-Shirt in Black </v>
      </c>
    </row>
    <row r="518" spans="1:22" ht="19" x14ac:dyDescent="0.25">
      <c r="A518" t="s">
        <v>20</v>
      </c>
      <c r="B518" t="s">
        <v>1352</v>
      </c>
      <c r="C518" t="s">
        <v>1354</v>
      </c>
      <c r="D518" t="s">
        <v>23</v>
      </c>
      <c r="E518" t="s">
        <v>24</v>
      </c>
      <c r="F518" t="s">
        <v>64</v>
      </c>
      <c r="G518" t="s">
        <v>65</v>
      </c>
      <c r="H518" s="172" t="str">
        <f t="shared" si="14"/>
        <v>Jul</v>
      </c>
      <c r="I518">
        <v>8905302263195</v>
      </c>
      <c r="J518" t="s">
        <v>946</v>
      </c>
      <c r="K518" t="s">
        <v>947</v>
      </c>
      <c r="L518" t="s">
        <v>948</v>
      </c>
      <c r="M518" t="s">
        <v>44</v>
      </c>
      <c r="N518">
        <v>7999</v>
      </c>
      <c r="O518">
        <v>7999</v>
      </c>
      <c r="P518">
        <v>1</v>
      </c>
      <c r="Q518">
        <v>7999</v>
      </c>
      <c r="R518">
        <v>2399.6999999999998</v>
      </c>
      <c r="S518">
        <v>166.65</v>
      </c>
      <c r="T518">
        <v>5432.65</v>
      </c>
      <c r="U518" t="s">
        <v>1355</v>
      </c>
      <c r="V518" t="str">
        <v>Reverse Blue</v>
      </c>
    </row>
    <row r="519" spans="1:22" ht="19" x14ac:dyDescent="0.25">
      <c r="A519" t="s">
        <v>20</v>
      </c>
      <c r="B519" t="s">
        <v>1352</v>
      </c>
      <c r="C519" t="s">
        <v>1354</v>
      </c>
      <c r="D519" t="s">
        <v>23</v>
      </c>
      <c r="E519" t="s">
        <v>24</v>
      </c>
      <c r="F519" t="s">
        <v>25</v>
      </c>
      <c r="G519" t="s">
        <v>34</v>
      </c>
      <c r="H519" s="172" t="str">
        <f t="shared" si="14"/>
        <v>Jul</v>
      </c>
      <c r="I519">
        <v>8905302263344</v>
      </c>
      <c r="J519" t="s">
        <v>734</v>
      </c>
      <c r="K519" t="s">
        <v>735</v>
      </c>
      <c r="L519" t="s">
        <v>736</v>
      </c>
      <c r="M519" t="s">
        <v>54</v>
      </c>
      <c r="N519">
        <v>5999</v>
      </c>
      <c r="O519">
        <v>5999</v>
      </c>
      <c r="P519">
        <v>1</v>
      </c>
      <c r="Q519">
        <v>5999</v>
      </c>
      <c r="R519">
        <v>1199.8</v>
      </c>
      <c r="S519">
        <v>142.87</v>
      </c>
      <c r="T519">
        <v>4656.33</v>
      </c>
      <c r="U519" t="s">
        <v>1355</v>
      </c>
      <c r="V519" t="str">
        <v>White Blue Stripe</v>
      </c>
    </row>
    <row r="520" spans="1:22" ht="19" x14ac:dyDescent="0.25">
      <c r="A520" t="s">
        <v>20</v>
      </c>
      <c r="B520" t="s">
        <v>1352</v>
      </c>
      <c r="C520" t="s">
        <v>1356</v>
      </c>
      <c r="D520" t="s">
        <v>23</v>
      </c>
      <c r="E520" t="s">
        <v>24</v>
      </c>
      <c r="F520" t="s">
        <v>25</v>
      </c>
      <c r="G520" t="s">
        <v>34</v>
      </c>
      <c r="H520" s="172" t="str">
        <f t="shared" si="14"/>
        <v>Jul</v>
      </c>
      <c r="I520">
        <v>8905302263229</v>
      </c>
      <c r="J520" t="s">
        <v>1219</v>
      </c>
      <c r="K520" t="s">
        <v>1220</v>
      </c>
      <c r="L520" t="s">
        <v>1221</v>
      </c>
      <c r="M520" t="s">
        <v>38</v>
      </c>
      <c r="N520">
        <v>5999</v>
      </c>
      <c r="O520">
        <v>5999</v>
      </c>
      <c r="P520">
        <v>1</v>
      </c>
      <c r="Q520">
        <v>5999</v>
      </c>
      <c r="R520">
        <v>1199.8</v>
      </c>
      <c r="S520">
        <v>0</v>
      </c>
      <c r="T520">
        <v>4799.2</v>
      </c>
      <c r="U520" t="s">
        <v>55</v>
      </c>
      <c r="V520" t="str">
        <v>CD Drop Shoulder Olive</v>
      </c>
    </row>
    <row r="521" spans="1:22" ht="19" x14ac:dyDescent="0.25">
      <c r="A521" t="s">
        <v>20</v>
      </c>
      <c r="B521" t="s">
        <v>1352</v>
      </c>
      <c r="C521" t="s">
        <v>1357</v>
      </c>
      <c r="D521" t="s">
        <v>23</v>
      </c>
      <c r="E521" t="s">
        <v>24</v>
      </c>
      <c r="F521" t="s">
        <v>64</v>
      </c>
      <c r="G521" t="s">
        <v>65</v>
      </c>
      <c r="H521" s="172" t="str">
        <f t="shared" si="14"/>
        <v>Jul</v>
      </c>
      <c r="I521">
        <v>8905302263198</v>
      </c>
      <c r="J521" t="s">
        <v>434</v>
      </c>
      <c r="K521" t="s">
        <v>433</v>
      </c>
      <c r="L521" t="s">
        <v>432</v>
      </c>
      <c r="M521" t="s">
        <v>44</v>
      </c>
      <c r="N521">
        <v>6999</v>
      </c>
      <c r="O521">
        <v>6999</v>
      </c>
      <c r="P521">
        <v>1</v>
      </c>
      <c r="Q521">
        <v>6999</v>
      </c>
      <c r="R521">
        <v>2099.6999999999998</v>
      </c>
      <c r="S521">
        <v>0</v>
      </c>
      <c r="T521">
        <v>4899.3</v>
      </c>
      <c r="U521" t="s">
        <v>50</v>
      </c>
      <c r="V521" t="str">
        <v>Stud Black</v>
      </c>
    </row>
    <row r="522" spans="1:22" ht="19" x14ac:dyDescent="0.25">
      <c r="A522" t="s">
        <v>20</v>
      </c>
      <c r="B522" t="s">
        <v>1352</v>
      </c>
      <c r="C522" t="s">
        <v>1357</v>
      </c>
      <c r="D522" t="s">
        <v>23</v>
      </c>
      <c r="E522" t="s">
        <v>24</v>
      </c>
      <c r="F522" t="s">
        <v>25</v>
      </c>
      <c r="G522" t="s">
        <v>34</v>
      </c>
      <c r="H522" s="172" t="str">
        <f t="shared" si="14"/>
        <v>Jul</v>
      </c>
      <c r="I522">
        <v>8905302263304</v>
      </c>
      <c r="J522" t="s">
        <v>928</v>
      </c>
      <c r="K522" t="s">
        <v>929</v>
      </c>
      <c r="L522" t="s">
        <v>829</v>
      </c>
      <c r="M522" t="s">
        <v>61</v>
      </c>
      <c r="N522">
        <v>4999</v>
      </c>
      <c r="O522">
        <v>4999</v>
      </c>
      <c r="P522">
        <v>1</v>
      </c>
      <c r="Q522">
        <v>4999</v>
      </c>
      <c r="R522">
        <v>999.8</v>
      </c>
      <c r="S522">
        <v>0</v>
      </c>
      <c r="T522">
        <v>3999.2</v>
      </c>
      <c r="U522" t="s">
        <v>50</v>
      </c>
      <c r="V522" t="str">
        <v>Blue Heart</v>
      </c>
    </row>
    <row r="523" spans="1:22" ht="19" x14ac:dyDescent="0.25">
      <c r="A523" t="s">
        <v>62</v>
      </c>
      <c r="B523" t="s">
        <v>1352</v>
      </c>
      <c r="C523" t="s">
        <v>1358</v>
      </c>
      <c r="D523" t="s">
        <v>23</v>
      </c>
      <c r="E523" t="s">
        <v>24</v>
      </c>
      <c r="F523" t="s">
        <v>64</v>
      </c>
      <c r="G523" t="s">
        <v>65</v>
      </c>
      <c r="H523" s="172" t="str">
        <f t="shared" si="14"/>
        <v>Jul</v>
      </c>
      <c r="I523">
        <v>8905302263177</v>
      </c>
      <c r="J523" t="s">
        <v>269</v>
      </c>
      <c r="K523" t="s">
        <v>270</v>
      </c>
      <c r="L523" t="s">
        <v>271</v>
      </c>
      <c r="M523" t="s">
        <v>44</v>
      </c>
      <c r="N523">
        <v>5999</v>
      </c>
      <c r="O523">
        <v>5999</v>
      </c>
      <c r="P523">
        <v>1</v>
      </c>
      <c r="Q523">
        <v>5999</v>
      </c>
      <c r="R523">
        <v>1799.7</v>
      </c>
      <c r="S523">
        <v>0</v>
      </c>
      <c r="T523">
        <v>4199.3</v>
      </c>
      <c r="U523" t="s">
        <v>50</v>
      </c>
      <c r="V523" t="str">
        <v>Barell Fit Light Blue</v>
      </c>
    </row>
    <row r="524" spans="1:22" ht="19" x14ac:dyDescent="0.25">
      <c r="A524" t="s">
        <v>62</v>
      </c>
      <c r="B524" t="s">
        <v>1352</v>
      </c>
      <c r="C524" t="s">
        <v>1359</v>
      </c>
      <c r="D524" t="s">
        <v>23</v>
      </c>
      <c r="E524" t="s">
        <v>24</v>
      </c>
      <c r="F524" t="s">
        <v>25</v>
      </c>
      <c r="G524" t="s">
        <v>34</v>
      </c>
      <c r="H524" s="172" t="str">
        <f t="shared" si="14"/>
        <v>Jul</v>
      </c>
      <c r="I524">
        <v>8905302263274</v>
      </c>
      <c r="J524" t="s">
        <v>1360</v>
      </c>
      <c r="K524" t="s">
        <v>1361</v>
      </c>
      <c r="L524" t="s">
        <v>802</v>
      </c>
      <c r="M524" t="s">
        <v>44</v>
      </c>
      <c r="N524">
        <v>4999</v>
      </c>
      <c r="O524">
        <v>4999</v>
      </c>
      <c r="P524">
        <v>1</v>
      </c>
      <c r="Q524">
        <v>4999</v>
      </c>
      <c r="R524">
        <v>999.8</v>
      </c>
      <c r="S524">
        <v>0</v>
      </c>
      <c r="T524">
        <v>3999.2</v>
      </c>
      <c r="U524" t="s">
        <v>50</v>
      </c>
      <c r="V524" t="str">
        <v>Cross Stich Blue</v>
      </c>
    </row>
    <row r="525" spans="1:22" ht="19" x14ac:dyDescent="0.25">
      <c r="A525" t="s">
        <v>62</v>
      </c>
      <c r="B525" t="s">
        <v>1352</v>
      </c>
      <c r="C525" t="s">
        <v>1359</v>
      </c>
      <c r="D525" t="s">
        <v>23</v>
      </c>
      <c r="E525" t="s">
        <v>24</v>
      </c>
      <c r="F525" t="s">
        <v>25</v>
      </c>
      <c r="G525" t="s">
        <v>26</v>
      </c>
      <c r="H525" s="172" t="str">
        <f t="shared" si="14"/>
        <v>Jul</v>
      </c>
      <c r="I525">
        <v>8905302263432</v>
      </c>
      <c r="J525" t="s">
        <v>1327</v>
      </c>
      <c r="K525" t="s">
        <v>1328</v>
      </c>
      <c r="L525" t="s">
        <v>1329</v>
      </c>
      <c r="M525" t="s">
        <v>61</v>
      </c>
      <c r="N525">
        <v>3999</v>
      </c>
      <c r="O525">
        <v>3999</v>
      </c>
      <c r="P525">
        <v>1</v>
      </c>
      <c r="Q525">
        <v>3999</v>
      </c>
      <c r="R525">
        <v>1599.6</v>
      </c>
      <c r="S525">
        <v>0</v>
      </c>
      <c r="T525">
        <v>2399.4</v>
      </c>
      <c r="U525" t="s">
        <v>50</v>
      </c>
      <c r="V525" t="str">
        <v>Butterfly Grey</v>
      </c>
    </row>
    <row r="526" spans="1:22" ht="19" x14ac:dyDescent="0.25">
      <c r="A526" t="s">
        <v>62</v>
      </c>
      <c r="B526" t="s">
        <v>1352</v>
      </c>
      <c r="C526" t="s">
        <v>135</v>
      </c>
      <c r="D526" t="s">
        <v>23</v>
      </c>
      <c r="E526" t="s">
        <v>24</v>
      </c>
      <c r="F526" t="s">
        <v>25</v>
      </c>
      <c r="G526" t="s">
        <v>34</v>
      </c>
      <c r="H526" s="172" t="str">
        <f t="shared" si="14"/>
        <v>Jul</v>
      </c>
      <c r="I526">
        <v>8905302263328</v>
      </c>
      <c r="J526" t="s">
        <v>715</v>
      </c>
      <c r="K526" t="s">
        <v>716</v>
      </c>
      <c r="L526" t="s">
        <v>717</v>
      </c>
      <c r="M526" t="s">
        <v>54</v>
      </c>
      <c r="N526">
        <v>4999</v>
      </c>
      <c r="O526">
        <v>4999</v>
      </c>
      <c r="P526">
        <v>1</v>
      </c>
      <c r="Q526">
        <v>4999</v>
      </c>
      <c r="R526">
        <v>999.8</v>
      </c>
      <c r="S526">
        <v>0</v>
      </c>
      <c r="T526">
        <v>3999.2</v>
      </c>
      <c r="U526" t="s">
        <v>55</v>
      </c>
      <c r="V526" t="str">
        <v>Orange Micro Check</v>
      </c>
    </row>
    <row r="527" spans="1:22" ht="19" x14ac:dyDescent="0.25">
      <c r="A527" t="s">
        <v>62</v>
      </c>
      <c r="B527" t="s">
        <v>1352</v>
      </c>
      <c r="C527" t="s">
        <v>1362</v>
      </c>
      <c r="D527" t="s">
        <v>23</v>
      </c>
      <c r="E527" t="s">
        <v>24</v>
      </c>
      <c r="F527" t="s">
        <v>64</v>
      </c>
      <c r="G527" t="s">
        <v>294</v>
      </c>
      <c r="H527" s="172" t="str">
        <f t="shared" si="14"/>
        <v>Jul</v>
      </c>
      <c r="I527">
        <v>8905202269014</v>
      </c>
      <c r="J527" t="s">
        <v>1363</v>
      </c>
      <c r="K527">
        <v>8905202269014</v>
      </c>
      <c r="L527" t="s">
        <v>1364</v>
      </c>
      <c r="M527" t="s">
        <v>44</v>
      </c>
      <c r="N527">
        <v>2995</v>
      </c>
      <c r="O527">
        <v>2995</v>
      </c>
      <c r="P527">
        <v>1</v>
      </c>
      <c r="Q527">
        <v>2995</v>
      </c>
      <c r="R527">
        <v>1198</v>
      </c>
      <c r="S527">
        <v>0</v>
      </c>
      <c r="T527">
        <v>1797</v>
      </c>
      <c r="U527" t="s">
        <v>45</v>
      </c>
      <c r="V527" t="str">
        <v>Three Pocket Shorts Black</v>
      </c>
    </row>
    <row r="528" spans="1:22" ht="19" x14ac:dyDescent="0.25">
      <c r="A528" t="s">
        <v>62</v>
      </c>
      <c r="B528" t="s">
        <v>1352</v>
      </c>
      <c r="C528" t="s">
        <v>1365</v>
      </c>
      <c r="D528" t="s">
        <v>23</v>
      </c>
      <c r="E528" t="s">
        <v>24</v>
      </c>
      <c r="F528" t="s">
        <v>64</v>
      </c>
      <c r="G528" t="s">
        <v>65</v>
      </c>
      <c r="H528" s="172" t="str">
        <f t="shared" si="14"/>
        <v>Jul</v>
      </c>
      <c r="I528">
        <v>8905302263314</v>
      </c>
      <c r="J528" t="s">
        <v>599</v>
      </c>
      <c r="K528" t="s">
        <v>600</v>
      </c>
      <c r="L528" t="s">
        <v>601</v>
      </c>
      <c r="M528" t="s">
        <v>61</v>
      </c>
      <c r="N528">
        <v>6999</v>
      </c>
      <c r="O528">
        <v>6999</v>
      </c>
      <c r="P528">
        <v>1</v>
      </c>
      <c r="Q528">
        <v>6999</v>
      </c>
      <c r="R528">
        <v>2099.6999999999998</v>
      </c>
      <c r="S528">
        <v>742.51</v>
      </c>
      <c r="T528">
        <v>4156.79</v>
      </c>
      <c r="U528" t="s">
        <v>50</v>
      </c>
      <c r="V528" t="str">
        <v>Blue Paint Brush</v>
      </c>
    </row>
    <row r="529" spans="1:22" ht="19" x14ac:dyDescent="0.25">
      <c r="A529" t="s">
        <v>575</v>
      </c>
      <c r="B529" t="s">
        <v>1352</v>
      </c>
      <c r="C529" t="s">
        <v>1366</v>
      </c>
      <c r="D529" t="s">
        <v>23</v>
      </c>
      <c r="E529" t="s">
        <v>24</v>
      </c>
      <c r="F529" t="s">
        <v>64</v>
      </c>
      <c r="G529" t="s">
        <v>65</v>
      </c>
      <c r="H529" s="172" t="str">
        <f t="shared" si="14"/>
        <v>Jul</v>
      </c>
      <c r="I529">
        <v>8905302263192</v>
      </c>
      <c r="J529" t="s">
        <v>465</v>
      </c>
      <c r="K529" t="s">
        <v>464</v>
      </c>
      <c r="L529" t="s">
        <v>463</v>
      </c>
      <c r="M529" t="s">
        <v>38</v>
      </c>
      <c r="N529">
        <v>7999</v>
      </c>
      <c r="O529">
        <v>7999</v>
      </c>
      <c r="P529">
        <v>1</v>
      </c>
      <c r="Q529">
        <v>7999</v>
      </c>
      <c r="R529">
        <v>2399.6999999999998</v>
      </c>
      <c r="S529">
        <v>0</v>
      </c>
      <c r="T529">
        <v>5599.3</v>
      </c>
      <c r="U529" t="s">
        <v>55</v>
      </c>
      <c r="V529" t="str">
        <v>Duo Pocket Vintage</v>
      </c>
    </row>
    <row r="530" spans="1:22" ht="19" x14ac:dyDescent="0.25">
      <c r="A530" t="s">
        <v>575</v>
      </c>
      <c r="B530" t="s">
        <v>1352</v>
      </c>
      <c r="C530" t="s">
        <v>1366</v>
      </c>
      <c r="D530" t="s">
        <v>23</v>
      </c>
      <c r="E530" t="s">
        <v>24</v>
      </c>
      <c r="F530" t="s">
        <v>25</v>
      </c>
      <c r="G530" t="s">
        <v>26</v>
      </c>
      <c r="H530" s="172" t="str">
        <f t="shared" si="14"/>
        <v>Jul</v>
      </c>
      <c r="I530">
        <v>8905302263432</v>
      </c>
      <c r="J530" t="s">
        <v>1327</v>
      </c>
      <c r="K530" t="s">
        <v>1328</v>
      </c>
      <c r="L530" t="s">
        <v>1329</v>
      </c>
      <c r="M530" t="s">
        <v>61</v>
      </c>
      <c r="N530">
        <v>3999</v>
      </c>
      <c r="O530">
        <v>3999</v>
      </c>
      <c r="P530">
        <v>1</v>
      </c>
      <c r="Q530">
        <v>3999</v>
      </c>
      <c r="R530">
        <v>1599.6</v>
      </c>
      <c r="S530">
        <v>0</v>
      </c>
      <c r="T530">
        <v>2399.4</v>
      </c>
      <c r="U530" t="s">
        <v>55</v>
      </c>
      <c r="V530" t="str">
        <v>Butterfly Grey</v>
      </c>
    </row>
    <row r="531" spans="1:22" ht="19" x14ac:dyDescent="0.25">
      <c r="A531" t="s">
        <v>575</v>
      </c>
      <c r="B531" t="s">
        <v>1352</v>
      </c>
      <c r="C531" t="s">
        <v>1367</v>
      </c>
      <c r="D531" t="s">
        <v>23</v>
      </c>
      <c r="E531" t="s">
        <v>24</v>
      </c>
      <c r="F531" t="s">
        <v>25</v>
      </c>
      <c r="G531" t="s">
        <v>34</v>
      </c>
      <c r="H531" s="172" t="str">
        <f t="shared" si="14"/>
        <v>Jul</v>
      </c>
      <c r="I531">
        <v>8905302263310</v>
      </c>
      <c r="J531" t="s">
        <v>800</v>
      </c>
      <c r="K531" t="s">
        <v>801</v>
      </c>
      <c r="L531" t="s">
        <v>802</v>
      </c>
      <c r="M531" t="s">
        <v>44</v>
      </c>
      <c r="N531">
        <v>4999</v>
      </c>
      <c r="O531">
        <v>4999</v>
      </c>
      <c r="P531">
        <v>1</v>
      </c>
      <c r="Q531">
        <v>4999</v>
      </c>
      <c r="R531">
        <v>999.8</v>
      </c>
      <c r="S531">
        <v>0</v>
      </c>
      <c r="T531">
        <v>3999.2</v>
      </c>
      <c r="U531" t="s">
        <v>55</v>
      </c>
      <c r="V531" t="str">
        <v>Mom's Warning</v>
      </c>
    </row>
    <row r="532" spans="1:22" x14ac:dyDescent="0.2">
      <c r="V532" t="e">
        <v>#N/A</v>
      </c>
    </row>
    <row r="533" spans="1:22" x14ac:dyDescent="0.2">
      <c r="V533" t="e">
        <v>#N/A</v>
      </c>
    </row>
    <row r="534" spans="1:22" x14ac:dyDescent="0.2">
      <c r="V534" t="e">
        <v>#N/A</v>
      </c>
    </row>
    <row r="535" spans="1:22" x14ac:dyDescent="0.2">
      <c r="V535" t="e">
        <v>#N/A</v>
      </c>
    </row>
    <row r="536" spans="1:22" x14ac:dyDescent="0.2">
      <c r="V536" t="e">
        <v>#N/A</v>
      </c>
    </row>
    <row r="537" spans="1:22" x14ac:dyDescent="0.2">
      <c r="V537" t="e">
        <v>#N/A</v>
      </c>
    </row>
    <row r="538" spans="1:22" x14ac:dyDescent="0.2">
      <c r="V538" t="e">
        <v>#N/A</v>
      </c>
    </row>
    <row r="539" spans="1:22" x14ac:dyDescent="0.2">
      <c r="V539" t="e">
        <v>#N/A</v>
      </c>
    </row>
    <row r="540" spans="1:22" x14ac:dyDescent="0.2">
      <c r="V540" t="e">
        <v>#N/A</v>
      </c>
    </row>
    <row r="541" spans="1:22" x14ac:dyDescent="0.2">
      <c r="V541" t="e">
        <v>#N/A</v>
      </c>
    </row>
    <row r="542" spans="1:22" x14ac:dyDescent="0.2">
      <c r="V542" t="e">
        <v>#N/A</v>
      </c>
    </row>
    <row r="543" spans="1:22" x14ac:dyDescent="0.2">
      <c r="V543" t="e">
        <v>#N/A</v>
      </c>
    </row>
    <row r="544" spans="1:22" x14ac:dyDescent="0.2">
      <c r="V544" t="e">
        <v>#N/A</v>
      </c>
    </row>
    <row r="545" spans="22:22" x14ac:dyDescent="0.2">
      <c r="V545" t="e">
        <v>#N/A</v>
      </c>
    </row>
    <row r="546" spans="22:22" x14ac:dyDescent="0.2">
      <c r="V546" t="e">
        <v>#N/A</v>
      </c>
    </row>
    <row r="547" spans="22:22" x14ac:dyDescent="0.2">
      <c r="V547" t="e">
        <v>#N/A</v>
      </c>
    </row>
    <row r="548" spans="22:22" x14ac:dyDescent="0.2">
      <c r="V548" t="e">
        <v>#N/A</v>
      </c>
    </row>
    <row r="549" spans="22:22" x14ac:dyDescent="0.2">
      <c r="V549" t="e">
        <v>#N/A</v>
      </c>
    </row>
    <row r="550" spans="22:22" x14ac:dyDescent="0.2">
      <c r="V550" t="e">
        <v>#N/A</v>
      </c>
    </row>
    <row r="551" spans="22:22" x14ac:dyDescent="0.2">
      <c r="V551" t="e">
        <v>#N/A</v>
      </c>
    </row>
    <row r="552" spans="22:22" x14ac:dyDescent="0.2">
      <c r="V552" t="e">
        <v>#N/A</v>
      </c>
    </row>
    <row r="553" spans="22:22" x14ac:dyDescent="0.2">
      <c r="V553" t="e">
        <v>#N/A</v>
      </c>
    </row>
    <row r="554" spans="22:22" x14ac:dyDescent="0.2">
      <c r="V554" t="e">
        <v>#N/A</v>
      </c>
    </row>
    <row r="555" spans="22:22" x14ac:dyDescent="0.2">
      <c r="V555" t="e">
        <v>#N/A</v>
      </c>
    </row>
    <row r="556" spans="22:22" x14ac:dyDescent="0.2">
      <c r="V556" t="e">
        <v>#N/A</v>
      </c>
    </row>
    <row r="557" spans="22:22" x14ac:dyDescent="0.2">
      <c r="V557" t="e">
        <v>#N/A</v>
      </c>
    </row>
    <row r="558" spans="22:22" x14ac:dyDescent="0.2">
      <c r="V558" t="e">
        <v>#N/A</v>
      </c>
    </row>
    <row r="559" spans="22:22" x14ac:dyDescent="0.2">
      <c r="V559" t="e">
        <v>#N/A</v>
      </c>
    </row>
    <row r="560" spans="22:22" x14ac:dyDescent="0.2">
      <c r="V560" t="e">
        <v>#N/A</v>
      </c>
    </row>
    <row r="561" spans="22:22" x14ac:dyDescent="0.2">
      <c r="V561" t="e">
        <v>#N/A</v>
      </c>
    </row>
    <row r="562" spans="22:22" x14ac:dyDescent="0.2">
      <c r="V562" t="e">
        <v>#N/A</v>
      </c>
    </row>
    <row r="563" spans="22:22" x14ac:dyDescent="0.2">
      <c r="V563" t="e">
        <v>#N/A</v>
      </c>
    </row>
    <row r="564" spans="22:22" x14ac:dyDescent="0.2">
      <c r="V564" t="e">
        <v>#N/A</v>
      </c>
    </row>
    <row r="565" spans="22:22" x14ac:dyDescent="0.2">
      <c r="V565" t="e">
        <v>#N/A</v>
      </c>
    </row>
    <row r="566" spans="22:22" x14ac:dyDescent="0.2">
      <c r="V566" t="e">
        <v>#N/A</v>
      </c>
    </row>
    <row r="567" spans="22:22" x14ac:dyDescent="0.2">
      <c r="V567" t="e">
        <v>#N/A</v>
      </c>
    </row>
    <row r="568" spans="22:22" x14ac:dyDescent="0.2">
      <c r="V568" t="e">
        <v>#N/A</v>
      </c>
    </row>
    <row r="569" spans="22:22" x14ac:dyDescent="0.2">
      <c r="V569" t="e">
        <v>#N/A</v>
      </c>
    </row>
    <row r="570" spans="22:22" x14ac:dyDescent="0.2">
      <c r="V570" t="e">
        <v>#N/A</v>
      </c>
    </row>
    <row r="571" spans="22:22" x14ac:dyDescent="0.2">
      <c r="V571" t="e">
        <v>#N/A</v>
      </c>
    </row>
    <row r="572" spans="22:22" x14ac:dyDescent="0.2">
      <c r="V572" t="e">
        <v>#N/A</v>
      </c>
    </row>
    <row r="573" spans="22:22" x14ac:dyDescent="0.2">
      <c r="V573" t="e">
        <v>#N/A</v>
      </c>
    </row>
    <row r="574" spans="22:22" x14ac:dyDescent="0.2">
      <c r="V574" t="e">
        <v>#N/A</v>
      </c>
    </row>
    <row r="575" spans="22:22" x14ac:dyDescent="0.2">
      <c r="V575" t="e">
        <v>#N/A</v>
      </c>
    </row>
    <row r="576" spans="22:22" x14ac:dyDescent="0.2">
      <c r="V576" t="e">
        <v>#N/A</v>
      </c>
    </row>
    <row r="577" spans="22:22" x14ac:dyDescent="0.2">
      <c r="V577" t="e">
        <v>#N/A</v>
      </c>
    </row>
    <row r="578" spans="22:22" x14ac:dyDescent="0.2">
      <c r="V578" t="e">
        <v>#N/A</v>
      </c>
    </row>
    <row r="579" spans="22:22" x14ac:dyDescent="0.2">
      <c r="V579" t="e">
        <v>#N/A</v>
      </c>
    </row>
    <row r="580" spans="22:22" x14ac:dyDescent="0.2">
      <c r="V580" t="e">
        <v>#N/A</v>
      </c>
    </row>
    <row r="581" spans="22:22" x14ac:dyDescent="0.2">
      <c r="V581" t="e">
        <v>#N/A</v>
      </c>
    </row>
    <row r="582" spans="22:22" x14ac:dyDescent="0.2">
      <c r="V582" t="e">
        <v>#N/A</v>
      </c>
    </row>
    <row r="583" spans="22:22" x14ac:dyDescent="0.2">
      <c r="V583" t="e">
        <v>#N/A</v>
      </c>
    </row>
    <row r="584" spans="22:22" x14ac:dyDescent="0.2">
      <c r="V584" t="e">
        <v>#N/A</v>
      </c>
    </row>
    <row r="585" spans="22:22" x14ac:dyDescent="0.2">
      <c r="V585" t="e">
        <v>#N/A</v>
      </c>
    </row>
    <row r="586" spans="22:22" x14ac:dyDescent="0.2">
      <c r="V586" t="e">
        <v>#N/A</v>
      </c>
    </row>
    <row r="587" spans="22:22" x14ac:dyDescent="0.2">
      <c r="V587" t="e">
        <v>#N/A</v>
      </c>
    </row>
    <row r="588" spans="22:22" x14ac:dyDescent="0.2">
      <c r="V588" t="e">
        <v>#N/A</v>
      </c>
    </row>
    <row r="589" spans="22:22" x14ac:dyDescent="0.2">
      <c r="V589" t="e">
        <v>#N/A</v>
      </c>
    </row>
    <row r="590" spans="22:22" x14ac:dyDescent="0.2">
      <c r="V590" t="e">
        <v>#N/A</v>
      </c>
    </row>
    <row r="591" spans="22:22" x14ac:dyDescent="0.2">
      <c r="V591" t="e">
        <v>#N/A</v>
      </c>
    </row>
    <row r="592" spans="22:22" x14ac:dyDescent="0.2">
      <c r="V592" t="e">
        <v>#N/A</v>
      </c>
    </row>
    <row r="593" spans="22:22" x14ac:dyDescent="0.2">
      <c r="V593" t="e">
        <v>#N/A</v>
      </c>
    </row>
    <row r="594" spans="22:22" x14ac:dyDescent="0.2">
      <c r="V594" t="e">
        <v>#N/A</v>
      </c>
    </row>
    <row r="595" spans="22:22" x14ac:dyDescent="0.2">
      <c r="V595" t="e">
        <v>#N/A</v>
      </c>
    </row>
    <row r="596" spans="22:22" x14ac:dyDescent="0.2">
      <c r="V596" t="e">
        <v>#N/A</v>
      </c>
    </row>
    <row r="597" spans="22:22" x14ac:dyDescent="0.2">
      <c r="V597" t="e">
        <v>#N/A</v>
      </c>
    </row>
    <row r="598" spans="22:22" x14ac:dyDescent="0.2">
      <c r="V598" t="e">
        <v>#N/A</v>
      </c>
    </row>
    <row r="599" spans="22:22" x14ac:dyDescent="0.2">
      <c r="V599" t="e">
        <v>#N/A</v>
      </c>
    </row>
    <row r="600" spans="22:22" x14ac:dyDescent="0.2">
      <c r="V600" t="e">
        <v>#N/A</v>
      </c>
    </row>
    <row r="601" spans="22:22" x14ac:dyDescent="0.2">
      <c r="V601" t="e">
        <v>#N/A</v>
      </c>
    </row>
    <row r="602" spans="22:22" x14ac:dyDescent="0.2">
      <c r="V602" t="e">
        <v>#N/A</v>
      </c>
    </row>
    <row r="603" spans="22:22" x14ac:dyDescent="0.2">
      <c r="V603" t="e">
        <v>#N/A</v>
      </c>
    </row>
    <row r="604" spans="22:22" x14ac:dyDescent="0.2">
      <c r="V604" t="e">
        <v>#N/A</v>
      </c>
    </row>
    <row r="605" spans="22:22" x14ac:dyDescent="0.2">
      <c r="V605" t="e">
        <v>#N/A</v>
      </c>
    </row>
    <row r="606" spans="22:22" x14ac:dyDescent="0.2">
      <c r="V606" t="e">
        <v>#N/A</v>
      </c>
    </row>
    <row r="607" spans="22:22" x14ac:dyDescent="0.2">
      <c r="V607" t="e">
        <v>#N/A</v>
      </c>
    </row>
    <row r="608" spans="22:22" x14ac:dyDescent="0.2">
      <c r="V608" t="e">
        <v>#N/A</v>
      </c>
    </row>
    <row r="609" spans="22:22" x14ac:dyDescent="0.2">
      <c r="V609" t="e">
        <v>#N/A</v>
      </c>
    </row>
    <row r="610" spans="22:22" x14ac:dyDescent="0.2">
      <c r="V610" t="e">
        <v>#N/A</v>
      </c>
    </row>
    <row r="611" spans="22:22" x14ac:dyDescent="0.2">
      <c r="V611" t="e">
        <v>#N/A</v>
      </c>
    </row>
    <row r="612" spans="22:22" x14ac:dyDescent="0.2">
      <c r="V612" t="e">
        <v>#N/A</v>
      </c>
    </row>
    <row r="613" spans="22:22" x14ac:dyDescent="0.2">
      <c r="V613" t="e">
        <v>#N/A</v>
      </c>
    </row>
    <row r="614" spans="22:22" x14ac:dyDescent="0.2">
      <c r="V614" t="e">
        <v>#N/A</v>
      </c>
    </row>
    <row r="615" spans="22:22" x14ac:dyDescent="0.2">
      <c r="V615" t="e">
        <v>#N/A</v>
      </c>
    </row>
    <row r="616" spans="22:22" x14ac:dyDescent="0.2">
      <c r="V616" t="e">
        <v>#N/A</v>
      </c>
    </row>
    <row r="617" spans="22:22" x14ac:dyDescent="0.2">
      <c r="V617" t="e">
        <v>#N/A</v>
      </c>
    </row>
    <row r="618" spans="22:22" x14ac:dyDescent="0.2">
      <c r="V618" t="e">
        <v>#N/A</v>
      </c>
    </row>
    <row r="619" spans="22:22" x14ac:dyDescent="0.2">
      <c r="V619" t="e">
        <v>#N/A</v>
      </c>
    </row>
    <row r="620" spans="22:22" x14ac:dyDescent="0.2">
      <c r="V620" t="e">
        <v>#N/A</v>
      </c>
    </row>
    <row r="621" spans="22:22" x14ac:dyDescent="0.2">
      <c r="V621" t="e">
        <v>#N/A</v>
      </c>
    </row>
    <row r="622" spans="22:22" x14ac:dyDescent="0.2">
      <c r="V622" t="e">
        <v>#N/A</v>
      </c>
    </row>
    <row r="623" spans="22:22" x14ac:dyDescent="0.2">
      <c r="V623" t="e">
        <v>#N/A</v>
      </c>
    </row>
    <row r="624" spans="22:22" x14ac:dyDescent="0.2">
      <c r="V624" t="e">
        <v>#N/A</v>
      </c>
    </row>
    <row r="625" spans="22:22" x14ac:dyDescent="0.2">
      <c r="V625" t="e">
        <v>#N/A</v>
      </c>
    </row>
    <row r="626" spans="22:22" x14ac:dyDescent="0.2">
      <c r="V626" t="e">
        <v>#N/A</v>
      </c>
    </row>
    <row r="627" spans="22:22" x14ac:dyDescent="0.2">
      <c r="V627" t="e">
        <v>#N/A</v>
      </c>
    </row>
    <row r="628" spans="22:22" x14ac:dyDescent="0.2">
      <c r="V628" t="e">
        <v>#N/A</v>
      </c>
    </row>
    <row r="629" spans="22:22" x14ac:dyDescent="0.2">
      <c r="V629" t="e">
        <v>#N/A</v>
      </c>
    </row>
    <row r="630" spans="22:22" x14ac:dyDescent="0.2">
      <c r="V630" t="e">
        <v>#N/A</v>
      </c>
    </row>
    <row r="631" spans="22:22" x14ac:dyDescent="0.2">
      <c r="V631" t="e">
        <v>#N/A</v>
      </c>
    </row>
    <row r="632" spans="22:22" x14ac:dyDescent="0.2">
      <c r="V632" t="e">
        <v>#N/A</v>
      </c>
    </row>
    <row r="633" spans="22:22" x14ac:dyDescent="0.2">
      <c r="V633" t="e">
        <v>#N/A</v>
      </c>
    </row>
    <row r="634" spans="22:22" x14ac:dyDescent="0.2">
      <c r="V634" t="e">
        <v>#N/A</v>
      </c>
    </row>
    <row r="635" spans="22:22" x14ac:dyDescent="0.2">
      <c r="V635" t="e">
        <v>#N/A</v>
      </c>
    </row>
    <row r="636" spans="22:22" x14ac:dyDescent="0.2">
      <c r="V636" t="e">
        <v>#N/A</v>
      </c>
    </row>
    <row r="637" spans="22:22" x14ac:dyDescent="0.2">
      <c r="V637" t="e">
        <v>#N/A</v>
      </c>
    </row>
    <row r="638" spans="22:22" x14ac:dyDescent="0.2">
      <c r="V638" t="e">
        <v>#N/A</v>
      </c>
    </row>
    <row r="639" spans="22:22" x14ac:dyDescent="0.2">
      <c r="V639" t="e">
        <v>#N/A</v>
      </c>
    </row>
    <row r="640" spans="22:22" x14ac:dyDescent="0.2">
      <c r="V640" t="e">
        <v>#N/A</v>
      </c>
    </row>
    <row r="641" spans="22:22" x14ac:dyDescent="0.2">
      <c r="V641" t="e">
        <v>#N/A</v>
      </c>
    </row>
    <row r="642" spans="22:22" x14ac:dyDescent="0.2">
      <c r="V642" t="e">
        <v>#N/A</v>
      </c>
    </row>
    <row r="643" spans="22:22" x14ac:dyDescent="0.2">
      <c r="V643" t="e">
        <v>#N/A</v>
      </c>
    </row>
    <row r="644" spans="22:22" x14ac:dyDescent="0.2">
      <c r="V644" t="e">
        <v>#N/A</v>
      </c>
    </row>
    <row r="645" spans="22:22" x14ac:dyDescent="0.2">
      <c r="V645" t="e">
        <v>#N/A</v>
      </c>
    </row>
    <row r="646" spans="22:22" x14ac:dyDescent="0.2">
      <c r="V646" t="e">
        <v>#N/A</v>
      </c>
    </row>
    <row r="647" spans="22:22" x14ac:dyDescent="0.2">
      <c r="V647" t="e">
        <v>#N/A</v>
      </c>
    </row>
    <row r="648" spans="22:22" x14ac:dyDescent="0.2">
      <c r="V648" t="e">
        <v>#N/A</v>
      </c>
    </row>
    <row r="649" spans="22:22" x14ac:dyDescent="0.2">
      <c r="V649" t="e">
        <v>#N/A</v>
      </c>
    </row>
    <row r="650" spans="22:22" x14ac:dyDescent="0.2">
      <c r="V650" t="e">
        <v>#N/A</v>
      </c>
    </row>
    <row r="651" spans="22:22" x14ac:dyDescent="0.2">
      <c r="V651" t="e">
        <v>#N/A</v>
      </c>
    </row>
    <row r="652" spans="22:22" x14ac:dyDescent="0.2">
      <c r="V652" t="e">
        <v>#N/A</v>
      </c>
    </row>
    <row r="653" spans="22:22" x14ac:dyDescent="0.2">
      <c r="V653" t="e">
        <v>#N/A</v>
      </c>
    </row>
    <row r="654" spans="22:22" x14ac:dyDescent="0.2">
      <c r="V654" t="e">
        <v>#N/A</v>
      </c>
    </row>
    <row r="655" spans="22:22" x14ac:dyDescent="0.2">
      <c r="V655" t="e">
        <v>#N/A</v>
      </c>
    </row>
    <row r="656" spans="22:22" x14ac:dyDescent="0.2">
      <c r="V656" t="e">
        <v>#N/A</v>
      </c>
    </row>
    <row r="657" spans="22:22" x14ac:dyDescent="0.2">
      <c r="V657" t="e">
        <v>#N/A</v>
      </c>
    </row>
    <row r="658" spans="22:22" x14ac:dyDescent="0.2">
      <c r="V658" t="e">
        <v>#N/A</v>
      </c>
    </row>
    <row r="659" spans="22:22" x14ac:dyDescent="0.2">
      <c r="V659" t="e">
        <v>#N/A</v>
      </c>
    </row>
    <row r="660" spans="22:22" x14ac:dyDescent="0.2">
      <c r="V660" t="e">
        <v>#N/A</v>
      </c>
    </row>
    <row r="661" spans="22:22" x14ac:dyDescent="0.2">
      <c r="V661" t="e">
        <v>#N/A</v>
      </c>
    </row>
    <row r="662" spans="22:22" x14ac:dyDescent="0.2">
      <c r="V662" t="e">
        <v>#N/A</v>
      </c>
    </row>
    <row r="663" spans="22:22" x14ac:dyDescent="0.2">
      <c r="V663" t="e">
        <v>#N/A</v>
      </c>
    </row>
    <row r="664" spans="22:22" x14ac:dyDescent="0.2">
      <c r="V664" t="e">
        <v>#N/A</v>
      </c>
    </row>
    <row r="665" spans="22:22" x14ac:dyDescent="0.2">
      <c r="V665" t="e">
        <v>#N/A</v>
      </c>
    </row>
    <row r="666" spans="22:22" x14ac:dyDescent="0.2">
      <c r="V666" t="e">
        <v>#N/A</v>
      </c>
    </row>
    <row r="667" spans="22:22" x14ac:dyDescent="0.2">
      <c r="V667" t="e">
        <v>#N/A</v>
      </c>
    </row>
    <row r="668" spans="22:22" x14ac:dyDescent="0.2">
      <c r="V668" t="e">
        <v>#N/A</v>
      </c>
    </row>
    <row r="669" spans="22:22" x14ac:dyDescent="0.2">
      <c r="V669" t="e">
        <v>#N/A</v>
      </c>
    </row>
    <row r="670" spans="22:22" x14ac:dyDescent="0.2">
      <c r="V670" t="e">
        <v>#N/A</v>
      </c>
    </row>
    <row r="671" spans="22:22" x14ac:dyDescent="0.2">
      <c r="V671" t="e">
        <v>#N/A</v>
      </c>
    </row>
    <row r="672" spans="22:22" x14ac:dyDescent="0.2">
      <c r="V672" t="e">
        <v>#N/A</v>
      </c>
    </row>
    <row r="673" spans="22:22" x14ac:dyDescent="0.2">
      <c r="V673" t="e">
        <v>#N/A</v>
      </c>
    </row>
    <row r="674" spans="22:22" x14ac:dyDescent="0.2">
      <c r="V674" t="e">
        <v>#N/A</v>
      </c>
    </row>
    <row r="675" spans="22:22" x14ac:dyDescent="0.2">
      <c r="V675" t="e">
        <v>#N/A</v>
      </c>
    </row>
    <row r="676" spans="22:22" x14ac:dyDescent="0.2">
      <c r="V676" t="e">
        <v>#N/A</v>
      </c>
    </row>
    <row r="677" spans="22:22" x14ac:dyDescent="0.2">
      <c r="V677" t="e">
        <v>#N/A</v>
      </c>
    </row>
    <row r="678" spans="22:22" x14ac:dyDescent="0.2">
      <c r="V678" t="e">
        <v>#N/A</v>
      </c>
    </row>
    <row r="679" spans="22:22" x14ac:dyDescent="0.2">
      <c r="V679" t="e">
        <v>#N/A</v>
      </c>
    </row>
    <row r="680" spans="22:22" x14ac:dyDescent="0.2">
      <c r="V680" t="e">
        <v>#N/A</v>
      </c>
    </row>
    <row r="681" spans="22:22" x14ac:dyDescent="0.2">
      <c r="V681" t="e">
        <v>#N/A</v>
      </c>
    </row>
    <row r="682" spans="22:22" x14ac:dyDescent="0.2">
      <c r="V682" t="e">
        <v>#N/A</v>
      </c>
    </row>
    <row r="683" spans="22:22" x14ac:dyDescent="0.2">
      <c r="V683" t="e">
        <v>#N/A</v>
      </c>
    </row>
    <row r="684" spans="22:22" x14ac:dyDescent="0.2">
      <c r="V684" t="e">
        <v>#N/A</v>
      </c>
    </row>
    <row r="685" spans="22:22" x14ac:dyDescent="0.2">
      <c r="V685" t="e">
        <v>#N/A</v>
      </c>
    </row>
    <row r="686" spans="22:22" x14ac:dyDescent="0.2">
      <c r="V686" t="e">
        <v>#N/A</v>
      </c>
    </row>
    <row r="687" spans="22:22" x14ac:dyDescent="0.2">
      <c r="V687" t="e">
        <v>#N/A</v>
      </c>
    </row>
    <row r="688" spans="22:22" x14ac:dyDescent="0.2">
      <c r="V688" t="e">
        <v>#N/A</v>
      </c>
    </row>
    <row r="689" spans="22:22" x14ac:dyDescent="0.2">
      <c r="V689" t="e">
        <v>#N/A</v>
      </c>
    </row>
    <row r="690" spans="22:22" x14ac:dyDescent="0.2">
      <c r="V690" t="e">
        <v>#N/A</v>
      </c>
    </row>
    <row r="691" spans="22:22" x14ac:dyDescent="0.2">
      <c r="V691" t="e">
        <v>#N/A</v>
      </c>
    </row>
    <row r="692" spans="22:22" x14ac:dyDescent="0.2">
      <c r="V692" t="e">
        <v>#N/A</v>
      </c>
    </row>
    <row r="693" spans="22:22" x14ac:dyDescent="0.2">
      <c r="V693" t="e">
        <v>#N/A</v>
      </c>
    </row>
    <row r="694" spans="22:22" x14ac:dyDescent="0.2">
      <c r="V694" t="e">
        <v>#N/A</v>
      </c>
    </row>
    <row r="695" spans="22:22" x14ac:dyDescent="0.2">
      <c r="V695" t="e">
        <v>#N/A</v>
      </c>
    </row>
    <row r="696" spans="22:22" x14ac:dyDescent="0.2">
      <c r="V696" t="e">
        <v>#N/A</v>
      </c>
    </row>
    <row r="697" spans="22:22" x14ac:dyDescent="0.2">
      <c r="V697" t="e">
        <v>#N/A</v>
      </c>
    </row>
    <row r="698" spans="22:22" x14ac:dyDescent="0.2">
      <c r="V698" t="e">
        <v>#N/A</v>
      </c>
    </row>
    <row r="699" spans="22:22" x14ac:dyDescent="0.2">
      <c r="V699" t="e">
        <v>#N/A</v>
      </c>
    </row>
    <row r="700" spans="22:22" x14ac:dyDescent="0.2">
      <c r="V700" t="e">
        <v>#N/A</v>
      </c>
    </row>
    <row r="701" spans="22:22" x14ac:dyDescent="0.2">
      <c r="V701" t="e">
        <v>#N/A</v>
      </c>
    </row>
    <row r="702" spans="22:22" x14ac:dyDescent="0.2">
      <c r="V702" t="e">
        <v>#N/A</v>
      </c>
    </row>
    <row r="703" spans="22:22" x14ac:dyDescent="0.2">
      <c r="V703" t="e">
        <v>#N/A</v>
      </c>
    </row>
    <row r="704" spans="22:22" x14ac:dyDescent="0.2">
      <c r="V704" t="e">
        <v>#N/A</v>
      </c>
    </row>
    <row r="705" spans="22:22" x14ac:dyDescent="0.2">
      <c r="V705" t="e">
        <v>#N/A</v>
      </c>
    </row>
    <row r="706" spans="22:22" x14ac:dyDescent="0.2">
      <c r="V706" t="e">
        <v>#N/A</v>
      </c>
    </row>
    <row r="707" spans="22:22" x14ac:dyDescent="0.2">
      <c r="V707" t="e">
        <v>#N/A</v>
      </c>
    </row>
    <row r="708" spans="22:22" x14ac:dyDescent="0.2">
      <c r="V708" t="e">
        <v>#N/A</v>
      </c>
    </row>
    <row r="709" spans="22:22" x14ac:dyDescent="0.2">
      <c r="V709" t="e">
        <v>#N/A</v>
      </c>
    </row>
    <row r="710" spans="22:22" x14ac:dyDescent="0.2">
      <c r="V710" t="e">
        <v>#N/A</v>
      </c>
    </row>
    <row r="711" spans="22:22" x14ac:dyDescent="0.2">
      <c r="V711" t="e">
        <v>#N/A</v>
      </c>
    </row>
    <row r="712" spans="22:22" x14ac:dyDescent="0.2">
      <c r="V712" t="e">
        <v>#N/A</v>
      </c>
    </row>
    <row r="713" spans="22:22" x14ac:dyDescent="0.2">
      <c r="V713" t="e">
        <v>#N/A</v>
      </c>
    </row>
    <row r="714" spans="22:22" x14ac:dyDescent="0.2">
      <c r="V714" t="e">
        <v>#N/A</v>
      </c>
    </row>
    <row r="715" spans="22:22" x14ac:dyDescent="0.2">
      <c r="V715" t="e">
        <v>#N/A</v>
      </c>
    </row>
    <row r="716" spans="22:22" x14ac:dyDescent="0.2">
      <c r="V716" t="e">
        <v>#N/A</v>
      </c>
    </row>
    <row r="717" spans="22:22" x14ac:dyDescent="0.2">
      <c r="V717" t="e">
        <v>#N/A</v>
      </c>
    </row>
    <row r="718" spans="22:22" x14ac:dyDescent="0.2">
      <c r="V718" t="e">
        <v>#N/A</v>
      </c>
    </row>
    <row r="719" spans="22:22" x14ac:dyDescent="0.2">
      <c r="V719" t="e">
        <v>#N/A</v>
      </c>
    </row>
    <row r="720" spans="22:22" x14ac:dyDescent="0.2">
      <c r="V720" t="e">
        <v>#N/A</v>
      </c>
    </row>
    <row r="721" spans="22:22" x14ac:dyDescent="0.2">
      <c r="V721" t="e">
        <v>#N/A</v>
      </c>
    </row>
    <row r="722" spans="22:22" x14ac:dyDescent="0.2">
      <c r="V722" t="e">
        <v>#N/A</v>
      </c>
    </row>
    <row r="723" spans="22:22" x14ac:dyDescent="0.2">
      <c r="V723" t="e">
        <v>#N/A</v>
      </c>
    </row>
    <row r="724" spans="22:22" x14ac:dyDescent="0.2">
      <c r="V724" t="e">
        <v>#N/A</v>
      </c>
    </row>
    <row r="725" spans="22:22" x14ac:dyDescent="0.2">
      <c r="V725" t="e">
        <v>#N/A</v>
      </c>
    </row>
    <row r="726" spans="22:22" x14ac:dyDescent="0.2">
      <c r="V726" t="e">
        <v>#N/A</v>
      </c>
    </row>
    <row r="727" spans="22:22" x14ac:dyDescent="0.2">
      <c r="V727" t="e">
        <v>#N/A</v>
      </c>
    </row>
    <row r="728" spans="22:22" x14ac:dyDescent="0.2">
      <c r="V728" t="e">
        <v>#N/A</v>
      </c>
    </row>
    <row r="729" spans="22:22" x14ac:dyDescent="0.2">
      <c r="V729" t="e">
        <v>#N/A</v>
      </c>
    </row>
    <row r="730" spans="22:22" x14ac:dyDescent="0.2">
      <c r="V730" t="e">
        <v>#N/A</v>
      </c>
    </row>
    <row r="731" spans="22:22" x14ac:dyDescent="0.2">
      <c r="V731" t="e">
        <v>#N/A</v>
      </c>
    </row>
    <row r="732" spans="22:22" x14ac:dyDescent="0.2">
      <c r="V732" t="e">
        <v>#N/A</v>
      </c>
    </row>
    <row r="733" spans="22:22" x14ac:dyDescent="0.2">
      <c r="V733" t="e">
        <v>#N/A</v>
      </c>
    </row>
    <row r="734" spans="22:22" x14ac:dyDescent="0.2">
      <c r="V734" t="e">
        <v>#N/A</v>
      </c>
    </row>
    <row r="735" spans="22:22" x14ac:dyDescent="0.2">
      <c r="V735" t="e">
        <v>#N/A</v>
      </c>
    </row>
    <row r="736" spans="22:22" x14ac:dyDescent="0.2">
      <c r="V736" t="e">
        <v>#N/A</v>
      </c>
    </row>
    <row r="737" spans="22:22" x14ac:dyDescent="0.2">
      <c r="V737" t="e">
        <v>#N/A</v>
      </c>
    </row>
    <row r="738" spans="22:22" x14ac:dyDescent="0.2">
      <c r="V738" t="e">
        <v>#N/A</v>
      </c>
    </row>
    <row r="739" spans="22:22" x14ac:dyDescent="0.2">
      <c r="V739" t="e">
        <v>#N/A</v>
      </c>
    </row>
    <row r="740" spans="22:22" x14ac:dyDescent="0.2">
      <c r="V740" t="e">
        <v>#N/A</v>
      </c>
    </row>
    <row r="741" spans="22:22" x14ac:dyDescent="0.2">
      <c r="V741" t="e">
        <v>#N/A</v>
      </c>
    </row>
    <row r="742" spans="22:22" x14ac:dyDescent="0.2">
      <c r="V742" t="e">
        <v>#N/A</v>
      </c>
    </row>
    <row r="743" spans="22:22" x14ac:dyDescent="0.2">
      <c r="V743" t="e">
        <v>#N/A</v>
      </c>
    </row>
    <row r="744" spans="22:22" x14ac:dyDescent="0.2">
      <c r="V744" t="e">
        <v>#N/A</v>
      </c>
    </row>
    <row r="745" spans="22:22" x14ac:dyDescent="0.2">
      <c r="V745" t="e">
        <v>#N/A</v>
      </c>
    </row>
    <row r="746" spans="22:22" x14ac:dyDescent="0.2">
      <c r="V746" t="e">
        <v>#N/A</v>
      </c>
    </row>
    <row r="747" spans="22:22" x14ac:dyDescent="0.2">
      <c r="V747" t="e">
        <v>#N/A</v>
      </c>
    </row>
    <row r="748" spans="22:22" x14ac:dyDescent="0.2">
      <c r="V748" t="e">
        <v>#N/A</v>
      </c>
    </row>
    <row r="749" spans="22:22" x14ac:dyDescent="0.2">
      <c r="V749" t="e">
        <v>#N/A</v>
      </c>
    </row>
    <row r="750" spans="22:22" x14ac:dyDescent="0.2">
      <c r="V750" t="e">
        <v>#N/A</v>
      </c>
    </row>
    <row r="751" spans="22:22" x14ac:dyDescent="0.2">
      <c r="V751" t="e">
        <v>#N/A</v>
      </c>
    </row>
    <row r="752" spans="22:22" x14ac:dyDescent="0.2">
      <c r="V752" t="e">
        <v>#N/A</v>
      </c>
    </row>
    <row r="753" spans="22:22" x14ac:dyDescent="0.2">
      <c r="V753" t="e">
        <v>#N/A</v>
      </c>
    </row>
    <row r="754" spans="22:22" x14ac:dyDescent="0.2">
      <c r="V754" t="e">
        <v>#N/A</v>
      </c>
    </row>
    <row r="755" spans="22:22" x14ac:dyDescent="0.2">
      <c r="V755" t="e">
        <v>#N/A</v>
      </c>
    </row>
    <row r="756" spans="22:22" x14ac:dyDescent="0.2">
      <c r="V756" t="e">
        <v>#N/A</v>
      </c>
    </row>
    <row r="757" spans="22:22" x14ac:dyDescent="0.2">
      <c r="V757" t="e">
        <v>#N/A</v>
      </c>
    </row>
    <row r="758" spans="22:22" x14ac:dyDescent="0.2">
      <c r="V758" t="e">
        <v>#N/A</v>
      </c>
    </row>
    <row r="759" spans="22:22" x14ac:dyDescent="0.2">
      <c r="V759" t="e">
        <v>#N/A</v>
      </c>
    </row>
    <row r="760" spans="22:22" x14ac:dyDescent="0.2">
      <c r="V760" t="e">
        <v>#N/A</v>
      </c>
    </row>
    <row r="761" spans="22:22" x14ac:dyDescent="0.2">
      <c r="V761" t="e">
        <v>#N/A</v>
      </c>
    </row>
    <row r="762" spans="22:22" x14ac:dyDescent="0.2">
      <c r="V762" t="e">
        <v>#N/A</v>
      </c>
    </row>
    <row r="763" spans="22:22" x14ac:dyDescent="0.2">
      <c r="V763" t="e">
        <v>#N/A</v>
      </c>
    </row>
    <row r="764" spans="22:22" x14ac:dyDescent="0.2">
      <c r="V764" t="e">
        <v>#N/A</v>
      </c>
    </row>
    <row r="765" spans="22:22" x14ac:dyDescent="0.2">
      <c r="V765" t="e">
        <v>#N/A</v>
      </c>
    </row>
    <row r="766" spans="22:22" x14ac:dyDescent="0.2">
      <c r="V766" t="e">
        <v>#N/A</v>
      </c>
    </row>
    <row r="767" spans="22:22" x14ac:dyDescent="0.2">
      <c r="V767" t="e">
        <v>#N/A</v>
      </c>
    </row>
    <row r="768" spans="22:22" x14ac:dyDescent="0.2">
      <c r="V768" t="e">
        <v>#N/A</v>
      </c>
    </row>
    <row r="769" spans="22:22" x14ac:dyDescent="0.2">
      <c r="V769" t="e">
        <v>#N/A</v>
      </c>
    </row>
    <row r="770" spans="22:22" x14ac:dyDescent="0.2">
      <c r="V770" t="e">
        <v>#N/A</v>
      </c>
    </row>
    <row r="771" spans="22:22" x14ac:dyDescent="0.2">
      <c r="V771" t="e">
        <v>#N/A</v>
      </c>
    </row>
    <row r="772" spans="22:22" x14ac:dyDescent="0.2">
      <c r="V772" t="e">
        <v>#N/A</v>
      </c>
    </row>
    <row r="773" spans="22:22" x14ac:dyDescent="0.2">
      <c r="V773" t="e">
        <v>#N/A</v>
      </c>
    </row>
    <row r="774" spans="22:22" x14ac:dyDescent="0.2">
      <c r="V774" t="e">
        <v>#N/A</v>
      </c>
    </row>
    <row r="775" spans="22:22" x14ac:dyDescent="0.2">
      <c r="V775" t="e">
        <v>#N/A</v>
      </c>
    </row>
    <row r="776" spans="22:22" x14ac:dyDescent="0.2">
      <c r="V776" t="e">
        <v>#N/A</v>
      </c>
    </row>
    <row r="777" spans="22:22" x14ac:dyDescent="0.2">
      <c r="V777" t="e">
        <v>#N/A</v>
      </c>
    </row>
    <row r="778" spans="22:22" x14ac:dyDescent="0.2">
      <c r="V778" t="e">
        <v>#N/A</v>
      </c>
    </row>
    <row r="779" spans="22:22" x14ac:dyDescent="0.2">
      <c r="V779" t="e">
        <v>#N/A</v>
      </c>
    </row>
    <row r="780" spans="22:22" x14ac:dyDescent="0.2">
      <c r="V780" t="e">
        <v>#N/A</v>
      </c>
    </row>
    <row r="781" spans="22:22" x14ac:dyDescent="0.2">
      <c r="V781" t="e">
        <v>#N/A</v>
      </c>
    </row>
    <row r="782" spans="22:22" x14ac:dyDescent="0.2">
      <c r="V782" t="e">
        <v>#N/A</v>
      </c>
    </row>
    <row r="783" spans="22:22" x14ac:dyDescent="0.2">
      <c r="V783" t="e">
        <v>#N/A</v>
      </c>
    </row>
    <row r="784" spans="22:22" x14ac:dyDescent="0.2">
      <c r="V784" t="e">
        <v>#N/A</v>
      </c>
    </row>
    <row r="785" spans="22:22" x14ac:dyDescent="0.2">
      <c r="V785" t="e">
        <v>#N/A</v>
      </c>
    </row>
    <row r="786" spans="22:22" x14ac:dyDescent="0.2">
      <c r="V786" t="e">
        <v>#N/A</v>
      </c>
    </row>
    <row r="787" spans="22:22" x14ac:dyDescent="0.2">
      <c r="V787" t="e">
        <v>#N/A</v>
      </c>
    </row>
    <row r="788" spans="22:22" x14ac:dyDescent="0.2">
      <c r="V788" t="e">
        <v>#N/A</v>
      </c>
    </row>
    <row r="789" spans="22:22" x14ac:dyDescent="0.2">
      <c r="V789" t="e">
        <v>#N/A</v>
      </c>
    </row>
    <row r="790" spans="22:22" x14ac:dyDescent="0.2">
      <c r="V790" t="e">
        <v>#N/A</v>
      </c>
    </row>
    <row r="791" spans="22:22" x14ac:dyDescent="0.2">
      <c r="V791" t="e">
        <v>#N/A</v>
      </c>
    </row>
    <row r="792" spans="22:22" x14ac:dyDescent="0.2">
      <c r="V792" t="e">
        <v>#N/A</v>
      </c>
    </row>
    <row r="793" spans="22:22" x14ac:dyDescent="0.2">
      <c r="V793" t="e">
        <v>#N/A</v>
      </c>
    </row>
    <row r="794" spans="22:22" x14ac:dyDescent="0.2">
      <c r="V794" t="e">
        <v>#N/A</v>
      </c>
    </row>
    <row r="795" spans="22:22" x14ac:dyDescent="0.2">
      <c r="V795" t="e">
        <v>#N/A</v>
      </c>
    </row>
    <row r="796" spans="22:22" x14ac:dyDescent="0.2">
      <c r="V796" t="e">
        <v>#N/A</v>
      </c>
    </row>
    <row r="797" spans="22:22" x14ac:dyDescent="0.2">
      <c r="V797" t="e">
        <v>#N/A</v>
      </c>
    </row>
    <row r="798" spans="22:22" x14ac:dyDescent="0.2">
      <c r="V798" t="e">
        <v>#N/A</v>
      </c>
    </row>
    <row r="799" spans="22:22" x14ac:dyDescent="0.2">
      <c r="V799" t="e">
        <v>#N/A</v>
      </c>
    </row>
    <row r="800" spans="22:22" x14ac:dyDescent="0.2">
      <c r="V800" t="e">
        <v>#N/A</v>
      </c>
    </row>
    <row r="801" spans="22:22" x14ac:dyDescent="0.2">
      <c r="V801" t="e">
        <v>#N/A</v>
      </c>
    </row>
    <row r="802" spans="22:22" x14ac:dyDescent="0.2">
      <c r="V802" t="e">
        <v>#N/A</v>
      </c>
    </row>
    <row r="803" spans="22:22" x14ac:dyDescent="0.2">
      <c r="V803" t="e">
        <v>#N/A</v>
      </c>
    </row>
    <row r="804" spans="22:22" x14ac:dyDescent="0.2">
      <c r="V804" t="e">
        <v>#N/A</v>
      </c>
    </row>
    <row r="805" spans="22:22" x14ac:dyDescent="0.2">
      <c r="V805" t="e">
        <v>#N/A</v>
      </c>
    </row>
    <row r="806" spans="22:22" x14ac:dyDescent="0.2">
      <c r="V806" t="e">
        <v>#N/A</v>
      </c>
    </row>
    <row r="807" spans="22:22" x14ac:dyDescent="0.2">
      <c r="V807" t="e">
        <v>#N/A</v>
      </c>
    </row>
    <row r="808" spans="22:22" x14ac:dyDescent="0.2">
      <c r="V808" t="e">
        <v>#N/A</v>
      </c>
    </row>
    <row r="809" spans="22:22" x14ac:dyDescent="0.2">
      <c r="V809" t="e">
        <v>#N/A</v>
      </c>
    </row>
    <row r="810" spans="22:22" x14ac:dyDescent="0.2">
      <c r="V810" t="e">
        <v>#N/A</v>
      </c>
    </row>
    <row r="811" spans="22:22" x14ac:dyDescent="0.2">
      <c r="V811" t="e">
        <v>#N/A</v>
      </c>
    </row>
    <row r="812" spans="22:22" x14ac:dyDescent="0.2">
      <c r="V812" t="e">
        <v>#N/A</v>
      </c>
    </row>
    <row r="813" spans="22:22" x14ac:dyDescent="0.2">
      <c r="V813" t="e">
        <v>#N/A</v>
      </c>
    </row>
    <row r="814" spans="22:22" x14ac:dyDescent="0.2">
      <c r="V814" t="e">
        <v>#N/A</v>
      </c>
    </row>
    <row r="815" spans="22:22" x14ac:dyDescent="0.2">
      <c r="V815" t="e">
        <v>#N/A</v>
      </c>
    </row>
    <row r="816" spans="22:22" x14ac:dyDescent="0.2">
      <c r="V816" t="e">
        <v>#N/A</v>
      </c>
    </row>
    <row r="817" spans="22:22" x14ac:dyDescent="0.2">
      <c r="V817" t="e">
        <v>#N/A</v>
      </c>
    </row>
    <row r="818" spans="22:22" x14ac:dyDescent="0.2">
      <c r="V818" t="e">
        <v>#N/A</v>
      </c>
    </row>
    <row r="819" spans="22:22" x14ac:dyDescent="0.2">
      <c r="V819" t="e">
        <v>#N/A</v>
      </c>
    </row>
    <row r="820" spans="22:22" x14ac:dyDescent="0.2">
      <c r="V820" t="e">
        <v>#N/A</v>
      </c>
    </row>
    <row r="821" spans="22:22" x14ac:dyDescent="0.2">
      <c r="V821" t="e">
        <v>#N/A</v>
      </c>
    </row>
    <row r="822" spans="22:22" x14ac:dyDescent="0.2">
      <c r="V822" t="e">
        <v>#N/A</v>
      </c>
    </row>
    <row r="823" spans="22:22" x14ac:dyDescent="0.2">
      <c r="V823" t="e">
        <v>#N/A</v>
      </c>
    </row>
    <row r="824" spans="22:22" x14ac:dyDescent="0.2">
      <c r="V824" t="e">
        <v>#N/A</v>
      </c>
    </row>
    <row r="825" spans="22:22" x14ac:dyDescent="0.2">
      <c r="V825" t="e">
        <v>#N/A</v>
      </c>
    </row>
    <row r="826" spans="22:22" x14ac:dyDescent="0.2">
      <c r="V826" t="e">
        <v>#N/A</v>
      </c>
    </row>
    <row r="827" spans="22:22" x14ac:dyDescent="0.2">
      <c r="V827" t="e">
        <v>#N/A</v>
      </c>
    </row>
    <row r="828" spans="22:22" x14ac:dyDescent="0.2">
      <c r="V828" t="e">
        <v>#N/A</v>
      </c>
    </row>
    <row r="829" spans="22:22" x14ac:dyDescent="0.2">
      <c r="V829" t="e">
        <v>#N/A</v>
      </c>
    </row>
    <row r="830" spans="22:22" x14ac:dyDescent="0.2">
      <c r="V830" t="e">
        <v>#N/A</v>
      </c>
    </row>
    <row r="831" spans="22:22" x14ac:dyDescent="0.2">
      <c r="V831" t="e">
        <v>#N/A</v>
      </c>
    </row>
    <row r="832" spans="22:22" x14ac:dyDescent="0.2">
      <c r="V832" t="e">
        <v>#N/A</v>
      </c>
    </row>
    <row r="833" spans="22:22" x14ac:dyDescent="0.2">
      <c r="V833" t="e">
        <v>#N/A</v>
      </c>
    </row>
    <row r="834" spans="22:22" x14ac:dyDescent="0.2">
      <c r="V834" t="e">
        <v>#N/A</v>
      </c>
    </row>
    <row r="835" spans="22:22" x14ac:dyDescent="0.2">
      <c r="V835" t="e">
        <v>#N/A</v>
      </c>
    </row>
    <row r="836" spans="22:22" x14ac:dyDescent="0.2">
      <c r="V836" t="e">
        <v>#N/A</v>
      </c>
    </row>
    <row r="837" spans="22:22" x14ac:dyDescent="0.2">
      <c r="V837" t="e">
        <v>#N/A</v>
      </c>
    </row>
    <row r="838" spans="22:22" x14ac:dyDescent="0.2">
      <c r="V838" t="e">
        <v>#N/A</v>
      </c>
    </row>
    <row r="839" spans="22:22" x14ac:dyDescent="0.2">
      <c r="V839" t="e">
        <v>#N/A</v>
      </c>
    </row>
    <row r="840" spans="22:22" x14ac:dyDescent="0.2">
      <c r="V840" t="e">
        <v>#N/A</v>
      </c>
    </row>
    <row r="841" spans="22:22" x14ac:dyDescent="0.2">
      <c r="V841" t="e">
        <v>#N/A</v>
      </c>
    </row>
    <row r="842" spans="22:22" x14ac:dyDescent="0.2">
      <c r="V842" t="e">
        <v>#N/A</v>
      </c>
    </row>
    <row r="843" spans="22:22" x14ac:dyDescent="0.2">
      <c r="V843" t="e">
        <v>#N/A</v>
      </c>
    </row>
    <row r="844" spans="22:22" x14ac:dyDescent="0.2">
      <c r="V844" t="e">
        <v>#N/A</v>
      </c>
    </row>
    <row r="845" spans="22:22" x14ac:dyDescent="0.2">
      <c r="V845" t="e">
        <v>#N/A</v>
      </c>
    </row>
    <row r="846" spans="22:22" x14ac:dyDescent="0.2">
      <c r="V846" t="e">
        <v>#N/A</v>
      </c>
    </row>
    <row r="847" spans="22:22" x14ac:dyDescent="0.2">
      <c r="V847" t="e">
        <v>#N/A</v>
      </c>
    </row>
    <row r="848" spans="22:22" x14ac:dyDescent="0.2">
      <c r="V848" t="e">
        <v>#N/A</v>
      </c>
    </row>
    <row r="849" spans="22:22" x14ac:dyDescent="0.2">
      <c r="V849" t="e">
        <v>#N/A</v>
      </c>
    </row>
    <row r="850" spans="22:22" x14ac:dyDescent="0.2">
      <c r="V850" t="e">
        <v>#N/A</v>
      </c>
    </row>
    <row r="851" spans="22:22" x14ac:dyDescent="0.2">
      <c r="V851" t="e">
        <v>#N/A</v>
      </c>
    </row>
    <row r="852" spans="22:22" x14ac:dyDescent="0.2">
      <c r="V852" t="e">
        <v>#N/A</v>
      </c>
    </row>
    <row r="853" spans="22:22" x14ac:dyDescent="0.2">
      <c r="V853" t="e">
        <v>#N/A</v>
      </c>
    </row>
    <row r="854" spans="22:22" x14ac:dyDescent="0.2">
      <c r="V854" t="e">
        <v>#N/A</v>
      </c>
    </row>
    <row r="855" spans="22:22" x14ac:dyDescent="0.2">
      <c r="V855" t="e">
        <v>#N/A</v>
      </c>
    </row>
    <row r="856" spans="22:22" x14ac:dyDescent="0.2">
      <c r="V856" t="e">
        <v>#N/A</v>
      </c>
    </row>
    <row r="857" spans="22:22" x14ac:dyDescent="0.2">
      <c r="V857" t="e">
        <v>#N/A</v>
      </c>
    </row>
    <row r="858" spans="22:22" x14ac:dyDescent="0.2">
      <c r="V858" t="e">
        <v>#N/A</v>
      </c>
    </row>
    <row r="859" spans="22:22" x14ac:dyDescent="0.2">
      <c r="V859" t="e">
        <v>#N/A</v>
      </c>
    </row>
    <row r="860" spans="22:22" x14ac:dyDescent="0.2">
      <c r="V860" t="e">
        <v>#N/A</v>
      </c>
    </row>
    <row r="861" spans="22:22" x14ac:dyDescent="0.2">
      <c r="V861" t="e">
        <v>#N/A</v>
      </c>
    </row>
    <row r="862" spans="22:22" x14ac:dyDescent="0.2">
      <c r="V862" t="e">
        <v>#N/A</v>
      </c>
    </row>
    <row r="863" spans="22:22" x14ac:dyDescent="0.2">
      <c r="V863" t="e">
        <v>#N/A</v>
      </c>
    </row>
    <row r="864" spans="22:22" x14ac:dyDescent="0.2">
      <c r="V864" t="e">
        <v>#N/A</v>
      </c>
    </row>
    <row r="865" spans="22:22" x14ac:dyDescent="0.2">
      <c r="V865" t="e">
        <v>#N/A</v>
      </c>
    </row>
    <row r="866" spans="22:22" x14ac:dyDescent="0.2">
      <c r="V866" t="e">
        <v>#N/A</v>
      </c>
    </row>
    <row r="867" spans="22:22" x14ac:dyDescent="0.2">
      <c r="V867" t="e">
        <v>#N/A</v>
      </c>
    </row>
    <row r="868" spans="22:22" x14ac:dyDescent="0.2">
      <c r="V868" t="e">
        <v>#N/A</v>
      </c>
    </row>
    <row r="869" spans="22:22" x14ac:dyDescent="0.2">
      <c r="V869" t="e">
        <v>#N/A</v>
      </c>
    </row>
    <row r="870" spans="22:22" x14ac:dyDescent="0.2">
      <c r="V870" t="e">
        <v>#N/A</v>
      </c>
    </row>
    <row r="871" spans="22:22" x14ac:dyDescent="0.2">
      <c r="V871" t="e">
        <v>#N/A</v>
      </c>
    </row>
    <row r="872" spans="22:22" x14ac:dyDescent="0.2">
      <c r="V872" t="e">
        <v>#N/A</v>
      </c>
    </row>
    <row r="873" spans="22:22" x14ac:dyDescent="0.2">
      <c r="V873" t="e">
        <v>#N/A</v>
      </c>
    </row>
    <row r="874" spans="22:22" x14ac:dyDescent="0.2">
      <c r="V874" t="e">
        <v>#N/A</v>
      </c>
    </row>
    <row r="875" spans="22:22" x14ac:dyDescent="0.2">
      <c r="V875" t="e">
        <v>#N/A</v>
      </c>
    </row>
    <row r="876" spans="22:22" x14ac:dyDescent="0.2">
      <c r="V876" t="e">
        <v>#N/A</v>
      </c>
    </row>
    <row r="877" spans="22:22" x14ac:dyDescent="0.2">
      <c r="V877" t="e">
        <v>#N/A</v>
      </c>
    </row>
    <row r="878" spans="22:22" x14ac:dyDescent="0.2">
      <c r="V878" t="e">
        <v>#N/A</v>
      </c>
    </row>
    <row r="879" spans="22:22" x14ac:dyDescent="0.2">
      <c r="V879" t="e">
        <v>#N/A</v>
      </c>
    </row>
    <row r="880" spans="22:22" x14ac:dyDescent="0.2">
      <c r="V880" t="e">
        <v>#N/A</v>
      </c>
    </row>
    <row r="881" spans="22:22" x14ac:dyDescent="0.2">
      <c r="V881" t="e">
        <v>#N/A</v>
      </c>
    </row>
    <row r="882" spans="22:22" x14ac:dyDescent="0.2">
      <c r="V882" t="e">
        <v>#N/A</v>
      </c>
    </row>
    <row r="883" spans="22:22" x14ac:dyDescent="0.2">
      <c r="V883" t="e">
        <v>#N/A</v>
      </c>
    </row>
    <row r="884" spans="22:22" x14ac:dyDescent="0.2">
      <c r="V884" t="e">
        <v>#N/A</v>
      </c>
    </row>
    <row r="885" spans="22:22" x14ac:dyDescent="0.2">
      <c r="V885" t="e">
        <v>#N/A</v>
      </c>
    </row>
    <row r="886" spans="22:22" x14ac:dyDescent="0.2">
      <c r="V886" t="e">
        <v>#N/A</v>
      </c>
    </row>
    <row r="887" spans="22:22" x14ac:dyDescent="0.2">
      <c r="V887" t="e">
        <v>#N/A</v>
      </c>
    </row>
    <row r="888" spans="22:22" x14ac:dyDescent="0.2">
      <c r="V888" t="e">
        <v>#N/A</v>
      </c>
    </row>
    <row r="889" spans="22:22" x14ac:dyDescent="0.2">
      <c r="V889" t="e">
        <v>#N/A</v>
      </c>
    </row>
    <row r="890" spans="22:22" x14ac:dyDescent="0.2">
      <c r="V890" t="e">
        <v>#N/A</v>
      </c>
    </row>
    <row r="891" spans="22:22" x14ac:dyDescent="0.2">
      <c r="V891" t="e">
        <v>#N/A</v>
      </c>
    </row>
    <row r="892" spans="22:22" x14ac:dyDescent="0.2">
      <c r="V892" t="e">
        <v>#N/A</v>
      </c>
    </row>
    <row r="893" spans="22:22" x14ac:dyDescent="0.2">
      <c r="V893" t="e">
        <v>#N/A</v>
      </c>
    </row>
    <row r="894" spans="22:22" x14ac:dyDescent="0.2">
      <c r="V894" t="e">
        <v>#N/A</v>
      </c>
    </row>
    <row r="895" spans="22:22" x14ac:dyDescent="0.2">
      <c r="V895" t="e">
        <v>#N/A</v>
      </c>
    </row>
    <row r="896" spans="22:22" x14ac:dyDescent="0.2">
      <c r="V896" t="e">
        <v>#N/A</v>
      </c>
    </row>
    <row r="897" spans="22:22" x14ac:dyDescent="0.2">
      <c r="V897" t="e">
        <v>#N/A</v>
      </c>
    </row>
    <row r="898" spans="22:22" x14ac:dyDescent="0.2">
      <c r="V898" t="e">
        <v>#N/A</v>
      </c>
    </row>
    <row r="899" spans="22:22" x14ac:dyDescent="0.2">
      <c r="V899" t="e">
        <v>#N/A</v>
      </c>
    </row>
    <row r="900" spans="22:22" x14ac:dyDescent="0.2">
      <c r="V900" t="e">
        <v>#N/A</v>
      </c>
    </row>
    <row r="901" spans="22:22" x14ac:dyDescent="0.2">
      <c r="V901" t="e">
        <v>#N/A</v>
      </c>
    </row>
    <row r="902" spans="22:22" x14ac:dyDescent="0.2">
      <c r="V902" t="e">
        <v>#N/A</v>
      </c>
    </row>
    <row r="903" spans="22:22" x14ac:dyDescent="0.2">
      <c r="V903" t="e">
        <v>#N/A</v>
      </c>
    </row>
    <row r="904" spans="22:22" x14ac:dyDescent="0.2">
      <c r="V904" t="e">
        <v>#N/A</v>
      </c>
    </row>
    <row r="905" spans="22:22" x14ac:dyDescent="0.2">
      <c r="V905" t="e">
        <v>#N/A</v>
      </c>
    </row>
    <row r="906" spans="22:22" x14ac:dyDescent="0.2">
      <c r="V906" t="e">
        <v>#N/A</v>
      </c>
    </row>
    <row r="907" spans="22:22" x14ac:dyDescent="0.2">
      <c r="V907" t="e">
        <v>#N/A</v>
      </c>
    </row>
    <row r="908" spans="22:22" x14ac:dyDescent="0.2">
      <c r="V908" t="e">
        <v>#N/A</v>
      </c>
    </row>
    <row r="909" spans="22:22" x14ac:dyDescent="0.2">
      <c r="V909" t="e">
        <v>#N/A</v>
      </c>
    </row>
    <row r="910" spans="22:22" x14ac:dyDescent="0.2">
      <c r="V910" t="e">
        <v>#N/A</v>
      </c>
    </row>
    <row r="911" spans="22:22" x14ac:dyDescent="0.2">
      <c r="V911" t="e">
        <v>#N/A</v>
      </c>
    </row>
    <row r="912" spans="22:22" x14ac:dyDescent="0.2">
      <c r="V912" t="e">
        <v>#N/A</v>
      </c>
    </row>
    <row r="913" spans="22:22" x14ac:dyDescent="0.2">
      <c r="V913" t="e">
        <v>#N/A</v>
      </c>
    </row>
    <row r="914" spans="22:22" x14ac:dyDescent="0.2">
      <c r="V914" t="e">
        <v>#N/A</v>
      </c>
    </row>
    <row r="915" spans="22:22" x14ac:dyDescent="0.2">
      <c r="V915" t="e">
        <v>#N/A</v>
      </c>
    </row>
    <row r="916" spans="22:22" x14ac:dyDescent="0.2">
      <c r="V916" t="e">
        <v>#N/A</v>
      </c>
    </row>
    <row r="917" spans="22:22" x14ac:dyDescent="0.2">
      <c r="V917" t="e">
        <v>#N/A</v>
      </c>
    </row>
    <row r="918" spans="22:22" x14ac:dyDescent="0.2">
      <c r="V918" t="e">
        <v>#N/A</v>
      </c>
    </row>
    <row r="919" spans="22:22" x14ac:dyDescent="0.2">
      <c r="V919" t="e">
        <v>#N/A</v>
      </c>
    </row>
    <row r="920" spans="22:22" x14ac:dyDescent="0.2">
      <c r="V920" t="e">
        <v>#N/A</v>
      </c>
    </row>
    <row r="921" spans="22:22" x14ac:dyDescent="0.2">
      <c r="V921" t="e">
        <v>#N/A</v>
      </c>
    </row>
    <row r="922" spans="22:22" x14ac:dyDescent="0.2">
      <c r="V922" t="e">
        <v>#N/A</v>
      </c>
    </row>
    <row r="923" spans="22:22" x14ac:dyDescent="0.2">
      <c r="V923" t="e">
        <v>#N/A</v>
      </c>
    </row>
    <row r="924" spans="22:22" x14ac:dyDescent="0.2">
      <c r="V924" t="e">
        <v>#N/A</v>
      </c>
    </row>
    <row r="925" spans="22:22" x14ac:dyDescent="0.2">
      <c r="V925" t="e">
        <v>#N/A</v>
      </c>
    </row>
    <row r="926" spans="22:22" x14ac:dyDescent="0.2">
      <c r="V926" t="e">
        <v>#N/A</v>
      </c>
    </row>
    <row r="927" spans="22:22" x14ac:dyDescent="0.2">
      <c r="V927" t="e">
        <v>#N/A</v>
      </c>
    </row>
    <row r="928" spans="22:22" x14ac:dyDescent="0.2">
      <c r="V928" t="e">
        <v>#N/A</v>
      </c>
    </row>
    <row r="929" spans="22:22" x14ac:dyDescent="0.2">
      <c r="V929" t="e">
        <v>#N/A</v>
      </c>
    </row>
    <row r="930" spans="22:22" x14ac:dyDescent="0.2">
      <c r="V930" t="e">
        <v>#N/A</v>
      </c>
    </row>
    <row r="931" spans="22:22" x14ac:dyDescent="0.2">
      <c r="V931" t="e">
        <v>#N/A</v>
      </c>
    </row>
    <row r="932" spans="22:22" x14ac:dyDescent="0.2">
      <c r="V932" t="e">
        <v>#N/A</v>
      </c>
    </row>
    <row r="933" spans="22:22" x14ac:dyDescent="0.2">
      <c r="V933" t="e">
        <v>#N/A</v>
      </c>
    </row>
    <row r="934" spans="22:22" x14ac:dyDescent="0.2">
      <c r="V934" t="e">
        <v>#N/A</v>
      </c>
    </row>
    <row r="935" spans="22:22" x14ac:dyDescent="0.2">
      <c r="V935" t="e">
        <v>#N/A</v>
      </c>
    </row>
    <row r="936" spans="22:22" x14ac:dyDescent="0.2">
      <c r="V936" t="e">
        <v>#N/A</v>
      </c>
    </row>
    <row r="937" spans="22:22" x14ac:dyDescent="0.2">
      <c r="V937" t="e">
        <v>#N/A</v>
      </c>
    </row>
    <row r="938" spans="22:22" x14ac:dyDescent="0.2">
      <c r="V938" t="e">
        <v>#N/A</v>
      </c>
    </row>
    <row r="939" spans="22:22" x14ac:dyDescent="0.2">
      <c r="V939" t="e">
        <v>#N/A</v>
      </c>
    </row>
    <row r="940" spans="22:22" x14ac:dyDescent="0.2">
      <c r="V940" t="e">
        <v>#N/A</v>
      </c>
    </row>
    <row r="941" spans="22:22" x14ac:dyDescent="0.2">
      <c r="V941" t="e">
        <v>#N/A</v>
      </c>
    </row>
    <row r="942" spans="22:22" x14ac:dyDescent="0.2">
      <c r="V942" t="e">
        <v>#N/A</v>
      </c>
    </row>
    <row r="943" spans="22:22" x14ac:dyDescent="0.2">
      <c r="V943" t="e">
        <v>#N/A</v>
      </c>
    </row>
    <row r="944" spans="22:22" x14ac:dyDescent="0.2">
      <c r="V944" t="e">
        <v>#N/A</v>
      </c>
    </row>
    <row r="945" spans="22:22" x14ac:dyDescent="0.2">
      <c r="V945" t="e">
        <v>#N/A</v>
      </c>
    </row>
    <row r="946" spans="22:22" x14ac:dyDescent="0.2">
      <c r="V946" t="e">
        <v>#N/A</v>
      </c>
    </row>
    <row r="947" spans="22:22" x14ac:dyDescent="0.2">
      <c r="V947" t="e">
        <v>#N/A</v>
      </c>
    </row>
    <row r="948" spans="22:22" x14ac:dyDescent="0.2">
      <c r="V948" t="e">
        <v>#N/A</v>
      </c>
    </row>
    <row r="949" spans="22:22" x14ac:dyDescent="0.2">
      <c r="V949" t="e">
        <v>#N/A</v>
      </c>
    </row>
    <row r="950" spans="22:22" x14ac:dyDescent="0.2">
      <c r="V950" t="e">
        <v>#N/A</v>
      </c>
    </row>
    <row r="951" spans="22:22" x14ac:dyDescent="0.2">
      <c r="V951" t="e">
        <v>#N/A</v>
      </c>
    </row>
    <row r="952" spans="22:22" x14ac:dyDescent="0.2">
      <c r="V952" t="e">
        <v>#N/A</v>
      </c>
    </row>
    <row r="953" spans="22:22" x14ac:dyDescent="0.2">
      <c r="V953" t="e">
        <v>#N/A</v>
      </c>
    </row>
    <row r="954" spans="22:22" x14ac:dyDescent="0.2">
      <c r="V954" t="e">
        <v>#N/A</v>
      </c>
    </row>
    <row r="955" spans="22:22" x14ac:dyDescent="0.2">
      <c r="V955" t="e">
        <v>#N/A</v>
      </c>
    </row>
    <row r="956" spans="22:22" x14ac:dyDescent="0.2">
      <c r="V956" t="e">
        <v>#N/A</v>
      </c>
    </row>
    <row r="957" spans="22:22" x14ac:dyDescent="0.2">
      <c r="V957" t="e">
        <v>#N/A</v>
      </c>
    </row>
    <row r="958" spans="22:22" x14ac:dyDescent="0.2">
      <c r="V958" t="e">
        <v>#N/A</v>
      </c>
    </row>
    <row r="959" spans="22:22" x14ac:dyDescent="0.2">
      <c r="V959" t="e">
        <v>#N/A</v>
      </c>
    </row>
    <row r="960" spans="22:22" x14ac:dyDescent="0.2">
      <c r="V960" t="e">
        <v>#N/A</v>
      </c>
    </row>
    <row r="961" spans="22:22" x14ac:dyDescent="0.2">
      <c r="V961" t="e">
        <v>#N/A</v>
      </c>
    </row>
    <row r="962" spans="22:22" x14ac:dyDescent="0.2">
      <c r="V962" t="e">
        <v>#N/A</v>
      </c>
    </row>
    <row r="963" spans="22:22" x14ac:dyDescent="0.2">
      <c r="V963" t="e">
        <v>#N/A</v>
      </c>
    </row>
    <row r="964" spans="22:22" x14ac:dyDescent="0.2">
      <c r="V964" t="e">
        <v>#N/A</v>
      </c>
    </row>
    <row r="965" spans="22:22" x14ac:dyDescent="0.2">
      <c r="V965" t="e">
        <v>#N/A</v>
      </c>
    </row>
    <row r="966" spans="22:22" x14ac:dyDescent="0.2">
      <c r="V966" t="e">
        <v>#N/A</v>
      </c>
    </row>
    <row r="967" spans="22:22" x14ac:dyDescent="0.2">
      <c r="V967" t="e">
        <v>#N/A</v>
      </c>
    </row>
    <row r="968" spans="22:22" x14ac:dyDescent="0.2">
      <c r="V968" t="e">
        <v>#N/A</v>
      </c>
    </row>
    <row r="969" spans="22:22" x14ac:dyDescent="0.2">
      <c r="V969" t="e">
        <v>#N/A</v>
      </c>
    </row>
    <row r="970" spans="22:22" x14ac:dyDescent="0.2">
      <c r="V970" t="e">
        <v>#N/A</v>
      </c>
    </row>
    <row r="971" spans="22:22" x14ac:dyDescent="0.2">
      <c r="V971" t="e">
        <v>#N/A</v>
      </c>
    </row>
    <row r="972" spans="22:22" x14ac:dyDescent="0.2">
      <c r="V972" t="e">
        <v>#N/A</v>
      </c>
    </row>
    <row r="973" spans="22:22" x14ac:dyDescent="0.2">
      <c r="V973" t="e">
        <v>#N/A</v>
      </c>
    </row>
    <row r="974" spans="22:22" x14ac:dyDescent="0.2">
      <c r="V974" t="e">
        <v>#N/A</v>
      </c>
    </row>
    <row r="975" spans="22:22" x14ac:dyDescent="0.2">
      <c r="V975" t="e">
        <v>#N/A</v>
      </c>
    </row>
    <row r="976" spans="22:22" x14ac:dyDescent="0.2">
      <c r="V976" t="e">
        <v>#N/A</v>
      </c>
    </row>
    <row r="977" spans="22:22" x14ac:dyDescent="0.2">
      <c r="V977" t="e">
        <v>#N/A</v>
      </c>
    </row>
    <row r="978" spans="22:22" x14ac:dyDescent="0.2">
      <c r="V978" t="e">
        <v>#N/A</v>
      </c>
    </row>
    <row r="979" spans="22:22" x14ac:dyDescent="0.2">
      <c r="V979" t="e">
        <v>#N/A</v>
      </c>
    </row>
    <row r="980" spans="22:22" x14ac:dyDescent="0.2">
      <c r="V980" t="e">
        <v>#N/A</v>
      </c>
    </row>
    <row r="981" spans="22:22" x14ac:dyDescent="0.2">
      <c r="V981" t="e">
        <v>#N/A</v>
      </c>
    </row>
    <row r="982" spans="22:22" x14ac:dyDescent="0.2">
      <c r="V982" t="e">
        <v>#N/A</v>
      </c>
    </row>
    <row r="983" spans="22:22" x14ac:dyDescent="0.2">
      <c r="V983" t="e">
        <v>#N/A</v>
      </c>
    </row>
    <row r="984" spans="22:22" x14ac:dyDescent="0.2">
      <c r="V984" t="e">
        <v>#N/A</v>
      </c>
    </row>
    <row r="985" spans="22:22" x14ac:dyDescent="0.2">
      <c r="V985" t="e">
        <v>#N/A</v>
      </c>
    </row>
    <row r="986" spans="22:22" x14ac:dyDescent="0.2">
      <c r="V986" t="e">
        <v>#N/A</v>
      </c>
    </row>
    <row r="987" spans="22:22" x14ac:dyDescent="0.2">
      <c r="V987" t="e">
        <v>#N/A</v>
      </c>
    </row>
    <row r="988" spans="22:22" x14ac:dyDescent="0.2">
      <c r="V988" t="e">
        <v>#N/A</v>
      </c>
    </row>
    <row r="989" spans="22:22" x14ac:dyDescent="0.2">
      <c r="V989" t="e">
        <v>#N/A</v>
      </c>
    </row>
    <row r="990" spans="22:22" x14ac:dyDescent="0.2">
      <c r="V990" t="e">
        <v>#N/A</v>
      </c>
    </row>
    <row r="991" spans="22:22" x14ac:dyDescent="0.2">
      <c r="V991" t="e">
        <v>#N/A</v>
      </c>
    </row>
    <row r="992" spans="22:22" x14ac:dyDescent="0.2">
      <c r="V992" t="e">
        <v>#N/A</v>
      </c>
    </row>
    <row r="993" spans="22:22" x14ac:dyDescent="0.2">
      <c r="V993" t="e">
        <v>#N/A</v>
      </c>
    </row>
    <row r="994" spans="22:22" x14ac:dyDescent="0.2">
      <c r="V994" t="e">
        <v>#N/A</v>
      </c>
    </row>
    <row r="995" spans="22:22" x14ac:dyDescent="0.2">
      <c r="V995" t="e">
        <v>#N/A</v>
      </c>
    </row>
    <row r="996" spans="22:22" x14ac:dyDescent="0.2">
      <c r="V996" t="e">
        <v>#N/A</v>
      </c>
    </row>
    <row r="997" spans="22:22" x14ac:dyDescent="0.2">
      <c r="V997" t="e">
        <v>#N/A</v>
      </c>
    </row>
    <row r="998" spans="22:22" x14ac:dyDescent="0.2">
      <c r="V998" t="e">
        <v>#N/A</v>
      </c>
    </row>
    <row r="999" spans="22:22" x14ac:dyDescent="0.2">
      <c r="V999" t="e">
        <v>#N/A</v>
      </c>
    </row>
    <row r="1000" spans="22:22" x14ac:dyDescent="0.2">
      <c r="V1000" t="e">
        <v>#N/A</v>
      </c>
    </row>
  </sheetData>
  <autoFilter ref="A2:V434" xr:uid="{00000000-0001-0000-0000-000000000000}"/>
  <phoneticPr fontId="13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02E6-A021-4645-855D-8736CD5CCB89}">
  <dimension ref="A1:W451"/>
  <sheetViews>
    <sheetView workbookViewId="0">
      <pane xSplit="1" ySplit="1" topLeftCell="B406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baseColWidth="10" defaultColWidth="10.83203125" defaultRowHeight="15" x14ac:dyDescent="0.2"/>
  <cols>
    <col min="1" max="1" width="18.5" bestFit="1" customWidth="1"/>
    <col min="2" max="2" width="14.1640625" bestFit="1" customWidth="1"/>
    <col min="3" max="3" width="25.6640625" bestFit="1" customWidth="1"/>
    <col min="4" max="4" width="51.33203125" bestFit="1" customWidth="1"/>
    <col min="5" max="5" width="14.33203125" bestFit="1" customWidth="1"/>
    <col min="6" max="6" width="10" bestFit="1" customWidth="1"/>
    <col min="7" max="7" width="10.1640625" bestFit="1" customWidth="1"/>
    <col min="8" max="8" width="14" bestFit="1" customWidth="1"/>
    <col min="9" max="9" width="34.5" bestFit="1" customWidth="1"/>
    <col min="10" max="10" width="10.1640625" bestFit="1" customWidth="1"/>
    <col min="11" max="11" width="7.1640625" bestFit="1" customWidth="1"/>
    <col min="12" max="12" width="9.1640625" bestFit="1" customWidth="1"/>
    <col min="13" max="13" width="8.6640625" bestFit="1" customWidth="1"/>
    <col min="14" max="14" width="9" bestFit="1" customWidth="1"/>
    <col min="15" max="15" width="8.83203125" bestFit="1" customWidth="1"/>
    <col min="16" max="16" width="11" bestFit="1" customWidth="1"/>
    <col min="17" max="17" width="7.5" bestFit="1" customWidth="1"/>
    <col min="18" max="18" width="10" bestFit="1" customWidth="1"/>
    <col min="19" max="19" width="9.6640625" bestFit="1" customWidth="1"/>
  </cols>
  <sheetData>
    <row r="1" spans="1:23" ht="42" x14ac:dyDescent="0.2">
      <c r="A1" s="2" t="s">
        <v>299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309</v>
      </c>
      <c r="L1" s="2" t="s">
        <v>310</v>
      </c>
      <c r="M1" s="2" t="s">
        <v>311</v>
      </c>
      <c r="N1" s="2" t="s">
        <v>312</v>
      </c>
      <c r="O1" s="2" t="s">
        <v>313</v>
      </c>
      <c r="P1" s="2" t="s">
        <v>314</v>
      </c>
      <c r="Q1" s="3" t="s">
        <v>315</v>
      </c>
      <c r="R1" s="3" t="s">
        <v>538</v>
      </c>
      <c r="S1" s="46" t="s">
        <v>536</v>
      </c>
      <c r="T1" s="46" t="s">
        <v>537</v>
      </c>
      <c r="U1" s="46" t="s">
        <v>540</v>
      </c>
      <c r="V1" s="46" t="s">
        <v>539</v>
      </c>
      <c r="W1" s="4" t="s">
        <v>534</v>
      </c>
    </row>
    <row r="2" spans="1:23" ht="16" x14ac:dyDescent="0.2">
      <c r="A2" s="5" t="str">
        <f xml:space="preserve"> B2&amp; "_" &amp; LEFT(N2,3)</f>
        <v>8905202269090_Whi</v>
      </c>
      <c r="B2" s="17">
        <v>8905202269090</v>
      </c>
      <c r="C2" s="6" t="str">
        <f>B2 &amp; "_" &amp; LEFT(N2,3) &amp; "_" &amp; O2</f>
        <v>8905202269090_Whi_S</v>
      </c>
      <c r="D2" s="7" t="s">
        <v>316</v>
      </c>
      <c r="E2" s="8" t="s">
        <v>27</v>
      </c>
      <c r="F2" t="s">
        <v>26</v>
      </c>
      <c r="G2" s="9" t="s">
        <v>317</v>
      </c>
      <c r="H2" s="9" t="s">
        <v>318</v>
      </c>
      <c r="I2" t="s">
        <v>319</v>
      </c>
      <c r="J2" s="18">
        <v>3495</v>
      </c>
      <c r="K2" s="18">
        <v>3495</v>
      </c>
      <c r="L2" s="8">
        <v>61034200</v>
      </c>
      <c r="M2" s="6">
        <v>18</v>
      </c>
      <c r="N2" s="19" t="s">
        <v>320</v>
      </c>
      <c r="O2" s="8" t="s">
        <v>54</v>
      </c>
      <c r="P2" s="20" t="s">
        <v>320</v>
      </c>
      <c r="Q2" s="6" t="s">
        <v>321</v>
      </c>
      <c r="R2" s="21"/>
      <c r="S2" s="10"/>
    </row>
    <row r="3" spans="1:23" ht="16" x14ac:dyDescent="0.2">
      <c r="A3" s="5" t="str">
        <f t="shared" ref="A3:A66" si="0" xml:space="preserve"> B3&amp; "_" &amp; LEFT(N3,3)</f>
        <v>8905202269083_Whi</v>
      </c>
      <c r="B3" s="17">
        <v>8905202269083</v>
      </c>
      <c r="C3" s="6" t="str">
        <f t="shared" ref="C3:C66" si="1">B3 &amp; "_" &amp; LEFT(N3,3) &amp; "_" &amp; O3</f>
        <v>8905202269083_Whi_M</v>
      </c>
      <c r="D3" s="7" t="s">
        <v>316</v>
      </c>
      <c r="E3" s="8" t="s">
        <v>27</v>
      </c>
      <c r="F3" t="s">
        <v>26</v>
      </c>
      <c r="G3" s="9" t="s">
        <v>317</v>
      </c>
      <c r="H3" s="9" t="s">
        <v>318</v>
      </c>
      <c r="I3" t="s">
        <v>319</v>
      </c>
      <c r="J3" s="18">
        <v>3495</v>
      </c>
      <c r="K3" s="18">
        <v>3495</v>
      </c>
      <c r="L3" s="8">
        <v>61034200</v>
      </c>
      <c r="M3" s="6">
        <v>18</v>
      </c>
      <c r="N3" s="19" t="s">
        <v>320</v>
      </c>
      <c r="O3" s="8" t="s">
        <v>61</v>
      </c>
      <c r="P3" s="20" t="s">
        <v>320</v>
      </c>
      <c r="Q3" s="6" t="s">
        <v>321</v>
      </c>
      <c r="R3" s="21"/>
      <c r="S3" s="10"/>
    </row>
    <row r="4" spans="1:23" ht="16" x14ac:dyDescent="0.2">
      <c r="A4" s="5" t="str">
        <f t="shared" si="0"/>
        <v>8905202269076_Whi</v>
      </c>
      <c r="B4" s="17">
        <v>8905202269076</v>
      </c>
      <c r="C4" s="6" t="str">
        <f t="shared" si="1"/>
        <v>8905202269076_Whi_L</v>
      </c>
      <c r="D4" s="7" t="s">
        <v>316</v>
      </c>
      <c r="E4" s="8" t="s">
        <v>27</v>
      </c>
      <c r="F4" t="s">
        <v>26</v>
      </c>
      <c r="G4" s="9" t="s">
        <v>317</v>
      </c>
      <c r="H4" s="9" t="s">
        <v>318</v>
      </c>
      <c r="I4" t="s">
        <v>319</v>
      </c>
      <c r="J4" s="18">
        <v>3495</v>
      </c>
      <c r="K4" s="18">
        <v>3495</v>
      </c>
      <c r="L4" s="8">
        <v>61034200</v>
      </c>
      <c r="M4" s="6">
        <v>18</v>
      </c>
      <c r="N4" s="19" t="s">
        <v>320</v>
      </c>
      <c r="O4" s="8" t="s">
        <v>44</v>
      </c>
      <c r="P4" s="20" t="s">
        <v>320</v>
      </c>
      <c r="Q4" s="6" t="s">
        <v>321</v>
      </c>
      <c r="R4" s="21"/>
      <c r="S4" s="10"/>
    </row>
    <row r="5" spans="1:23" ht="16" x14ac:dyDescent="0.2">
      <c r="A5" s="5" t="str">
        <f t="shared" si="0"/>
        <v>8905202269106_Whi</v>
      </c>
      <c r="B5" s="17">
        <v>8905202269106</v>
      </c>
      <c r="C5" s="6" t="str">
        <f t="shared" si="1"/>
        <v>8905202269106_Whi_XL</v>
      </c>
      <c r="D5" s="7" t="s">
        <v>316</v>
      </c>
      <c r="E5" s="8" t="s">
        <v>27</v>
      </c>
      <c r="F5" t="s">
        <v>26</v>
      </c>
      <c r="G5" s="9" t="s">
        <v>317</v>
      </c>
      <c r="H5" s="9" t="s">
        <v>318</v>
      </c>
      <c r="I5" t="s">
        <v>319</v>
      </c>
      <c r="J5" s="18">
        <v>3495</v>
      </c>
      <c r="K5" s="18">
        <v>3495</v>
      </c>
      <c r="L5" s="8">
        <v>61034200</v>
      </c>
      <c r="M5" s="6">
        <v>18</v>
      </c>
      <c r="N5" s="19" t="s">
        <v>320</v>
      </c>
      <c r="O5" s="8" t="s">
        <v>38</v>
      </c>
      <c r="P5" s="20" t="s">
        <v>320</v>
      </c>
      <c r="Q5" s="6" t="s">
        <v>321</v>
      </c>
      <c r="R5" s="21"/>
      <c r="S5" s="10"/>
    </row>
    <row r="6" spans="1:23" ht="16" x14ac:dyDescent="0.2">
      <c r="A6" s="5" t="str">
        <f t="shared" si="0"/>
        <v>8905202269113_Whi</v>
      </c>
      <c r="B6" s="17">
        <v>8905202269113</v>
      </c>
      <c r="C6" s="6" t="str">
        <f t="shared" si="1"/>
        <v>8905202269113_Whi_XXL</v>
      </c>
      <c r="D6" s="7" t="s">
        <v>316</v>
      </c>
      <c r="E6" s="8" t="s">
        <v>27</v>
      </c>
      <c r="F6" t="s">
        <v>26</v>
      </c>
      <c r="G6" s="9" t="s">
        <v>317</v>
      </c>
      <c r="H6" s="9" t="s">
        <v>318</v>
      </c>
      <c r="I6" t="s">
        <v>319</v>
      </c>
      <c r="J6" s="18">
        <v>3495</v>
      </c>
      <c r="K6" s="18">
        <v>3495</v>
      </c>
      <c r="L6" s="8">
        <v>61034200</v>
      </c>
      <c r="M6" s="6">
        <v>18</v>
      </c>
      <c r="N6" s="19" t="s">
        <v>320</v>
      </c>
      <c r="O6" s="8" t="s">
        <v>84</v>
      </c>
      <c r="P6" s="20" t="s">
        <v>320</v>
      </c>
      <c r="Q6" s="6" t="s">
        <v>321</v>
      </c>
      <c r="R6" s="21"/>
      <c r="S6" s="10"/>
    </row>
    <row r="7" spans="1:23" ht="16" x14ac:dyDescent="0.2">
      <c r="A7" s="5" t="str">
        <f t="shared" si="0"/>
        <v>8905202269441_Red</v>
      </c>
      <c r="B7" s="17">
        <v>8905202269441</v>
      </c>
      <c r="C7" s="6" t="str">
        <f t="shared" si="1"/>
        <v>8905202269441_Red_S</v>
      </c>
      <c r="D7" s="19" t="s">
        <v>322</v>
      </c>
      <c r="E7" s="8" t="s">
        <v>27</v>
      </c>
      <c r="F7" t="s">
        <v>26</v>
      </c>
      <c r="G7" s="9" t="s">
        <v>317</v>
      </c>
      <c r="H7" s="9" t="s">
        <v>318</v>
      </c>
      <c r="I7" t="s">
        <v>319</v>
      </c>
      <c r="J7" s="18">
        <v>3995</v>
      </c>
      <c r="K7" s="18">
        <v>3995</v>
      </c>
      <c r="L7" s="8">
        <v>61034200</v>
      </c>
      <c r="M7" s="6">
        <v>18</v>
      </c>
      <c r="N7" s="19" t="s">
        <v>323</v>
      </c>
      <c r="O7" s="8" t="s">
        <v>54</v>
      </c>
      <c r="P7" s="20" t="s">
        <v>323</v>
      </c>
      <c r="Q7" s="6" t="s">
        <v>324</v>
      </c>
      <c r="R7" s="21"/>
      <c r="S7" s="10"/>
    </row>
    <row r="8" spans="1:23" ht="16" x14ac:dyDescent="0.2">
      <c r="A8" s="5" t="str">
        <f t="shared" si="0"/>
        <v>8905202269434_Red</v>
      </c>
      <c r="B8" s="17">
        <v>8905202269434</v>
      </c>
      <c r="C8" s="6" t="str">
        <f t="shared" si="1"/>
        <v>8905202269434_Red_M</v>
      </c>
      <c r="D8" s="19" t="s">
        <v>322</v>
      </c>
      <c r="E8" s="8" t="s">
        <v>27</v>
      </c>
      <c r="F8" t="s">
        <v>26</v>
      </c>
      <c r="G8" s="9" t="s">
        <v>317</v>
      </c>
      <c r="H8" s="9" t="s">
        <v>318</v>
      </c>
      <c r="I8" t="s">
        <v>319</v>
      </c>
      <c r="J8" s="18">
        <v>3995</v>
      </c>
      <c r="K8" s="18">
        <v>3995</v>
      </c>
      <c r="L8" s="8">
        <v>61034200</v>
      </c>
      <c r="M8" s="6">
        <v>18</v>
      </c>
      <c r="N8" s="19" t="s">
        <v>323</v>
      </c>
      <c r="O8" s="8" t="s">
        <v>61</v>
      </c>
      <c r="P8" s="20" t="s">
        <v>323</v>
      </c>
      <c r="Q8" s="6" t="s">
        <v>324</v>
      </c>
      <c r="R8" s="21"/>
      <c r="S8" s="10"/>
    </row>
    <row r="9" spans="1:23" ht="16" x14ac:dyDescent="0.2">
      <c r="A9" s="5" t="str">
        <f t="shared" si="0"/>
        <v>8905202269427_Red</v>
      </c>
      <c r="B9" s="17">
        <v>8905202269427</v>
      </c>
      <c r="C9" s="6" t="str">
        <f t="shared" si="1"/>
        <v>8905202269427_Red_L</v>
      </c>
      <c r="D9" s="19" t="s">
        <v>322</v>
      </c>
      <c r="E9" s="8" t="s">
        <v>27</v>
      </c>
      <c r="F9" t="s">
        <v>26</v>
      </c>
      <c r="G9" s="9" t="s">
        <v>317</v>
      </c>
      <c r="H9" s="9" t="s">
        <v>318</v>
      </c>
      <c r="I9" t="s">
        <v>319</v>
      </c>
      <c r="J9" s="18">
        <v>3995</v>
      </c>
      <c r="K9" s="18">
        <v>3995</v>
      </c>
      <c r="L9" s="8">
        <v>61034200</v>
      </c>
      <c r="M9" s="6">
        <v>18</v>
      </c>
      <c r="N9" s="19" t="s">
        <v>323</v>
      </c>
      <c r="O9" s="8" t="s">
        <v>44</v>
      </c>
      <c r="P9" s="20" t="s">
        <v>323</v>
      </c>
      <c r="Q9" s="6" t="s">
        <v>324</v>
      </c>
      <c r="R9" s="21"/>
      <c r="S9" s="10"/>
    </row>
    <row r="10" spans="1:23" ht="16" x14ac:dyDescent="0.2">
      <c r="A10" s="5" t="str">
        <f t="shared" si="0"/>
        <v>8905202269458_Red</v>
      </c>
      <c r="B10" s="17">
        <v>8905202269458</v>
      </c>
      <c r="C10" s="6" t="str">
        <f t="shared" si="1"/>
        <v>8905202269458_Red_XL</v>
      </c>
      <c r="D10" s="19" t="s">
        <v>322</v>
      </c>
      <c r="E10" s="8" t="s">
        <v>27</v>
      </c>
      <c r="F10" t="s">
        <v>26</v>
      </c>
      <c r="G10" s="9" t="s">
        <v>317</v>
      </c>
      <c r="H10" s="9" t="s">
        <v>318</v>
      </c>
      <c r="I10" t="s">
        <v>319</v>
      </c>
      <c r="J10" s="18">
        <v>3995</v>
      </c>
      <c r="K10" s="18">
        <v>3995</v>
      </c>
      <c r="L10" s="8">
        <v>61034200</v>
      </c>
      <c r="M10" s="6">
        <v>18</v>
      </c>
      <c r="N10" s="19" t="s">
        <v>323</v>
      </c>
      <c r="O10" s="8" t="s">
        <v>38</v>
      </c>
      <c r="P10" s="20" t="s">
        <v>323</v>
      </c>
      <c r="Q10" s="6" t="s">
        <v>324</v>
      </c>
      <c r="R10" s="21"/>
      <c r="S10" s="10"/>
    </row>
    <row r="11" spans="1:23" ht="16" x14ac:dyDescent="0.2">
      <c r="A11" s="5" t="str">
        <f t="shared" si="0"/>
        <v>8905202269465_Red</v>
      </c>
      <c r="B11" s="17">
        <v>8905202269465</v>
      </c>
      <c r="C11" s="6" t="str">
        <f t="shared" si="1"/>
        <v>8905202269465_Red_XXL</v>
      </c>
      <c r="D11" s="19" t="s">
        <v>322</v>
      </c>
      <c r="E11" s="8" t="s">
        <v>27</v>
      </c>
      <c r="F11" t="s">
        <v>26</v>
      </c>
      <c r="G11" s="9" t="s">
        <v>317</v>
      </c>
      <c r="H11" s="9" t="s">
        <v>318</v>
      </c>
      <c r="I11" t="s">
        <v>319</v>
      </c>
      <c r="J11" s="18">
        <v>3995</v>
      </c>
      <c r="K11" s="18">
        <v>3995</v>
      </c>
      <c r="L11" s="8">
        <v>61034200</v>
      </c>
      <c r="M11" s="6">
        <v>18</v>
      </c>
      <c r="N11" s="19" t="s">
        <v>323</v>
      </c>
      <c r="O11" s="8" t="s">
        <v>84</v>
      </c>
      <c r="P11" s="20" t="s">
        <v>323</v>
      </c>
      <c r="Q11" s="6" t="s">
        <v>324</v>
      </c>
      <c r="R11" s="21"/>
      <c r="S11" s="10"/>
    </row>
    <row r="12" spans="1:23" ht="16" x14ac:dyDescent="0.2">
      <c r="A12" s="5" t="str">
        <f t="shared" si="0"/>
        <v>8905202269397_Bla</v>
      </c>
      <c r="B12" s="17">
        <v>8905202269397</v>
      </c>
      <c r="C12" s="6" t="str">
        <f t="shared" si="1"/>
        <v>8905202269397_Bla_S</v>
      </c>
      <c r="D12" s="8" t="s">
        <v>325</v>
      </c>
      <c r="E12" s="8" t="s">
        <v>27</v>
      </c>
      <c r="F12" t="s">
        <v>26</v>
      </c>
      <c r="G12" s="9" t="s">
        <v>317</v>
      </c>
      <c r="H12" s="9" t="s">
        <v>318</v>
      </c>
      <c r="I12" t="s">
        <v>319</v>
      </c>
      <c r="J12" s="22">
        <v>4495</v>
      </c>
      <c r="K12" s="22">
        <v>4495</v>
      </c>
      <c r="L12" s="8">
        <v>61034200</v>
      </c>
      <c r="M12" s="6">
        <v>18</v>
      </c>
      <c r="N12" s="19" t="s">
        <v>326</v>
      </c>
      <c r="O12" s="8" t="s">
        <v>54</v>
      </c>
      <c r="P12" s="20" t="s">
        <v>326</v>
      </c>
      <c r="Q12" s="6" t="s">
        <v>324</v>
      </c>
      <c r="R12" s="21"/>
      <c r="S12" s="10"/>
    </row>
    <row r="13" spans="1:23" ht="16" x14ac:dyDescent="0.2">
      <c r="A13" s="5" t="str">
        <f t="shared" si="0"/>
        <v>8905202269380_Bla</v>
      </c>
      <c r="B13" s="17">
        <v>8905202269380</v>
      </c>
      <c r="C13" s="6" t="str">
        <f t="shared" si="1"/>
        <v>8905202269380_Bla_M</v>
      </c>
      <c r="D13" s="8" t="s">
        <v>325</v>
      </c>
      <c r="E13" s="8" t="s">
        <v>27</v>
      </c>
      <c r="F13" t="s">
        <v>26</v>
      </c>
      <c r="G13" s="9" t="s">
        <v>317</v>
      </c>
      <c r="H13" s="9" t="s">
        <v>318</v>
      </c>
      <c r="I13" t="s">
        <v>319</v>
      </c>
      <c r="J13" s="22">
        <v>4495</v>
      </c>
      <c r="K13" s="22">
        <v>4495</v>
      </c>
      <c r="L13" s="8">
        <v>61034200</v>
      </c>
      <c r="M13" s="6">
        <v>18</v>
      </c>
      <c r="N13" s="19" t="s">
        <v>326</v>
      </c>
      <c r="O13" s="8" t="s">
        <v>61</v>
      </c>
      <c r="P13" s="20" t="s">
        <v>326</v>
      </c>
      <c r="Q13" s="6" t="s">
        <v>324</v>
      </c>
      <c r="R13" s="21"/>
      <c r="S13" s="10"/>
    </row>
    <row r="14" spans="1:23" ht="16" x14ac:dyDescent="0.2">
      <c r="A14" s="5" t="str">
        <f t="shared" si="0"/>
        <v>8905202269373_Bla</v>
      </c>
      <c r="B14" s="17">
        <v>8905202269373</v>
      </c>
      <c r="C14" s="6" t="str">
        <f t="shared" si="1"/>
        <v>8905202269373_Bla_L</v>
      </c>
      <c r="D14" s="8" t="s">
        <v>325</v>
      </c>
      <c r="E14" s="8" t="s">
        <v>27</v>
      </c>
      <c r="F14" t="s">
        <v>26</v>
      </c>
      <c r="G14" s="9" t="s">
        <v>317</v>
      </c>
      <c r="H14" s="9" t="s">
        <v>318</v>
      </c>
      <c r="I14" t="s">
        <v>319</v>
      </c>
      <c r="J14" s="22">
        <v>4495</v>
      </c>
      <c r="K14" s="22">
        <v>4495</v>
      </c>
      <c r="L14" s="8">
        <v>61034200</v>
      </c>
      <c r="M14" s="6">
        <v>18</v>
      </c>
      <c r="N14" s="19" t="s">
        <v>326</v>
      </c>
      <c r="O14" s="8" t="s">
        <v>44</v>
      </c>
      <c r="P14" s="20" t="s">
        <v>326</v>
      </c>
      <c r="Q14" s="6" t="s">
        <v>324</v>
      </c>
      <c r="R14" s="21"/>
      <c r="S14" s="10"/>
    </row>
    <row r="15" spans="1:23" ht="16" x14ac:dyDescent="0.2">
      <c r="A15" s="5" t="str">
        <f t="shared" si="0"/>
        <v>8905202269403_Bla</v>
      </c>
      <c r="B15" s="17">
        <v>8905202269403</v>
      </c>
      <c r="C15" s="6" t="str">
        <f t="shared" si="1"/>
        <v>8905202269403_Bla_XL</v>
      </c>
      <c r="D15" s="8" t="s">
        <v>325</v>
      </c>
      <c r="E15" s="8" t="s">
        <v>27</v>
      </c>
      <c r="F15" t="s">
        <v>26</v>
      </c>
      <c r="G15" s="9" t="s">
        <v>317</v>
      </c>
      <c r="H15" s="9" t="s">
        <v>318</v>
      </c>
      <c r="I15" t="s">
        <v>319</v>
      </c>
      <c r="J15" s="22">
        <v>4495</v>
      </c>
      <c r="K15" s="22">
        <v>4495</v>
      </c>
      <c r="L15" s="8">
        <v>61034200</v>
      </c>
      <c r="M15" s="6">
        <v>18</v>
      </c>
      <c r="N15" s="19" t="s">
        <v>326</v>
      </c>
      <c r="O15" s="8" t="s">
        <v>38</v>
      </c>
      <c r="P15" s="20" t="s">
        <v>326</v>
      </c>
      <c r="Q15" s="6" t="s">
        <v>324</v>
      </c>
      <c r="R15" s="21"/>
      <c r="S15" s="10"/>
    </row>
    <row r="16" spans="1:23" ht="16" x14ac:dyDescent="0.2">
      <c r="A16" s="5" t="str">
        <f t="shared" si="0"/>
        <v>8905202269410_Bla</v>
      </c>
      <c r="B16" s="17">
        <v>8905202269410</v>
      </c>
      <c r="C16" s="6" t="str">
        <f t="shared" si="1"/>
        <v>8905202269410_Bla_XXL</v>
      </c>
      <c r="D16" s="8" t="s">
        <v>325</v>
      </c>
      <c r="E16" s="8" t="s">
        <v>27</v>
      </c>
      <c r="F16" t="s">
        <v>26</v>
      </c>
      <c r="G16" s="9" t="s">
        <v>317</v>
      </c>
      <c r="H16" s="9" t="s">
        <v>318</v>
      </c>
      <c r="I16" t="s">
        <v>319</v>
      </c>
      <c r="J16" s="22">
        <v>4495</v>
      </c>
      <c r="K16" s="22">
        <v>4495</v>
      </c>
      <c r="L16" s="8">
        <v>61034200</v>
      </c>
      <c r="M16" s="6">
        <v>18</v>
      </c>
      <c r="N16" s="19" t="s">
        <v>326</v>
      </c>
      <c r="O16" s="8" t="s">
        <v>84</v>
      </c>
      <c r="P16" s="20" t="s">
        <v>326</v>
      </c>
      <c r="Q16" s="6" t="s">
        <v>324</v>
      </c>
      <c r="R16" s="21"/>
      <c r="S16" s="10"/>
    </row>
    <row r="17" spans="1:19" ht="16" x14ac:dyDescent="0.2">
      <c r="A17" s="5" t="str">
        <f t="shared" si="0"/>
        <v>8905202269342_Blu</v>
      </c>
      <c r="B17" s="17">
        <v>8905202269342</v>
      </c>
      <c r="C17" s="6" t="str">
        <f t="shared" si="1"/>
        <v>8905202269342_Blu_S</v>
      </c>
      <c r="D17" s="19" t="s">
        <v>327</v>
      </c>
      <c r="E17" s="8" t="s">
        <v>27</v>
      </c>
      <c r="F17" t="s">
        <v>26</v>
      </c>
      <c r="G17" s="9" t="s">
        <v>317</v>
      </c>
      <c r="H17" s="9" t="s">
        <v>318</v>
      </c>
      <c r="I17" t="s">
        <v>319</v>
      </c>
      <c r="J17" s="18">
        <v>3495</v>
      </c>
      <c r="K17" s="18">
        <v>3495</v>
      </c>
      <c r="L17" s="8">
        <v>61034200</v>
      </c>
      <c r="M17" s="6">
        <v>18</v>
      </c>
      <c r="N17" s="19" t="s">
        <v>328</v>
      </c>
      <c r="O17" s="8" t="s">
        <v>54</v>
      </c>
      <c r="P17" s="20" t="s">
        <v>328</v>
      </c>
      <c r="Q17" s="6" t="s">
        <v>321</v>
      </c>
      <c r="R17" s="21"/>
      <c r="S17" s="10"/>
    </row>
    <row r="18" spans="1:19" ht="16" x14ac:dyDescent="0.2">
      <c r="A18" s="5" t="str">
        <f t="shared" si="0"/>
        <v>8905202269335_Blu</v>
      </c>
      <c r="B18" s="17">
        <v>8905202269335</v>
      </c>
      <c r="C18" s="6" t="str">
        <f t="shared" si="1"/>
        <v>8905202269335_Blu_M</v>
      </c>
      <c r="D18" s="19" t="s">
        <v>327</v>
      </c>
      <c r="E18" s="8" t="s">
        <v>27</v>
      </c>
      <c r="F18" t="s">
        <v>26</v>
      </c>
      <c r="G18" s="9" t="s">
        <v>317</v>
      </c>
      <c r="H18" s="9" t="s">
        <v>318</v>
      </c>
      <c r="I18" t="s">
        <v>319</v>
      </c>
      <c r="J18" s="18">
        <v>3495</v>
      </c>
      <c r="K18" s="18">
        <v>3495</v>
      </c>
      <c r="L18" s="8">
        <v>61034200</v>
      </c>
      <c r="M18" s="6">
        <v>18</v>
      </c>
      <c r="N18" s="19" t="s">
        <v>328</v>
      </c>
      <c r="O18" s="8" t="s">
        <v>61</v>
      </c>
      <c r="P18" s="20" t="s">
        <v>328</v>
      </c>
      <c r="Q18" s="6" t="s">
        <v>321</v>
      </c>
      <c r="R18" s="21"/>
      <c r="S18" s="10"/>
    </row>
    <row r="19" spans="1:19" ht="16" x14ac:dyDescent="0.2">
      <c r="A19" s="5" t="str">
        <f t="shared" si="0"/>
        <v>8905202269328_Blu</v>
      </c>
      <c r="B19" s="17">
        <v>8905202269328</v>
      </c>
      <c r="C19" s="6" t="str">
        <f t="shared" si="1"/>
        <v>8905202269328_Blu_L</v>
      </c>
      <c r="D19" s="19" t="s">
        <v>327</v>
      </c>
      <c r="E19" s="8" t="s">
        <v>27</v>
      </c>
      <c r="F19" t="s">
        <v>26</v>
      </c>
      <c r="G19" s="9" t="s">
        <v>317</v>
      </c>
      <c r="H19" s="9" t="s">
        <v>318</v>
      </c>
      <c r="I19" t="s">
        <v>319</v>
      </c>
      <c r="J19" s="18">
        <v>3495</v>
      </c>
      <c r="K19" s="18">
        <v>3495</v>
      </c>
      <c r="L19" s="8">
        <v>61034200</v>
      </c>
      <c r="M19" s="6">
        <v>18</v>
      </c>
      <c r="N19" s="19" t="s">
        <v>328</v>
      </c>
      <c r="O19" s="8" t="s">
        <v>44</v>
      </c>
      <c r="P19" s="20" t="s">
        <v>328</v>
      </c>
      <c r="Q19" s="6" t="s">
        <v>321</v>
      </c>
      <c r="R19" s="21"/>
      <c r="S19" s="10"/>
    </row>
    <row r="20" spans="1:19" ht="16" x14ac:dyDescent="0.2">
      <c r="A20" s="5" t="str">
        <f t="shared" si="0"/>
        <v>8905202269359_Blu</v>
      </c>
      <c r="B20" s="17">
        <v>8905202269359</v>
      </c>
      <c r="C20" s="6" t="str">
        <f t="shared" si="1"/>
        <v>8905202269359_Blu_XL</v>
      </c>
      <c r="D20" s="19" t="s">
        <v>327</v>
      </c>
      <c r="E20" s="8" t="s">
        <v>27</v>
      </c>
      <c r="F20" t="s">
        <v>26</v>
      </c>
      <c r="G20" s="9" t="s">
        <v>317</v>
      </c>
      <c r="H20" s="9" t="s">
        <v>318</v>
      </c>
      <c r="I20" t="s">
        <v>319</v>
      </c>
      <c r="J20" s="18">
        <v>3495</v>
      </c>
      <c r="K20" s="18">
        <v>3495</v>
      </c>
      <c r="L20" s="8">
        <v>61034200</v>
      </c>
      <c r="M20" s="6">
        <v>18</v>
      </c>
      <c r="N20" s="19" t="s">
        <v>328</v>
      </c>
      <c r="O20" s="8" t="s">
        <v>38</v>
      </c>
      <c r="P20" s="20" t="s">
        <v>328</v>
      </c>
      <c r="Q20" s="6" t="s">
        <v>321</v>
      </c>
      <c r="R20" s="21"/>
      <c r="S20" s="10"/>
    </row>
    <row r="21" spans="1:19" ht="16" x14ac:dyDescent="0.2">
      <c r="A21" s="5" t="str">
        <f t="shared" si="0"/>
        <v>8905202269366_Blu</v>
      </c>
      <c r="B21" s="17">
        <v>8905202269366</v>
      </c>
      <c r="C21" s="6" t="str">
        <f t="shared" si="1"/>
        <v>8905202269366_Blu_XXL</v>
      </c>
      <c r="D21" s="19" t="s">
        <v>327</v>
      </c>
      <c r="E21" s="8" t="s">
        <v>27</v>
      </c>
      <c r="F21" t="s">
        <v>26</v>
      </c>
      <c r="G21" s="9" t="s">
        <v>317</v>
      </c>
      <c r="H21" s="9" t="s">
        <v>318</v>
      </c>
      <c r="I21" t="s">
        <v>319</v>
      </c>
      <c r="J21" s="18">
        <v>3495</v>
      </c>
      <c r="K21" s="18">
        <v>3495</v>
      </c>
      <c r="L21" s="8">
        <v>61034200</v>
      </c>
      <c r="M21" s="6">
        <v>18</v>
      </c>
      <c r="N21" s="19" t="s">
        <v>328</v>
      </c>
      <c r="O21" s="8" t="s">
        <v>84</v>
      </c>
      <c r="P21" s="20" t="s">
        <v>328</v>
      </c>
      <c r="Q21" s="6" t="s">
        <v>321</v>
      </c>
      <c r="R21" s="21"/>
      <c r="S21" s="10"/>
    </row>
    <row r="22" spans="1:19" ht="16" x14ac:dyDescent="0.2">
      <c r="A22" s="5" t="str">
        <f t="shared" si="0"/>
        <v>8905202269298_Bla</v>
      </c>
      <c r="B22" s="17">
        <v>8905202269298</v>
      </c>
      <c r="C22" s="6" t="str">
        <f t="shared" si="1"/>
        <v>8905202269298_Bla_S</v>
      </c>
      <c r="D22" s="19" t="s">
        <v>329</v>
      </c>
      <c r="E22" s="8" t="s">
        <v>27</v>
      </c>
      <c r="F22" t="s">
        <v>26</v>
      </c>
      <c r="G22" s="9" t="s">
        <v>317</v>
      </c>
      <c r="H22" s="9" t="s">
        <v>318</v>
      </c>
      <c r="I22" t="s">
        <v>319</v>
      </c>
      <c r="J22" s="18">
        <v>3495</v>
      </c>
      <c r="K22" s="18">
        <v>3495</v>
      </c>
      <c r="L22" s="8">
        <v>61034200</v>
      </c>
      <c r="M22" s="6">
        <v>18</v>
      </c>
      <c r="N22" s="19" t="s">
        <v>326</v>
      </c>
      <c r="O22" s="8" t="s">
        <v>54</v>
      </c>
      <c r="P22" s="20" t="s">
        <v>326</v>
      </c>
      <c r="Q22" s="6" t="s">
        <v>321</v>
      </c>
      <c r="R22" s="21"/>
      <c r="S22" s="10"/>
    </row>
    <row r="23" spans="1:19" ht="16" x14ac:dyDescent="0.2">
      <c r="A23" s="5" t="str">
        <f t="shared" si="0"/>
        <v>8905202269281_Bla</v>
      </c>
      <c r="B23" s="17">
        <v>8905202269281</v>
      </c>
      <c r="C23" s="6" t="str">
        <f t="shared" si="1"/>
        <v>8905202269281_Bla_M</v>
      </c>
      <c r="D23" s="19" t="s">
        <v>329</v>
      </c>
      <c r="E23" s="8" t="s">
        <v>27</v>
      </c>
      <c r="F23" t="s">
        <v>26</v>
      </c>
      <c r="G23" s="9" t="s">
        <v>317</v>
      </c>
      <c r="H23" s="9" t="s">
        <v>318</v>
      </c>
      <c r="I23" t="s">
        <v>319</v>
      </c>
      <c r="J23" s="18">
        <v>3495</v>
      </c>
      <c r="K23" s="18">
        <v>3495</v>
      </c>
      <c r="L23" s="8">
        <v>61034200</v>
      </c>
      <c r="M23" s="6">
        <v>18</v>
      </c>
      <c r="N23" s="19" t="s">
        <v>326</v>
      </c>
      <c r="O23" s="8" t="s">
        <v>61</v>
      </c>
      <c r="P23" s="20" t="s">
        <v>326</v>
      </c>
      <c r="Q23" s="6" t="s">
        <v>321</v>
      </c>
      <c r="R23" s="21"/>
      <c r="S23" s="10"/>
    </row>
    <row r="24" spans="1:19" ht="16" x14ac:dyDescent="0.2">
      <c r="A24" s="5" t="str">
        <f t="shared" si="0"/>
        <v>8905202269274_Bla</v>
      </c>
      <c r="B24" s="17">
        <v>8905202269274</v>
      </c>
      <c r="C24" s="6" t="str">
        <f t="shared" si="1"/>
        <v>8905202269274_Bla_L</v>
      </c>
      <c r="D24" s="19" t="s">
        <v>329</v>
      </c>
      <c r="E24" s="8" t="s">
        <v>27</v>
      </c>
      <c r="F24" t="s">
        <v>26</v>
      </c>
      <c r="G24" s="9" t="s">
        <v>317</v>
      </c>
      <c r="H24" s="9" t="s">
        <v>318</v>
      </c>
      <c r="I24" t="s">
        <v>319</v>
      </c>
      <c r="J24" s="18">
        <v>3495</v>
      </c>
      <c r="K24" s="18">
        <v>3495</v>
      </c>
      <c r="L24" s="8">
        <v>61034200</v>
      </c>
      <c r="M24" s="6">
        <v>18</v>
      </c>
      <c r="N24" s="19" t="s">
        <v>326</v>
      </c>
      <c r="O24" s="8" t="s">
        <v>44</v>
      </c>
      <c r="P24" s="20" t="s">
        <v>326</v>
      </c>
      <c r="Q24" s="6" t="s">
        <v>321</v>
      </c>
      <c r="R24" s="21"/>
      <c r="S24" s="10"/>
    </row>
    <row r="25" spans="1:19" ht="16" x14ac:dyDescent="0.2">
      <c r="A25" s="5" t="str">
        <f t="shared" si="0"/>
        <v>8905202269304_Bla</v>
      </c>
      <c r="B25" s="17">
        <v>8905202269304</v>
      </c>
      <c r="C25" s="6" t="str">
        <f t="shared" si="1"/>
        <v>8905202269304_Bla_XL</v>
      </c>
      <c r="D25" s="19" t="s">
        <v>329</v>
      </c>
      <c r="E25" s="8" t="s">
        <v>27</v>
      </c>
      <c r="F25" t="s">
        <v>26</v>
      </c>
      <c r="G25" s="9" t="s">
        <v>317</v>
      </c>
      <c r="H25" s="9" t="s">
        <v>318</v>
      </c>
      <c r="I25" t="s">
        <v>319</v>
      </c>
      <c r="J25" s="18">
        <v>3495</v>
      </c>
      <c r="K25" s="18">
        <v>3495</v>
      </c>
      <c r="L25" s="8">
        <v>61034200</v>
      </c>
      <c r="M25" s="6">
        <v>18</v>
      </c>
      <c r="N25" s="19" t="s">
        <v>326</v>
      </c>
      <c r="O25" s="8" t="s">
        <v>38</v>
      </c>
      <c r="P25" s="20" t="s">
        <v>326</v>
      </c>
      <c r="Q25" s="6" t="s">
        <v>321</v>
      </c>
      <c r="R25" s="21"/>
      <c r="S25" s="10"/>
    </row>
    <row r="26" spans="1:19" ht="16" x14ac:dyDescent="0.2">
      <c r="A26" s="5" t="str">
        <f t="shared" si="0"/>
        <v>8905202269311_Bla</v>
      </c>
      <c r="B26" s="17">
        <v>8905202269311</v>
      </c>
      <c r="C26" s="6" t="str">
        <f t="shared" si="1"/>
        <v>8905202269311_Bla_XXL</v>
      </c>
      <c r="D26" s="19" t="s">
        <v>329</v>
      </c>
      <c r="E26" s="8" t="s">
        <v>27</v>
      </c>
      <c r="F26" t="s">
        <v>26</v>
      </c>
      <c r="G26" s="9" t="s">
        <v>317</v>
      </c>
      <c r="H26" s="9" t="s">
        <v>318</v>
      </c>
      <c r="I26" t="s">
        <v>319</v>
      </c>
      <c r="J26" s="18">
        <v>3495</v>
      </c>
      <c r="K26" s="18">
        <v>3495</v>
      </c>
      <c r="L26" s="8">
        <v>61034200</v>
      </c>
      <c r="M26" s="6">
        <v>18</v>
      </c>
      <c r="N26" s="19" t="s">
        <v>326</v>
      </c>
      <c r="O26" s="8" t="s">
        <v>84</v>
      </c>
      <c r="P26" s="20" t="s">
        <v>326</v>
      </c>
      <c r="Q26" s="6" t="s">
        <v>321</v>
      </c>
      <c r="R26" s="21"/>
      <c r="S26" s="10"/>
    </row>
    <row r="27" spans="1:19" ht="16" x14ac:dyDescent="0.2">
      <c r="A27" s="5" t="str">
        <f t="shared" si="0"/>
        <v>8905202264620_Bla</v>
      </c>
      <c r="B27" s="17">
        <v>8905202264620</v>
      </c>
      <c r="C27" s="6" t="str">
        <f t="shared" si="1"/>
        <v>8905202264620_Bla_S</v>
      </c>
      <c r="D27" s="8" t="s">
        <v>330</v>
      </c>
      <c r="E27" s="8" t="s">
        <v>27</v>
      </c>
      <c r="F27" t="s">
        <v>26</v>
      </c>
      <c r="G27" s="9" t="s">
        <v>317</v>
      </c>
      <c r="H27" s="9" t="s">
        <v>318</v>
      </c>
      <c r="I27" t="s">
        <v>319</v>
      </c>
      <c r="J27" s="18">
        <v>3495</v>
      </c>
      <c r="K27" s="18">
        <v>3495</v>
      </c>
      <c r="L27" s="8">
        <v>61034200</v>
      </c>
      <c r="M27" s="6">
        <v>18</v>
      </c>
      <c r="N27" s="19" t="s">
        <v>326</v>
      </c>
      <c r="O27" s="8" t="s">
        <v>54</v>
      </c>
      <c r="P27" s="20" t="s">
        <v>326</v>
      </c>
      <c r="Q27" s="6" t="s">
        <v>324</v>
      </c>
      <c r="R27" s="21"/>
      <c r="S27" s="10"/>
    </row>
    <row r="28" spans="1:19" ht="16" x14ac:dyDescent="0.2">
      <c r="A28" s="5" t="str">
        <f t="shared" si="0"/>
        <v>8905202264613_Bla</v>
      </c>
      <c r="B28" s="17">
        <v>8905202264613</v>
      </c>
      <c r="C28" s="6" t="str">
        <f t="shared" si="1"/>
        <v>8905202264613_Bla_M</v>
      </c>
      <c r="D28" s="8" t="s">
        <v>330</v>
      </c>
      <c r="E28" s="8" t="s">
        <v>27</v>
      </c>
      <c r="F28" t="s">
        <v>26</v>
      </c>
      <c r="G28" s="9" t="s">
        <v>317</v>
      </c>
      <c r="H28" s="9" t="s">
        <v>318</v>
      </c>
      <c r="I28" t="s">
        <v>319</v>
      </c>
      <c r="J28" s="18">
        <v>3495</v>
      </c>
      <c r="K28" s="18">
        <v>3495</v>
      </c>
      <c r="L28" s="8">
        <v>61034200</v>
      </c>
      <c r="M28" s="6">
        <v>18</v>
      </c>
      <c r="N28" s="19" t="s">
        <v>326</v>
      </c>
      <c r="O28" s="8" t="s">
        <v>61</v>
      </c>
      <c r="P28" s="20" t="s">
        <v>326</v>
      </c>
      <c r="Q28" s="6" t="s">
        <v>324</v>
      </c>
      <c r="R28" s="21"/>
      <c r="S28" s="10"/>
    </row>
    <row r="29" spans="1:19" ht="16" x14ac:dyDescent="0.2">
      <c r="A29" s="5" t="str">
        <f t="shared" si="0"/>
        <v>8905202264606_Bla</v>
      </c>
      <c r="B29" s="17">
        <v>8905202264606</v>
      </c>
      <c r="C29" s="6" t="str">
        <f t="shared" si="1"/>
        <v>8905202264606_Bla_L</v>
      </c>
      <c r="D29" s="8" t="s">
        <v>330</v>
      </c>
      <c r="E29" s="8" t="s">
        <v>27</v>
      </c>
      <c r="F29" t="s">
        <v>26</v>
      </c>
      <c r="G29" s="9" t="s">
        <v>317</v>
      </c>
      <c r="H29" s="9" t="s">
        <v>318</v>
      </c>
      <c r="I29" t="s">
        <v>319</v>
      </c>
      <c r="J29" s="18">
        <v>3495</v>
      </c>
      <c r="K29" s="18">
        <v>3495</v>
      </c>
      <c r="L29" s="8">
        <v>61034200</v>
      </c>
      <c r="M29" s="6">
        <v>18</v>
      </c>
      <c r="N29" s="19" t="s">
        <v>326</v>
      </c>
      <c r="O29" s="8" t="s">
        <v>44</v>
      </c>
      <c r="P29" s="20" t="s">
        <v>326</v>
      </c>
      <c r="Q29" s="6" t="s">
        <v>324</v>
      </c>
      <c r="R29" s="21"/>
      <c r="S29" s="10"/>
    </row>
    <row r="30" spans="1:19" ht="16" x14ac:dyDescent="0.2">
      <c r="A30" s="5" t="str">
        <f t="shared" si="0"/>
        <v>8905202264637_Bla</v>
      </c>
      <c r="B30" s="17">
        <v>8905202264637</v>
      </c>
      <c r="C30" s="6" t="str">
        <f t="shared" si="1"/>
        <v>8905202264637_Bla_XL</v>
      </c>
      <c r="D30" s="8" t="s">
        <v>330</v>
      </c>
      <c r="E30" s="8" t="s">
        <v>27</v>
      </c>
      <c r="F30" t="s">
        <v>26</v>
      </c>
      <c r="G30" s="9" t="s">
        <v>317</v>
      </c>
      <c r="H30" s="9" t="s">
        <v>318</v>
      </c>
      <c r="I30" t="s">
        <v>319</v>
      </c>
      <c r="J30" s="18">
        <v>3495</v>
      </c>
      <c r="K30" s="18">
        <v>3495</v>
      </c>
      <c r="L30" s="8">
        <v>61034200</v>
      </c>
      <c r="M30" s="6">
        <v>18</v>
      </c>
      <c r="N30" s="19" t="s">
        <v>326</v>
      </c>
      <c r="O30" s="8" t="s">
        <v>38</v>
      </c>
      <c r="P30" s="20" t="s">
        <v>326</v>
      </c>
      <c r="Q30" s="6" t="s">
        <v>324</v>
      </c>
      <c r="R30" s="21"/>
      <c r="S30" s="10"/>
    </row>
    <row r="31" spans="1:19" ht="16" x14ac:dyDescent="0.2">
      <c r="A31" s="5" t="str">
        <f t="shared" si="0"/>
        <v>8905202264644_Bla</v>
      </c>
      <c r="B31" s="17">
        <v>8905202264644</v>
      </c>
      <c r="C31" s="6" t="str">
        <f t="shared" si="1"/>
        <v>8905202264644_Bla_XXL</v>
      </c>
      <c r="D31" s="8" t="s">
        <v>330</v>
      </c>
      <c r="E31" s="8" t="s">
        <v>27</v>
      </c>
      <c r="F31" t="s">
        <v>26</v>
      </c>
      <c r="G31" s="9" t="s">
        <v>317</v>
      </c>
      <c r="H31" s="9" t="s">
        <v>318</v>
      </c>
      <c r="I31" t="s">
        <v>319</v>
      </c>
      <c r="J31" s="18">
        <v>3495</v>
      </c>
      <c r="K31" s="18">
        <v>3495</v>
      </c>
      <c r="L31" s="8">
        <v>61034200</v>
      </c>
      <c r="M31" s="6">
        <v>18</v>
      </c>
      <c r="N31" s="19" t="s">
        <v>326</v>
      </c>
      <c r="O31" s="8" t="s">
        <v>84</v>
      </c>
      <c r="P31" s="20" t="s">
        <v>326</v>
      </c>
      <c r="Q31" s="6" t="s">
        <v>324</v>
      </c>
      <c r="R31" s="21"/>
      <c r="S31" s="10"/>
    </row>
    <row r="32" spans="1:19" ht="16" x14ac:dyDescent="0.2">
      <c r="A32" s="5" t="str">
        <f t="shared" si="0"/>
        <v>8905202264675_Bla</v>
      </c>
      <c r="B32" s="17">
        <v>8905202264675</v>
      </c>
      <c r="C32" s="6" t="str">
        <f t="shared" si="1"/>
        <v>8905202264675_Bla_S</v>
      </c>
      <c r="D32" s="19" t="s">
        <v>331</v>
      </c>
      <c r="E32" s="8" t="s">
        <v>27</v>
      </c>
      <c r="F32" t="s">
        <v>26</v>
      </c>
      <c r="G32" s="9" t="s">
        <v>317</v>
      </c>
      <c r="H32" s="9" t="s">
        <v>318</v>
      </c>
      <c r="I32" t="s">
        <v>319</v>
      </c>
      <c r="J32" s="23">
        <v>2995</v>
      </c>
      <c r="K32" s="23">
        <v>2995</v>
      </c>
      <c r="L32" s="8">
        <v>61034200</v>
      </c>
      <c r="M32" s="6">
        <v>18</v>
      </c>
      <c r="N32" s="19" t="s">
        <v>326</v>
      </c>
      <c r="O32" s="8" t="s">
        <v>54</v>
      </c>
      <c r="P32" s="20" t="s">
        <v>326</v>
      </c>
      <c r="Q32" s="6" t="s">
        <v>321</v>
      </c>
      <c r="R32" s="21"/>
      <c r="S32" s="10"/>
    </row>
    <row r="33" spans="1:19" ht="16" x14ac:dyDescent="0.2">
      <c r="A33" s="5" t="str">
        <f t="shared" si="0"/>
        <v>8905202264668_Bla</v>
      </c>
      <c r="B33" s="17">
        <v>8905202264668</v>
      </c>
      <c r="C33" s="6" t="str">
        <f t="shared" si="1"/>
        <v>8905202264668_Bla_M</v>
      </c>
      <c r="D33" s="19" t="s">
        <v>331</v>
      </c>
      <c r="E33" s="8" t="s">
        <v>27</v>
      </c>
      <c r="F33" t="s">
        <v>26</v>
      </c>
      <c r="G33" s="9" t="s">
        <v>317</v>
      </c>
      <c r="H33" s="9" t="s">
        <v>318</v>
      </c>
      <c r="I33" t="s">
        <v>319</v>
      </c>
      <c r="J33" s="23">
        <v>2995</v>
      </c>
      <c r="K33" s="23">
        <v>2995</v>
      </c>
      <c r="L33" s="8">
        <v>61034200</v>
      </c>
      <c r="M33" s="6">
        <v>18</v>
      </c>
      <c r="N33" s="19" t="s">
        <v>326</v>
      </c>
      <c r="O33" s="8" t="s">
        <v>61</v>
      </c>
      <c r="P33" s="20" t="s">
        <v>326</v>
      </c>
      <c r="Q33" s="6" t="s">
        <v>321</v>
      </c>
      <c r="R33" s="21"/>
      <c r="S33" s="10"/>
    </row>
    <row r="34" spans="1:19" ht="16" x14ac:dyDescent="0.2">
      <c r="A34" s="5" t="str">
        <f t="shared" si="0"/>
        <v>8905202264651_Bla</v>
      </c>
      <c r="B34" s="17">
        <v>8905202264651</v>
      </c>
      <c r="C34" s="6" t="str">
        <f t="shared" si="1"/>
        <v>8905202264651_Bla_L</v>
      </c>
      <c r="D34" s="19" t="s">
        <v>331</v>
      </c>
      <c r="E34" s="8" t="s">
        <v>27</v>
      </c>
      <c r="F34" t="s">
        <v>26</v>
      </c>
      <c r="G34" s="9" t="s">
        <v>317</v>
      </c>
      <c r="H34" s="9" t="s">
        <v>318</v>
      </c>
      <c r="I34" t="s">
        <v>319</v>
      </c>
      <c r="J34" s="23">
        <v>2995</v>
      </c>
      <c r="K34" s="23">
        <v>2995</v>
      </c>
      <c r="L34" s="8">
        <v>61034200</v>
      </c>
      <c r="M34" s="6">
        <v>18</v>
      </c>
      <c r="N34" s="19" t="s">
        <v>326</v>
      </c>
      <c r="O34" s="8" t="s">
        <v>44</v>
      </c>
      <c r="P34" s="20" t="s">
        <v>326</v>
      </c>
      <c r="Q34" s="6" t="s">
        <v>321</v>
      </c>
      <c r="R34" s="21"/>
      <c r="S34" s="10"/>
    </row>
    <row r="35" spans="1:19" ht="16" x14ac:dyDescent="0.2">
      <c r="A35" s="5" t="str">
        <f t="shared" si="0"/>
        <v>8905202264682_Bla</v>
      </c>
      <c r="B35" s="17">
        <v>8905202264682</v>
      </c>
      <c r="C35" s="6" t="str">
        <f t="shared" si="1"/>
        <v>8905202264682_Bla_XL</v>
      </c>
      <c r="D35" s="19" t="s">
        <v>331</v>
      </c>
      <c r="E35" s="8" t="s">
        <v>27</v>
      </c>
      <c r="F35" t="s">
        <v>26</v>
      </c>
      <c r="G35" s="9" t="s">
        <v>317</v>
      </c>
      <c r="H35" s="9" t="s">
        <v>318</v>
      </c>
      <c r="I35" t="s">
        <v>319</v>
      </c>
      <c r="J35" s="23">
        <v>2995</v>
      </c>
      <c r="K35" s="23">
        <v>2995</v>
      </c>
      <c r="L35" s="8">
        <v>61034200</v>
      </c>
      <c r="M35" s="6">
        <v>18</v>
      </c>
      <c r="N35" s="19" t="s">
        <v>326</v>
      </c>
      <c r="O35" s="8" t="s">
        <v>38</v>
      </c>
      <c r="P35" s="20" t="s">
        <v>326</v>
      </c>
      <c r="Q35" s="6" t="s">
        <v>321</v>
      </c>
      <c r="R35" s="21"/>
      <c r="S35" s="10"/>
    </row>
    <row r="36" spans="1:19" ht="16" x14ac:dyDescent="0.2">
      <c r="A36" s="5" t="str">
        <f t="shared" si="0"/>
        <v>8905202264699_Bla</v>
      </c>
      <c r="B36" s="17">
        <v>8905202264699</v>
      </c>
      <c r="C36" s="6" t="str">
        <f t="shared" si="1"/>
        <v>8905202264699_Bla_XXL</v>
      </c>
      <c r="D36" s="19" t="s">
        <v>331</v>
      </c>
      <c r="E36" s="8" t="s">
        <v>27</v>
      </c>
      <c r="F36" t="s">
        <v>26</v>
      </c>
      <c r="G36" s="9" t="s">
        <v>317</v>
      </c>
      <c r="H36" s="9" t="s">
        <v>318</v>
      </c>
      <c r="I36" t="s">
        <v>319</v>
      </c>
      <c r="J36" s="23">
        <v>2995</v>
      </c>
      <c r="K36" s="23">
        <v>2995</v>
      </c>
      <c r="L36" s="8">
        <v>61034200</v>
      </c>
      <c r="M36" s="6">
        <v>18</v>
      </c>
      <c r="N36" s="19" t="s">
        <v>326</v>
      </c>
      <c r="O36" s="8" t="s">
        <v>84</v>
      </c>
      <c r="P36" s="20" t="s">
        <v>326</v>
      </c>
      <c r="Q36" s="6" t="s">
        <v>321</v>
      </c>
      <c r="R36" s="21"/>
      <c r="S36" s="10"/>
    </row>
    <row r="37" spans="1:19" ht="16" x14ac:dyDescent="0.2">
      <c r="A37" s="5" t="str">
        <f t="shared" si="0"/>
        <v>8905202264729_Bla</v>
      </c>
      <c r="B37" s="17">
        <v>8905202264729</v>
      </c>
      <c r="C37" s="6" t="str">
        <f t="shared" si="1"/>
        <v>8905202264729_Bla_Onesize</v>
      </c>
      <c r="D37" s="8" t="s">
        <v>332</v>
      </c>
      <c r="E37" s="8" t="s">
        <v>27</v>
      </c>
      <c r="F37" t="s">
        <v>26</v>
      </c>
      <c r="G37" s="9" t="s">
        <v>317</v>
      </c>
      <c r="H37" s="9" t="s">
        <v>318</v>
      </c>
      <c r="I37" t="s">
        <v>319</v>
      </c>
      <c r="J37" s="23">
        <v>2995</v>
      </c>
      <c r="K37" s="23">
        <v>2995</v>
      </c>
      <c r="L37" s="8">
        <v>61034200</v>
      </c>
      <c r="M37" s="6">
        <v>18</v>
      </c>
      <c r="N37" s="19" t="s">
        <v>326</v>
      </c>
      <c r="O37" s="8" t="s">
        <v>30</v>
      </c>
      <c r="P37" s="20" t="s">
        <v>326</v>
      </c>
      <c r="Q37" s="6" t="s">
        <v>321</v>
      </c>
      <c r="R37" s="21"/>
      <c r="S37" s="10"/>
    </row>
    <row r="38" spans="1:19" ht="16" x14ac:dyDescent="0.2">
      <c r="A38" s="5" t="str">
        <f t="shared" si="0"/>
        <v>8905202264712_Bla</v>
      </c>
      <c r="B38" s="17">
        <v>8905202264712</v>
      </c>
      <c r="C38" s="6" t="str">
        <f t="shared" si="1"/>
        <v>8905202264712_Bla_Onesize</v>
      </c>
      <c r="D38" s="8" t="s">
        <v>333</v>
      </c>
      <c r="E38" s="8" t="s">
        <v>27</v>
      </c>
      <c r="F38" t="s">
        <v>26</v>
      </c>
      <c r="G38" s="9" t="s">
        <v>317</v>
      </c>
      <c r="H38" s="9" t="s">
        <v>318</v>
      </c>
      <c r="I38" t="s">
        <v>319</v>
      </c>
      <c r="J38" s="18">
        <v>3495</v>
      </c>
      <c r="K38" s="18">
        <v>3495</v>
      </c>
      <c r="L38" s="8">
        <v>61034200</v>
      </c>
      <c r="M38" s="6">
        <v>18</v>
      </c>
      <c r="N38" s="19" t="s">
        <v>326</v>
      </c>
      <c r="O38" s="8" t="s">
        <v>30</v>
      </c>
      <c r="P38" s="20" t="s">
        <v>326</v>
      </c>
      <c r="Q38" s="6" t="s">
        <v>321</v>
      </c>
      <c r="R38" s="21"/>
      <c r="S38" s="10"/>
    </row>
    <row r="39" spans="1:19" ht="16" x14ac:dyDescent="0.2">
      <c r="A39" s="5" t="str">
        <f t="shared" si="0"/>
        <v>8905202264705_Whi</v>
      </c>
      <c r="B39" s="17">
        <v>8905202264705</v>
      </c>
      <c r="C39" s="6" t="str">
        <f t="shared" si="1"/>
        <v>8905202264705_Whi_Onesize</v>
      </c>
      <c r="D39" s="8" t="s">
        <v>334</v>
      </c>
      <c r="E39" s="8" t="s">
        <v>27</v>
      </c>
      <c r="F39" t="s">
        <v>26</v>
      </c>
      <c r="G39" s="9" t="s">
        <v>317</v>
      </c>
      <c r="H39" s="9" t="s">
        <v>318</v>
      </c>
      <c r="I39" t="s">
        <v>319</v>
      </c>
      <c r="J39" s="18">
        <v>3495</v>
      </c>
      <c r="K39" s="18">
        <v>3495</v>
      </c>
      <c r="L39" s="8">
        <v>61034200</v>
      </c>
      <c r="M39" s="6">
        <v>18</v>
      </c>
      <c r="N39" s="19" t="s">
        <v>320</v>
      </c>
      <c r="O39" s="8" t="s">
        <v>30</v>
      </c>
      <c r="P39" s="20" t="s">
        <v>320</v>
      </c>
      <c r="Q39" s="6" t="s">
        <v>321</v>
      </c>
      <c r="R39" s="21"/>
      <c r="S39" s="10"/>
    </row>
    <row r="40" spans="1:19" ht="16" x14ac:dyDescent="0.2">
      <c r="A40" s="5" t="str">
        <f t="shared" si="0"/>
        <v>8905202264736_Whi</v>
      </c>
      <c r="B40" s="17">
        <v>8905202264736</v>
      </c>
      <c r="C40" s="6" t="str">
        <f t="shared" si="1"/>
        <v>8905202264736_Whi_S</v>
      </c>
      <c r="D40" s="19" t="s">
        <v>335</v>
      </c>
      <c r="E40" s="8" t="s">
        <v>27</v>
      </c>
      <c r="F40" t="s">
        <v>26</v>
      </c>
      <c r="G40" s="9" t="s">
        <v>317</v>
      </c>
      <c r="H40" s="9" t="s">
        <v>318</v>
      </c>
      <c r="I40" t="s">
        <v>319</v>
      </c>
      <c r="J40" s="18">
        <v>2495</v>
      </c>
      <c r="K40" s="18">
        <v>2495</v>
      </c>
      <c r="L40" s="8">
        <v>61034200</v>
      </c>
      <c r="M40" s="6">
        <v>5</v>
      </c>
      <c r="N40" s="8" t="s">
        <v>320</v>
      </c>
      <c r="O40" s="19" t="s">
        <v>54</v>
      </c>
      <c r="P40" s="20" t="s">
        <v>320</v>
      </c>
      <c r="Q40" s="6" t="s">
        <v>321</v>
      </c>
      <c r="R40" s="24"/>
      <c r="S40" s="10"/>
    </row>
    <row r="41" spans="1:19" ht="16" x14ac:dyDescent="0.2">
      <c r="A41" s="5" t="str">
        <f t="shared" si="0"/>
        <v>8905202264743_Whi</v>
      </c>
      <c r="B41" s="17">
        <v>8905202264743</v>
      </c>
      <c r="C41" s="6" t="str">
        <f t="shared" si="1"/>
        <v>8905202264743_Whi_M</v>
      </c>
      <c r="D41" s="19" t="s">
        <v>335</v>
      </c>
      <c r="E41" s="8" t="s">
        <v>27</v>
      </c>
      <c r="F41" t="s">
        <v>26</v>
      </c>
      <c r="G41" s="9" t="s">
        <v>317</v>
      </c>
      <c r="H41" s="9" t="s">
        <v>318</v>
      </c>
      <c r="I41" t="s">
        <v>319</v>
      </c>
      <c r="J41" s="18">
        <v>2495</v>
      </c>
      <c r="K41" s="18">
        <v>2495</v>
      </c>
      <c r="L41" s="8">
        <v>61034200</v>
      </c>
      <c r="M41" s="6">
        <v>5</v>
      </c>
      <c r="N41" s="8" t="s">
        <v>320</v>
      </c>
      <c r="O41" s="19" t="s">
        <v>61</v>
      </c>
      <c r="P41" s="20" t="s">
        <v>320</v>
      </c>
      <c r="Q41" s="6" t="s">
        <v>321</v>
      </c>
      <c r="R41" s="25"/>
      <c r="S41" s="10"/>
    </row>
    <row r="42" spans="1:19" ht="16" x14ac:dyDescent="0.2">
      <c r="A42" s="5" t="str">
        <f t="shared" si="0"/>
        <v>8905202264774_Whi</v>
      </c>
      <c r="B42" s="17">
        <v>8905202264774</v>
      </c>
      <c r="C42" s="6" t="str">
        <f t="shared" si="1"/>
        <v>8905202264774_Whi_L</v>
      </c>
      <c r="D42" s="19" t="s">
        <v>335</v>
      </c>
      <c r="E42" s="8" t="s">
        <v>27</v>
      </c>
      <c r="F42" t="s">
        <v>26</v>
      </c>
      <c r="G42" s="9" t="s">
        <v>317</v>
      </c>
      <c r="H42" s="9" t="s">
        <v>318</v>
      </c>
      <c r="I42" t="s">
        <v>319</v>
      </c>
      <c r="J42" s="18">
        <v>2495</v>
      </c>
      <c r="K42" s="18">
        <v>2495</v>
      </c>
      <c r="L42" s="8">
        <v>61034200</v>
      </c>
      <c r="M42" s="6">
        <v>5</v>
      </c>
      <c r="N42" s="8" t="s">
        <v>320</v>
      </c>
      <c r="O42" s="19" t="s">
        <v>44</v>
      </c>
      <c r="P42" s="20" t="s">
        <v>320</v>
      </c>
      <c r="Q42" s="6" t="s">
        <v>321</v>
      </c>
      <c r="R42" s="25"/>
      <c r="S42" s="10"/>
    </row>
    <row r="43" spans="1:19" ht="16" x14ac:dyDescent="0.2">
      <c r="A43" s="5" t="str">
        <f t="shared" si="0"/>
        <v>8905202264767_Whi</v>
      </c>
      <c r="B43" s="17">
        <v>8905202264767</v>
      </c>
      <c r="C43" s="6" t="str">
        <f t="shared" si="1"/>
        <v>8905202264767_Whi_XL</v>
      </c>
      <c r="D43" s="19" t="s">
        <v>335</v>
      </c>
      <c r="E43" s="8" t="s">
        <v>27</v>
      </c>
      <c r="F43" t="s">
        <v>26</v>
      </c>
      <c r="G43" s="9" t="s">
        <v>317</v>
      </c>
      <c r="H43" s="9" t="s">
        <v>318</v>
      </c>
      <c r="I43" t="s">
        <v>319</v>
      </c>
      <c r="J43" s="18">
        <v>2495</v>
      </c>
      <c r="K43" s="18">
        <v>2495</v>
      </c>
      <c r="L43" s="8">
        <v>61034200</v>
      </c>
      <c r="M43" s="6">
        <v>5</v>
      </c>
      <c r="N43" s="8" t="s">
        <v>320</v>
      </c>
      <c r="O43" s="19" t="s">
        <v>38</v>
      </c>
      <c r="P43" s="20" t="s">
        <v>320</v>
      </c>
      <c r="Q43" s="6" t="s">
        <v>321</v>
      </c>
      <c r="R43" s="25"/>
      <c r="S43" s="10"/>
    </row>
    <row r="44" spans="1:19" ht="16" x14ac:dyDescent="0.2">
      <c r="A44" s="5" t="str">
        <f t="shared" si="0"/>
        <v>8905202264750_Whi</v>
      </c>
      <c r="B44" s="17">
        <v>8905202264750</v>
      </c>
      <c r="C44" s="6" t="str">
        <f t="shared" si="1"/>
        <v>8905202264750_Whi_XXL</v>
      </c>
      <c r="D44" s="19" t="s">
        <v>335</v>
      </c>
      <c r="E44" s="8" t="s">
        <v>27</v>
      </c>
      <c r="F44" t="s">
        <v>26</v>
      </c>
      <c r="G44" s="9" t="s">
        <v>317</v>
      </c>
      <c r="H44" s="9" t="s">
        <v>318</v>
      </c>
      <c r="I44" t="s">
        <v>319</v>
      </c>
      <c r="J44" s="18">
        <v>2495</v>
      </c>
      <c r="K44" s="18">
        <v>2495</v>
      </c>
      <c r="L44" s="8">
        <v>61034200</v>
      </c>
      <c r="M44" s="6">
        <v>5</v>
      </c>
      <c r="N44" s="8" t="s">
        <v>320</v>
      </c>
      <c r="O44" s="19" t="s">
        <v>84</v>
      </c>
      <c r="P44" s="20" t="s">
        <v>320</v>
      </c>
      <c r="Q44" s="6" t="s">
        <v>321</v>
      </c>
      <c r="R44" s="25"/>
      <c r="S44" s="10"/>
    </row>
    <row r="45" spans="1:19" ht="16" x14ac:dyDescent="0.2">
      <c r="A45" s="5" t="str">
        <f t="shared" si="0"/>
        <v>8905202264781_Gre</v>
      </c>
      <c r="B45" s="17">
        <v>8905202264781</v>
      </c>
      <c r="C45" s="6" t="str">
        <f t="shared" si="1"/>
        <v>8905202264781_Gre_S</v>
      </c>
      <c r="D45" s="19" t="s">
        <v>336</v>
      </c>
      <c r="E45" s="8" t="s">
        <v>27</v>
      </c>
      <c r="F45" t="s">
        <v>26</v>
      </c>
      <c r="G45" s="9" t="s">
        <v>317</v>
      </c>
      <c r="H45" s="9" t="s">
        <v>318</v>
      </c>
      <c r="I45" t="s">
        <v>319</v>
      </c>
      <c r="J45" s="22">
        <v>4495</v>
      </c>
      <c r="K45" s="22">
        <v>4495</v>
      </c>
      <c r="L45" s="8">
        <v>61034200</v>
      </c>
      <c r="M45" s="6">
        <v>18</v>
      </c>
      <c r="N45" s="19" t="s">
        <v>337</v>
      </c>
      <c r="O45" s="8" t="s">
        <v>54</v>
      </c>
      <c r="P45" s="20" t="s">
        <v>337</v>
      </c>
      <c r="Q45" s="6" t="s">
        <v>324</v>
      </c>
      <c r="R45" s="21"/>
      <c r="S45" s="10"/>
    </row>
    <row r="46" spans="1:19" ht="16" x14ac:dyDescent="0.2">
      <c r="A46" s="5" t="str">
        <f t="shared" si="0"/>
        <v>8905202264798_Gre</v>
      </c>
      <c r="B46" s="17">
        <v>8905202264798</v>
      </c>
      <c r="C46" s="6" t="str">
        <f t="shared" si="1"/>
        <v>8905202264798_Gre_M</v>
      </c>
      <c r="D46" s="19" t="s">
        <v>336</v>
      </c>
      <c r="E46" s="8" t="s">
        <v>27</v>
      </c>
      <c r="F46" t="s">
        <v>26</v>
      </c>
      <c r="G46" s="9" t="s">
        <v>317</v>
      </c>
      <c r="H46" s="9" t="s">
        <v>318</v>
      </c>
      <c r="I46" t="s">
        <v>319</v>
      </c>
      <c r="J46" s="22">
        <v>4495</v>
      </c>
      <c r="K46" s="22">
        <v>4495</v>
      </c>
      <c r="L46" s="8">
        <v>61034200</v>
      </c>
      <c r="M46" s="6">
        <v>18</v>
      </c>
      <c r="N46" s="19" t="s">
        <v>337</v>
      </c>
      <c r="O46" s="8" t="s">
        <v>61</v>
      </c>
      <c r="P46" s="20" t="s">
        <v>337</v>
      </c>
      <c r="Q46" s="6" t="s">
        <v>324</v>
      </c>
      <c r="R46" s="21"/>
      <c r="S46" s="10"/>
    </row>
    <row r="47" spans="1:19" ht="16" x14ac:dyDescent="0.2">
      <c r="A47" s="5" t="str">
        <f t="shared" si="0"/>
        <v>8905202264828_Gre</v>
      </c>
      <c r="B47" s="17">
        <v>8905202264828</v>
      </c>
      <c r="C47" s="6" t="str">
        <f t="shared" si="1"/>
        <v>8905202264828_Gre_L</v>
      </c>
      <c r="D47" s="19" t="s">
        <v>336</v>
      </c>
      <c r="E47" s="8" t="s">
        <v>27</v>
      </c>
      <c r="F47" t="s">
        <v>26</v>
      </c>
      <c r="G47" s="9" t="s">
        <v>317</v>
      </c>
      <c r="H47" s="9" t="s">
        <v>318</v>
      </c>
      <c r="I47" t="s">
        <v>319</v>
      </c>
      <c r="J47" s="22">
        <v>4495</v>
      </c>
      <c r="K47" s="22">
        <v>4495</v>
      </c>
      <c r="L47" s="8">
        <v>61034200</v>
      </c>
      <c r="M47" s="6">
        <v>18</v>
      </c>
      <c r="N47" s="19" t="s">
        <v>337</v>
      </c>
      <c r="O47" s="8" t="s">
        <v>44</v>
      </c>
      <c r="P47" s="20" t="s">
        <v>337</v>
      </c>
      <c r="Q47" s="6" t="s">
        <v>324</v>
      </c>
      <c r="R47" s="21"/>
      <c r="S47" s="10"/>
    </row>
    <row r="48" spans="1:19" ht="16" x14ac:dyDescent="0.2">
      <c r="A48" s="5" t="str">
        <f t="shared" si="0"/>
        <v>8905202264811_Gre</v>
      </c>
      <c r="B48" s="17">
        <v>8905202264811</v>
      </c>
      <c r="C48" s="6" t="str">
        <f t="shared" si="1"/>
        <v>8905202264811_Gre_XL</v>
      </c>
      <c r="D48" s="19" t="s">
        <v>336</v>
      </c>
      <c r="E48" s="8" t="s">
        <v>27</v>
      </c>
      <c r="F48" t="s">
        <v>26</v>
      </c>
      <c r="G48" s="9" t="s">
        <v>317</v>
      </c>
      <c r="H48" s="9" t="s">
        <v>318</v>
      </c>
      <c r="I48" t="s">
        <v>319</v>
      </c>
      <c r="J48" s="22">
        <v>4495</v>
      </c>
      <c r="K48" s="22">
        <v>4495</v>
      </c>
      <c r="L48" s="8">
        <v>61034200</v>
      </c>
      <c r="M48" s="6">
        <v>18</v>
      </c>
      <c r="N48" s="19" t="s">
        <v>337</v>
      </c>
      <c r="O48" s="8" t="s">
        <v>38</v>
      </c>
      <c r="P48" s="20" t="s">
        <v>337</v>
      </c>
      <c r="Q48" s="6" t="s">
        <v>324</v>
      </c>
      <c r="R48" s="21"/>
      <c r="S48" s="10"/>
    </row>
    <row r="49" spans="1:19" ht="16" x14ac:dyDescent="0.2">
      <c r="A49" s="5" t="str">
        <f t="shared" si="0"/>
        <v>8905202264804_Gre</v>
      </c>
      <c r="B49" s="17">
        <v>8905202264804</v>
      </c>
      <c r="C49" s="6" t="str">
        <f t="shared" si="1"/>
        <v>8905202264804_Gre_XXL</v>
      </c>
      <c r="D49" s="19" t="s">
        <v>336</v>
      </c>
      <c r="E49" s="8" t="s">
        <v>27</v>
      </c>
      <c r="F49" t="s">
        <v>26</v>
      </c>
      <c r="G49" s="9" t="s">
        <v>317</v>
      </c>
      <c r="H49" s="9" t="s">
        <v>318</v>
      </c>
      <c r="I49" t="s">
        <v>319</v>
      </c>
      <c r="J49" s="22">
        <v>4495</v>
      </c>
      <c r="K49" s="22">
        <v>4495</v>
      </c>
      <c r="L49" s="8">
        <v>61034200</v>
      </c>
      <c r="M49" s="6">
        <v>18</v>
      </c>
      <c r="N49" s="19" t="s">
        <v>337</v>
      </c>
      <c r="O49" s="8" t="s">
        <v>84</v>
      </c>
      <c r="P49" s="20" t="s">
        <v>337</v>
      </c>
      <c r="Q49" s="6" t="s">
        <v>324</v>
      </c>
      <c r="R49" s="21"/>
      <c r="S49" s="10"/>
    </row>
    <row r="50" spans="1:19" ht="16" x14ac:dyDescent="0.2">
      <c r="A50" s="5" t="str">
        <f t="shared" si="0"/>
        <v>8905202264835_Bla</v>
      </c>
      <c r="B50" s="17">
        <v>8905202264835</v>
      </c>
      <c r="C50" s="6" t="str">
        <f t="shared" si="1"/>
        <v>8905202264835_Bla_S</v>
      </c>
      <c r="D50" s="19" t="s">
        <v>338</v>
      </c>
      <c r="E50" s="8" t="s">
        <v>27</v>
      </c>
      <c r="F50" t="s">
        <v>26</v>
      </c>
      <c r="G50" s="9" t="s">
        <v>317</v>
      </c>
      <c r="H50" s="9" t="s">
        <v>318</v>
      </c>
      <c r="I50" t="s">
        <v>319</v>
      </c>
      <c r="J50" s="18">
        <v>3995</v>
      </c>
      <c r="K50" s="18">
        <v>3995</v>
      </c>
      <c r="L50" s="8">
        <v>61034200</v>
      </c>
      <c r="M50" s="6">
        <v>18</v>
      </c>
      <c r="N50" s="8" t="s">
        <v>326</v>
      </c>
      <c r="O50" s="8" t="s">
        <v>54</v>
      </c>
      <c r="P50" s="20" t="s">
        <v>326</v>
      </c>
      <c r="Q50" s="6" t="s">
        <v>324</v>
      </c>
      <c r="R50" s="21"/>
      <c r="S50" s="10"/>
    </row>
    <row r="51" spans="1:19" ht="16" x14ac:dyDescent="0.2">
      <c r="A51" s="5" t="str">
        <f t="shared" si="0"/>
        <v>8905202264842_Bla</v>
      </c>
      <c r="B51" s="17">
        <v>8905202264842</v>
      </c>
      <c r="C51" s="6" t="str">
        <f t="shared" si="1"/>
        <v>8905202264842_Bla_M</v>
      </c>
      <c r="D51" s="19" t="s">
        <v>338</v>
      </c>
      <c r="E51" s="8" t="s">
        <v>27</v>
      </c>
      <c r="F51" t="s">
        <v>26</v>
      </c>
      <c r="G51" s="9" t="s">
        <v>317</v>
      </c>
      <c r="H51" s="9" t="s">
        <v>318</v>
      </c>
      <c r="I51" t="s">
        <v>319</v>
      </c>
      <c r="J51" s="18">
        <v>3995</v>
      </c>
      <c r="K51" s="18">
        <v>3995</v>
      </c>
      <c r="L51" s="8">
        <v>61034200</v>
      </c>
      <c r="M51" s="6">
        <v>18</v>
      </c>
      <c r="N51" s="8" t="s">
        <v>326</v>
      </c>
      <c r="O51" s="8" t="s">
        <v>61</v>
      </c>
      <c r="P51" s="20" t="s">
        <v>326</v>
      </c>
      <c r="Q51" s="6" t="s">
        <v>324</v>
      </c>
      <c r="R51" s="21"/>
      <c r="S51" s="10"/>
    </row>
    <row r="52" spans="1:19" ht="16" x14ac:dyDescent="0.2">
      <c r="A52" s="5" t="str">
        <f t="shared" si="0"/>
        <v>8905202264873_Bla</v>
      </c>
      <c r="B52" s="17">
        <v>8905202264873</v>
      </c>
      <c r="C52" s="6" t="str">
        <f t="shared" si="1"/>
        <v>8905202264873_Bla_L</v>
      </c>
      <c r="D52" s="19" t="s">
        <v>338</v>
      </c>
      <c r="E52" s="19" t="s">
        <v>27</v>
      </c>
      <c r="F52" t="s">
        <v>26</v>
      </c>
      <c r="G52" s="9" t="s">
        <v>317</v>
      </c>
      <c r="H52" s="9" t="s">
        <v>318</v>
      </c>
      <c r="I52" t="s">
        <v>319</v>
      </c>
      <c r="J52" s="18">
        <v>3995</v>
      </c>
      <c r="K52" s="18">
        <v>3995</v>
      </c>
      <c r="L52" s="19">
        <v>61034200</v>
      </c>
      <c r="M52" s="6">
        <v>18</v>
      </c>
      <c r="N52" s="19" t="s">
        <v>326</v>
      </c>
      <c r="O52" s="19" t="s">
        <v>44</v>
      </c>
      <c r="P52" s="20" t="s">
        <v>326</v>
      </c>
      <c r="Q52" s="6" t="s">
        <v>324</v>
      </c>
      <c r="R52" s="21"/>
      <c r="S52" s="10"/>
    </row>
    <row r="53" spans="1:19" ht="16" x14ac:dyDescent="0.2">
      <c r="A53" s="5" t="str">
        <f t="shared" si="0"/>
        <v>8905202264866_Bla</v>
      </c>
      <c r="B53" s="17">
        <v>8905202264866</v>
      </c>
      <c r="C53" s="6" t="str">
        <f t="shared" si="1"/>
        <v>8905202264866_Bla_XL</v>
      </c>
      <c r="D53" s="19" t="s">
        <v>338</v>
      </c>
      <c r="E53" s="8" t="s">
        <v>27</v>
      </c>
      <c r="F53" t="s">
        <v>26</v>
      </c>
      <c r="G53" s="9" t="s">
        <v>317</v>
      </c>
      <c r="H53" s="9" t="s">
        <v>318</v>
      </c>
      <c r="I53" t="s">
        <v>319</v>
      </c>
      <c r="J53" s="18">
        <v>3995</v>
      </c>
      <c r="K53" s="18">
        <v>3995</v>
      </c>
      <c r="L53" s="8">
        <v>61034200</v>
      </c>
      <c r="M53" s="6">
        <v>18</v>
      </c>
      <c r="N53" s="8" t="s">
        <v>326</v>
      </c>
      <c r="O53" s="8" t="s">
        <v>38</v>
      </c>
      <c r="P53" s="20" t="s">
        <v>326</v>
      </c>
      <c r="Q53" s="6" t="s">
        <v>324</v>
      </c>
      <c r="R53" s="21"/>
      <c r="S53" s="10"/>
    </row>
    <row r="54" spans="1:19" ht="16" x14ac:dyDescent="0.2">
      <c r="A54" s="5" t="str">
        <f t="shared" si="0"/>
        <v>8905202264859_Bla</v>
      </c>
      <c r="B54" s="17">
        <v>8905202264859</v>
      </c>
      <c r="C54" s="6" t="str">
        <f t="shared" si="1"/>
        <v>8905202264859_Bla_XXL</v>
      </c>
      <c r="D54" s="19" t="s">
        <v>338</v>
      </c>
      <c r="E54" s="8" t="s">
        <v>27</v>
      </c>
      <c r="F54" t="s">
        <v>26</v>
      </c>
      <c r="G54" s="9" t="s">
        <v>317</v>
      </c>
      <c r="H54" s="9" t="s">
        <v>318</v>
      </c>
      <c r="I54" t="s">
        <v>319</v>
      </c>
      <c r="J54" s="18">
        <v>3995</v>
      </c>
      <c r="K54" s="18">
        <v>3995</v>
      </c>
      <c r="L54" s="8">
        <v>61034200</v>
      </c>
      <c r="M54" s="6">
        <v>18</v>
      </c>
      <c r="N54" s="8" t="s">
        <v>326</v>
      </c>
      <c r="O54" s="8" t="s">
        <v>84</v>
      </c>
      <c r="P54" s="20" t="s">
        <v>326</v>
      </c>
      <c r="Q54" s="6" t="s">
        <v>324</v>
      </c>
      <c r="R54" s="21"/>
      <c r="S54" s="10"/>
    </row>
    <row r="55" spans="1:19" ht="16" x14ac:dyDescent="0.2">
      <c r="A55" s="5" t="str">
        <f t="shared" si="0"/>
        <v>8905202264880_Whi</v>
      </c>
      <c r="B55" s="17">
        <v>8905202264880</v>
      </c>
      <c r="C55" s="6" t="str">
        <f t="shared" si="1"/>
        <v>8905202264880_Whi_S</v>
      </c>
      <c r="D55" s="19" t="s">
        <v>339</v>
      </c>
      <c r="E55" s="19" t="s">
        <v>27</v>
      </c>
      <c r="F55" t="s">
        <v>26</v>
      </c>
      <c r="G55" s="9" t="s">
        <v>317</v>
      </c>
      <c r="H55" s="9" t="s">
        <v>318</v>
      </c>
      <c r="I55" t="s">
        <v>319</v>
      </c>
      <c r="J55" s="18">
        <v>2995</v>
      </c>
      <c r="K55" s="18">
        <v>2995</v>
      </c>
      <c r="L55" s="19">
        <v>61034200</v>
      </c>
      <c r="M55" s="6">
        <v>18</v>
      </c>
      <c r="N55" s="19" t="s">
        <v>320</v>
      </c>
      <c r="O55" s="19" t="s">
        <v>54</v>
      </c>
      <c r="P55" s="20" t="s">
        <v>320</v>
      </c>
      <c r="Q55" s="6" t="s">
        <v>321</v>
      </c>
      <c r="R55" s="21"/>
      <c r="S55" s="10"/>
    </row>
    <row r="56" spans="1:19" ht="16" x14ac:dyDescent="0.2">
      <c r="A56" s="5" t="str">
        <f t="shared" si="0"/>
        <v>8905202264897_Whi</v>
      </c>
      <c r="B56" s="17">
        <v>8905202264897</v>
      </c>
      <c r="C56" s="6" t="str">
        <f t="shared" si="1"/>
        <v>8905202264897_Whi_M</v>
      </c>
      <c r="D56" s="19" t="s">
        <v>339</v>
      </c>
      <c r="E56" s="8" t="s">
        <v>27</v>
      </c>
      <c r="F56" t="s">
        <v>26</v>
      </c>
      <c r="G56" s="9" t="s">
        <v>317</v>
      </c>
      <c r="H56" s="9" t="s">
        <v>318</v>
      </c>
      <c r="I56" t="s">
        <v>319</v>
      </c>
      <c r="J56" s="18">
        <v>2995</v>
      </c>
      <c r="K56" s="18">
        <v>2995</v>
      </c>
      <c r="L56" s="8">
        <v>61034200</v>
      </c>
      <c r="M56" s="6">
        <v>18</v>
      </c>
      <c r="N56" s="8" t="s">
        <v>320</v>
      </c>
      <c r="O56" s="8" t="s">
        <v>61</v>
      </c>
      <c r="P56" s="20" t="s">
        <v>320</v>
      </c>
      <c r="Q56" s="6" t="s">
        <v>321</v>
      </c>
      <c r="R56" s="21"/>
      <c r="S56" s="10"/>
    </row>
    <row r="57" spans="1:19" ht="16" x14ac:dyDescent="0.2">
      <c r="A57" s="5" t="str">
        <f t="shared" si="0"/>
        <v>8905202265023_Whi</v>
      </c>
      <c r="B57" s="17">
        <v>8905202265023</v>
      </c>
      <c r="C57" s="6" t="str">
        <f t="shared" si="1"/>
        <v>8905202265023_Whi_L</v>
      </c>
      <c r="D57" s="19" t="s">
        <v>339</v>
      </c>
      <c r="E57" s="8" t="s">
        <v>27</v>
      </c>
      <c r="F57" t="s">
        <v>26</v>
      </c>
      <c r="G57" s="9" t="s">
        <v>317</v>
      </c>
      <c r="H57" s="9" t="s">
        <v>318</v>
      </c>
      <c r="I57" t="s">
        <v>319</v>
      </c>
      <c r="J57" s="18">
        <v>2995</v>
      </c>
      <c r="K57" s="18">
        <v>2995</v>
      </c>
      <c r="L57" s="8">
        <v>61034200</v>
      </c>
      <c r="M57" s="6">
        <v>18</v>
      </c>
      <c r="N57" s="8" t="s">
        <v>320</v>
      </c>
      <c r="O57" s="8" t="s">
        <v>44</v>
      </c>
      <c r="P57" s="20" t="s">
        <v>320</v>
      </c>
      <c r="Q57" s="6" t="s">
        <v>321</v>
      </c>
      <c r="R57" s="21"/>
      <c r="S57" s="10"/>
    </row>
    <row r="58" spans="1:19" ht="16" x14ac:dyDescent="0.2">
      <c r="A58" s="5" t="str">
        <f t="shared" si="0"/>
        <v>8905202265016_Whi</v>
      </c>
      <c r="B58" s="17">
        <v>8905202265016</v>
      </c>
      <c r="C58" s="6" t="str">
        <f t="shared" si="1"/>
        <v>8905202265016_Whi_XL</v>
      </c>
      <c r="D58" s="19" t="s">
        <v>339</v>
      </c>
      <c r="E58" s="8" t="s">
        <v>27</v>
      </c>
      <c r="F58" t="s">
        <v>26</v>
      </c>
      <c r="G58" s="9" t="s">
        <v>317</v>
      </c>
      <c r="H58" s="9" t="s">
        <v>318</v>
      </c>
      <c r="I58" t="s">
        <v>319</v>
      </c>
      <c r="J58" s="18">
        <v>2995</v>
      </c>
      <c r="K58" s="18">
        <v>2995</v>
      </c>
      <c r="L58" s="8">
        <v>61034200</v>
      </c>
      <c r="M58" s="6">
        <v>18</v>
      </c>
      <c r="N58" s="8" t="s">
        <v>320</v>
      </c>
      <c r="O58" s="8" t="s">
        <v>38</v>
      </c>
      <c r="P58" s="20" t="s">
        <v>320</v>
      </c>
      <c r="Q58" s="6" t="s">
        <v>321</v>
      </c>
      <c r="R58" s="21"/>
      <c r="S58" s="10"/>
    </row>
    <row r="59" spans="1:19" ht="16" x14ac:dyDescent="0.2">
      <c r="A59" s="5" t="str">
        <f t="shared" si="0"/>
        <v>8905202265009_Whi</v>
      </c>
      <c r="B59" s="17">
        <v>8905202265009</v>
      </c>
      <c r="C59" s="6" t="str">
        <f t="shared" si="1"/>
        <v>8905202265009_Whi_XXL</v>
      </c>
      <c r="D59" s="19" t="s">
        <v>339</v>
      </c>
      <c r="E59" s="8" t="s">
        <v>27</v>
      </c>
      <c r="F59" t="s">
        <v>26</v>
      </c>
      <c r="G59" s="9" t="s">
        <v>317</v>
      </c>
      <c r="H59" s="9" t="s">
        <v>318</v>
      </c>
      <c r="I59" t="s">
        <v>319</v>
      </c>
      <c r="J59" s="18">
        <v>2995</v>
      </c>
      <c r="K59" s="18">
        <v>2995</v>
      </c>
      <c r="L59" s="8">
        <v>61034200</v>
      </c>
      <c r="M59" s="6">
        <v>18</v>
      </c>
      <c r="N59" s="8" t="s">
        <v>320</v>
      </c>
      <c r="O59" s="8" t="s">
        <v>84</v>
      </c>
      <c r="P59" s="20" t="s">
        <v>320</v>
      </c>
      <c r="Q59" s="6" t="s">
        <v>321</v>
      </c>
      <c r="R59" s="21"/>
      <c r="S59" s="10"/>
    </row>
    <row r="60" spans="1:19" x14ac:dyDescent="0.2">
      <c r="A60" s="5" t="str">
        <f t="shared" si="0"/>
        <v>8905202265030_Blu</v>
      </c>
      <c r="B60" s="17">
        <v>8905202265030</v>
      </c>
      <c r="C60" s="6" t="str">
        <f t="shared" si="1"/>
        <v>8905202265030_Blu_S</v>
      </c>
      <c r="D60" s="7" t="s">
        <v>340</v>
      </c>
      <c r="E60" s="8" t="s">
        <v>27</v>
      </c>
      <c r="F60" t="s">
        <v>26</v>
      </c>
      <c r="G60" s="9" t="s">
        <v>317</v>
      </c>
      <c r="H60" s="9" t="s">
        <v>318</v>
      </c>
      <c r="I60" t="s">
        <v>319</v>
      </c>
      <c r="J60" s="18">
        <v>2995</v>
      </c>
      <c r="K60" s="18">
        <v>2995</v>
      </c>
      <c r="L60" s="8">
        <v>61034200</v>
      </c>
      <c r="M60" s="6">
        <v>18</v>
      </c>
      <c r="N60" s="19" t="s">
        <v>328</v>
      </c>
      <c r="O60" s="19" t="s">
        <v>54</v>
      </c>
      <c r="P60" s="20" t="s">
        <v>328</v>
      </c>
      <c r="Q60" s="6" t="s">
        <v>321</v>
      </c>
      <c r="R60" s="26"/>
      <c r="S60" s="10"/>
    </row>
    <row r="61" spans="1:19" ht="16" x14ac:dyDescent="0.2">
      <c r="A61" s="5" t="str">
        <f t="shared" si="0"/>
        <v>8905202265047_Blu</v>
      </c>
      <c r="B61" s="17">
        <v>8905202265047</v>
      </c>
      <c r="C61" s="6" t="str">
        <f t="shared" si="1"/>
        <v>8905202265047_Blu_M</v>
      </c>
      <c r="D61" s="7" t="s">
        <v>340</v>
      </c>
      <c r="E61" s="8" t="s">
        <v>27</v>
      </c>
      <c r="F61" t="s">
        <v>26</v>
      </c>
      <c r="G61" s="9" t="s">
        <v>317</v>
      </c>
      <c r="H61" s="9" t="s">
        <v>318</v>
      </c>
      <c r="I61" t="s">
        <v>319</v>
      </c>
      <c r="J61" s="18">
        <v>2995</v>
      </c>
      <c r="K61" s="18">
        <v>2995</v>
      </c>
      <c r="L61" s="8">
        <v>61034200</v>
      </c>
      <c r="M61" s="6">
        <v>18</v>
      </c>
      <c r="N61" s="19" t="s">
        <v>328</v>
      </c>
      <c r="O61" s="8" t="s">
        <v>61</v>
      </c>
      <c r="P61" s="20" t="s">
        <v>328</v>
      </c>
      <c r="Q61" s="6" t="s">
        <v>321</v>
      </c>
      <c r="R61" s="21"/>
      <c r="S61" s="10"/>
    </row>
    <row r="62" spans="1:19" ht="16" x14ac:dyDescent="0.2">
      <c r="A62" s="5" t="str">
        <f t="shared" si="0"/>
        <v>8905202264927_Blu</v>
      </c>
      <c r="B62" s="17">
        <v>8905202264927</v>
      </c>
      <c r="C62" s="6" t="str">
        <f t="shared" si="1"/>
        <v>8905202264927_Blu_L</v>
      </c>
      <c r="D62" s="7" t="s">
        <v>340</v>
      </c>
      <c r="E62" s="8" t="s">
        <v>27</v>
      </c>
      <c r="F62" t="s">
        <v>26</v>
      </c>
      <c r="G62" s="9" t="s">
        <v>317</v>
      </c>
      <c r="H62" s="9" t="s">
        <v>318</v>
      </c>
      <c r="I62" t="s">
        <v>319</v>
      </c>
      <c r="J62" s="18">
        <v>2995</v>
      </c>
      <c r="K62" s="18">
        <v>2995</v>
      </c>
      <c r="L62" s="8">
        <v>61034200</v>
      </c>
      <c r="M62" s="6">
        <v>18</v>
      </c>
      <c r="N62" s="19" t="s">
        <v>328</v>
      </c>
      <c r="O62" s="8" t="s">
        <v>44</v>
      </c>
      <c r="P62" s="20" t="s">
        <v>328</v>
      </c>
      <c r="Q62" s="6" t="s">
        <v>321</v>
      </c>
      <c r="R62" s="21"/>
      <c r="S62" s="10"/>
    </row>
    <row r="63" spans="1:19" ht="16" x14ac:dyDescent="0.2">
      <c r="A63" s="5" t="str">
        <f t="shared" si="0"/>
        <v>8905202264910_Blu</v>
      </c>
      <c r="B63" s="17">
        <v>8905202264910</v>
      </c>
      <c r="C63" s="6" t="str">
        <f t="shared" si="1"/>
        <v>8905202264910_Blu_XL</v>
      </c>
      <c r="D63" s="7" t="s">
        <v>340</v>
      </c>
      <c r="E63" s="8" t="s">
        <v>27</v>
      </c>
      <c r="F63" t="s">
        <v>26</v>
      </c>
      <c r="G63" s="9" t="s">
        <v>317</v>
      </c>
      <c r="H63" s="9" t="s">
        <v>318</v>
      </c>
      <c r="I63" t="s">
        <v>319</v>
      </c>
      <c r="J63" s="18">
        <v>2995</v>
      </c>
      <c r="K63" s="18">
        <v>2995</v>
      </c>
      <c r="L63" s="8">
        <v>61034200</v>
      </c>
      <c r="M63" s="6">
        <v>18</v>
      </c>
      <c r="N63" s="19" t="s">
        <v>328</v>
      </c>
      <c r="O63" s="8" t="s">
        <v>38</v>
      </c>
      <c r="P63" s="20" t="s">
        <v>328</v>
      </c>
      <c r="Q63" s="6" t="s">
        <v>321</v>
      </c>
      <c r="R63" s="21"/>
      <c r="S63" s="10"/>
    </row>
    <row r="64" spans="1:19" ht="16" x14ac:dyDescent="0.2">
      <c r="A64" s="5" t="str">
        <f t="shared" si="0"/>
        <v>8905202264903_Blu</v>
      </c>
      <c r="B64" s="17">
        <v>8905202264903</v>
      </c>
      <c r="C64" s="6" t="str">
        <f t="shared" si="1"/>
        <v>8905202264903_Blu_XXL</v>
      </c>
      <c r="D64" s="7" t="s">
        <v>340</v>
      </c>
      <c r="E64" s="8" t="s">
        <v>27</v>
      </c>
      <c r="F64" t="s">
        <v>26</v>
      </c>
      <c r="G64" s="9" t="s">
        <v>317</v>
      </c>
      <c r="H64" s="9" t="s">
        <v>318</v>
      </c>
      <c r="I64" t="s">
        <v>319</v>
      </c>
      <c r="J64" s="18">
        <v>2995</v>
      </c>
      <c r="K64" s="18">
        <v>2995</v>
      </c>
      <c r="L64" s="8">
        <v>61034200</v>
      </c>
      <c r="M64" s="6">
        <v>18</v>
      </c>
      <c r="N64" s="19" t="s">
        <v>328</v>
      </c>
      <c r="O64" s="8" t="s">
        <v>84</v>
      </c>
      <c r="P64" s="20" t="s">
        <v>328</v>
      </c>
      <c r="Q64" s="6" t="s">
        <v>321</v>
      </c>
      <c r="R64" s="21"/>
      <c r="S64" s="10"/>
    </row>
    <row r="65" spans="1:19" x14ac:dyDescent="0.2">
      <c r="A65" s="5" t="str">
        <f t="shared" si="0"/>
        <v>8905202264934_Whi</v>
      </c>
      <c r="B65" s="17">
        <v>8905202264934</v>
      </c>
      <c r="C65" s="6" t="str">
        <f t="shared" si="1"/>
        <v>8905202264934_Whi_S</v>
      </c>
      <c r="D65" s="7" t="s">
        <v>341</v>
      </c>
      <c r="E65" s="8" t="s">
        <v>27</v>
      </c>
      <c r="F65" t="s">
        <v>26</v>
      </c>
      <c r="G65" s="9" t="s">
        <v>317</v>
      </c>
      <c r="H65" s="9" t="s">
        <v>318</v>
      </c>
      <c r="I65" t="s">
        <v>319</v>
      </c>
      <c r="J65" s="18">
        <v>2495</v>
      </c>
      <c r="K65" s="18">
        <v>2495</v>
      </c>
      <c r="L65" s="8">
        <v>61034200</v>
      </c>
      <c r="M65" s="6">
        <v>5</v>
      </c>
      <c r="N65" s="19" t="s">
        <v>320</v>
      </c>
      <c r="O65" s="19" t="s">
        <v>54</v>
      </c>
      <c r="P65" s="20" t="s">
        <v>320</v>
      </c>
      <c r="Q65" s="6" t="s">
        <v>321</v>
      </c>
      <c r="R65" s="26"/>
      <c r="S65" s="10"/>
    </row>
    <row r="66" spans="1:19" ht="16" x14ac:dyDescent="0.2">
      <c r="A66" s="5" t="str">
        <f t="shared" si="0"/>
        <v>8905202264941_Whi</v>
      </c>
      <c r="B66" s="17">
        <v>8905202264941</v>
      </c>
      <c r="C66" s="6" t="str">
        <f t="shared" si="1"/>
        <v>8905202264941_Whi_M</v>
      </c>
      <c r="D66" s="7" t="s">
        <v>341</v>
      </c>
      <c r="E66" s="8" t="s">
        <v>27</v>
      </c>
      <c r="F66" t="s">
        <v>26</v>
      </c>
      <c r="G66" s="9" t="s">
        <v>317</v>
      </c>
      <c r="H66" s="9" t="s">
        <v>318</v>
      </c>
      <c r="I66" t="s">
        <v>319</v>
      </c>
      <c r="J66" s="18">
        <v>2495</v>
      </c>
      <c r="K66" s="18">
        <v>2495</v>
      </c>
      <c r="L66" s="8">
        <v>61034200</v>
      </c>
      <c r="M66" s="6">
        <v>5</v>
      </c>
      <c r="N66" s="8" t="s">
        <v>320</v>
      </c>
      <c r="O66" s="8" t="s">
        <v>61</v>
      </c>
      <c r="P66" s="20" t="s">
        <v>320</v>
      </c>
      <c r="Q66" s="6" t="s">
        <v>321</v>
      </c>
      <c r="R66" s="21"/>
      <c r="S66" s="10"/>
    </row>
    <row r="67" spans="1:19" ht="16" x14ac:dyDescent="0.2">
      <c r="A67" s="5" t="str">
        <f t="shared" ref="A67:A130" si="2" xml:space="preserve"> B67&amp; "_" &amp; LEFT(N67,3)</f>
        <v>8905202264972_Whi</v>
      </c>
      <c r="B67" s="17">
        <v>8905202264972</v>
      </c>
      <c r="C67" s="6" t="str">
        <f t="shared" ref="C67:C130" si="3">B67 &amp; "_" &amp; LEFT(N67,3) &amp; "_" &amp; O67</f>
        <v>8905202264972_Whi_L</v>
      </c>
      <c r="D67" s="7" t="s">
        <v>341</v>
      </c>
      <c r="E67" s="8" t="s">
        <v>27</v>
      </c>
      <c r="F67" t="s">
        <v>26</v>
      </c>
      <c r="G67" s="9" t="s">
        <v>317</v>
      </c>
      <c r="H67" s="9" t="s">
        <v>318</v>
      </c>
      <c r="I67" t="s">
        <v>319</v>
      </c>
      <c r="J67" s="18">
        <v>2495</v>
      </c>
      <c r="K67" s="18">
        <v>2495</v>
      </c>
      <c r="L67" s="8">
        <v>61034200</v>
      </c>
      <c r="M67" s="6">
        <v>5</v>
      </c>
      <c r="N67" s="8" t="s">
        <v>320</v>
      </c>
      <c r="O67" s="8" t="s">
        <v>44</v>
      </c>
      <c r="P67" s="20" t="s">
        <v>320</v>
      </c>
      <c r="Q67" s="6" t="s">
        <v>321</v>
      </c>
      <c r="R67" s="21"/>
      <c r="S67" s="10"/>
    </row>
    <row r="68" spans="1:19" ht="16" x14ac:dyDescent="0.2">
      <c r="A68" s="5" t="str">
        <f t="shared" si="2"/>
        <v>8905202264965_Whi</v>
      </c>
      <c r="B68" s="17">
        <v>8905202264965</v>
      </c>
      <c r="C68" s="6" t="str">
        <f t="shared" si="3"/>
        <v>8905202264965_Whi_XL</v>
      </c>
      <c r="D68" s="7" t="s">
        <v>341</v>
      </c>
      <c r="E68" s="8" t="s">
        <v>27</v>
      </c>
      <c r="F68" t="s">
        <v>26</v>
      </c>
      <c r="G68" s="9" t="s">
        <v>317</v>
      </c>
      <c r="H68" s="9" t="s">
        <v>318</v>
      </c>
      <c r="I68" t="s">
        <v>319</v>
      </c>
      <c r="J68" s="18">
        <v>2495</v>
      </c>
      <c r="K68" s="18">
        <v>2495</v>
      </c>
      <c r="L68" s="8">
        <v>61034200</v>
      </c>
      <c r="M68" s="6">
        <v>5</v>
      </c>
      <c r="N68" s="8" t="s">
        <v>320</v>
      </c>
      <c r="O68" s="8" t="s">
        <v>38</v>
      </c>
      <c r="P68" s="20" t="s">
        <v>320</v>
      </c>
      <c r="Q68" s="6" t="s">
        <v>321</v>
      </c>
      <c r="R68" s="21"/>
      <c r="S68" s="10"/>
    </row>
    <row r="69" spans="1:19" ht="16" x14ac:dyDescent="0.2">
      <c r="A69" s="5" t="str">
        <f t="shared" si="2"/>
        <v>8905202264958_Whi</v>
      </c>
      <c r="B69" s="17">
        <v>8905202264958</v>
      </c>
      <c r="C69" s="6" t="str">
        <f t="shared" si="3"/>
        <v>8905202264958_Whi_XXL</v>
      </c>
      <c r="D69" s="7" t="s">
        <v>341</v>
      </c>
      <c r="E69" s="8" t="s">
        <v>27</v>
      </c>
      <c r="F69" t="s">
        <v>26</v>
      </c>
      <c r="G69" s="9" t="s">
        <v>317</v>
      </c>
      <c r="H69" s="9" t="s">
        <v>318</v>
      </c>
      <c r="I69" t="s">
        <v>319</v>
      </c>
      <c r="J69" s="18">
        <v>2495</v>
      </c>
      <c r="K69" s="18">
        <v>2495</v>
      </c>
      <c r="L69" s="8">
        <v>61034200</v>
      </c>
      <c r="M69" s="6">
        <v>5</v>
      </c>
      <c r="N69" s="8" t="s">
        <v>320</v>
      </c>
      <c r="O69" s="8" t="s">
        <v>84</v>
      </c>
      <c r="P69" s="20" t="s">
        <v>320</v>
      </c>
      <c r="Q69" s="6" t="s">
        <v>321</v>
      </c>
      <c r="R69" s="21"/>
      <c r="S69" s="10"/>
    </row>
    <row r="70" spans="1:19" ht="16" x14ac:dyDescent="0.2">
      <c r="A70" s="5" t="str">
        <f t="shared" si="2"/>
        <v>8905202263128_Red</v>
      </c>
      <c r="B70" s="11">
        <v>8905202263128</v>
      </c>
      <c r="C70" s="6" t="str">
        <f t="shared" si="3"/>
        <v>8905202263128_Red_S</v>
      </c>
      <c r="D70" s="19" t="s">
        <v>342</v>
      </c>
      <c r="E70" s="8" t="s">
        <v>27</v>
      </c>
      <c r="F70" t="s">
        <v>160</v>
      </c>
      <c r="G70" s="9" t="s">
        <v>317</v>
      </c>
      <c r="H70" s="9" t="s">
        <v>318</v>
      </c>
      <c r="I70" t="s">
        <v>343</v>
      </c>
      <c r="J70" s="10">
        <v>5495</v>
      </c>
      <c r="K70" s="10">
        <v>5495</v>
      </c>
      <c r="L70" s="8">
        <v>61034200</v>
      </c>
      <c r="M70" s="6">
        <v>18</v>
      </c>
      <c r="N70" s="19" t="s">
        <v>323</v>
      </c>
      <c r="O70" s="8" t="s">
        <v>54</v>
      </c>
      <c r="P70" s="19" t="s">
        <v>323</v>
      </c>
      <c r="Q70" s="6" t="s">
        <v>324</v>
      </c>
      <c r="R70" s="21"/>
      <c r="S70" s="10"/>
    </row>
    <row r="71" spans="1:19" ht="16" x14ac:dyDescent="0.2">
      <c r="A71" s="5" t="str">
        <f t="shared" si="2"/>
        <v>8905202263111_Red</v>
      </c>
      <c r="B71" s="11">
        <v>8905202263111</v>
      </c>
      <c r="C71" s="6" t="str">
        <f t="shared" si="3"/>
        <v>8905202263111_Red_M</v>
      </c>
      <c r="D71" s="19" t="s">
        <v>344</v>
      </c>
      <c r="E71" s="8" t="s">
        <v>27</v>
      </c>
      <c r="F71" t="s">
        <v>160</v>
      </c>
      <c r="G71" s="9" t="s">
        <v>317</v>
      </c>
      <c r="H71" s="9" t="s">
        <v>318</v>
      </c>
      <c r="I71" t="s">
        <v>343</v>
      </c>
      <c r="J71" s="10">
        <v>5495</v>
      </c>
      <c r="K71" s="10">
        <v>5495</v>
      </c>
      <c r="L71" s="8">
        <v>61034200</v>
      </c>
      <c r="M71" s="6">
        <v>18</v>
      </c>
      <c r="N71" s="19" t="s">
        <v>323</v>
      </c>
      <c r="O71" s="8" t="s">
        <v>61</v>
      </c>
      <c r="P71" s="19" t="s">
        <v>323</v>
      </c>
      <c r="Q71" s="6" t="s">
        <v>324</v>
      </c>
      <c r="R71" s="21"/>
      <c r="S71" s="10"/>
    </row>
    <row r="72" spans="1:19" ht="16" x14ac:dyDescent="0.2">
      <c r="A72" s="5" t="str">
        <f t="shared" si="2"/>
        <v>8905202263104_Red</v>
      </c>
      <c r="B72" s="11">
        <v>8905202263104</v>
      </c>
      <c r="C72" s="6" t="str">
        <f t="shared" si="3"/>
        <v>8905202263104_Red_L</v>
      </c>
      <c r="D72" s="8" t="s">
        <v>344</v>
      </c>
      <c r="E72" s="8" t="s">
        <v>27</v>
      </c>
      <c r="F72" t="s">
        <v>160</v>
      </c>
      <c r="G72" s="9" t="s">
        <v>317</v>
      </c>
      <c r="H72" s="9" t="s">
        <v>318</v>
      </c>
      <c r="I72" t="s">
        <v>343</v>
      </c>
      <c r="J72" s="10">
        <v>5495</v>
      </c>
      <c r="K72" s="10">
        <v>5495</v>
      </c>
      <c r="L72" s="8">
        <v>61034200</v>
      </c>
      <c r="M72" s="6">
        <v>18</v>
      </c>
      <c r="N72" s="19" t="s">
        <v>323</v>
      </c>
      <c r="O72" s="8" t="s">
        <v>44</v>
      </c>
      <c r="P72" s="19" t="s">
        <v>323</v>
      </c>
      <c r="Q72" s="6" t="s">
        <v>324</v>
      </c>
      <c r="R72" s="21"/>
      <c r="S72" s="10"/>
    </row>
    <row r="73" spans="1:19" ht="16" x14ac:dyDescent="0.2">
      <c r="A73" s="5" t="str">
        <f t="shared" si="2"/>
        <v>8905202263135_Red</v>
      </c>
      <c r="B73" s="11">
        <v>8905202263135</v>
      </c>
      <c r="C73" s="6" t="str">
        <f t="shared" si="3"/>
        <v>8905202263135_Red_XL</v>
      </c>
      <c r="D73" s="8" t="s">
        <v>344</v>
      </c>
      <c r="E73" s="8" t="s">
        <v>27</v>
      </c>
      <c r="F73" t="s">
        <v>160</v>
      </c>
      <c r="G73" s="9" t="s">
        <v>317</v>
      </c>
      <c r="H73" s="9" t="s">
        <v>318</v>
      </c>
      <c r="I73" t="s">
        <v>343</v>
      </c>
      <c r="J73" s="10">
        <v>5495</v>
      </c>
      <c r="K73" s="10">
        <v>5495</v>
      </c>
      <c r="L73" s="8">
        <v>61034200</v>
      </c>
      <c r="M73" s="6">
        <v>18</v>
      </c>
      <c r="N73" s="19" t="s">
        <v>323</v>
      </c>
      <c r="O73" s="8" t="s">
        <v>38</v>
      </c>
      <c r="P73" s="19" t="s">
        <v>323</v>
      </c>
      <c r="Q73" s="6" t="s">
        <v>324</v>
      </c>
      <c r="R73" s="21"/>
      <c r="S73" s="10"/>
    </row>
    <row r="74" spans="1:19" ht="16" x14ac:dyDescent="0.2">
      <c r="A74" s="5" t="str">
        <f t="shared" si="2"/>
        <v>8905202263142_Blu</v>
      </c>
      <c r="B74" s="11">
        <v>8905202263142</v>
      </c>
      <c r="C74" s="6" t="str">
        <f t="shared" si="3"/>
        <v>8905202263142_Blu_S</v>
      </c>
      <c r="D74" s="8" t="s">
        <v>345</v>
      </c>
      <c r="E74" s="8" t="s">
        <v>27</v>
      </c>
      <c r="F74" t="s">
        <v>160</v>
      </c>
      <c r="G74" s="9" t="s">
        <v>317</v>
      </c>
      <c r="H74" s="9" t="s">
        <v>318</v>
      </c>
      <c r="I74" t="s">
        <v>343</v>
      </c>
      <c r="J74" s="10">
        <v>5495</v>
      </c>
      <c r="K74" s="10">
        <v>5495</v>
      </c>
      <c r="L74" s="8">
        <v>61034200</v>
      </c>
      <c r="M74" s="6">
        <v>18</v>
      </c>
      <c r="N74" s="6" t="s">
        <v>328</v>
      </c>
      <c r="O74" s="8" t="s">
        <v>54</v>
      </c>
      <c r="P74" s="6" t="s">
        <v>328</v>
      </c>
      <c r="Q74" s="6" t="s">
        <v>321</v>
      </c>
      <c r="R74" s="21"/>
      <c r="S74" s="10"/>
    </row>
    <row r="75" spans="1:19" ht="16" x14ac:dyDescent="0.2">
      <c r="A75" s="5" t="str">
        <f t="shared" si="2"/>
        <v>8905202263173_Blu</v>
      </c>
      <c r="B75" s="11">
        <v>8905202263173</v>
      </c>
      <c r="C75" s="6" t="str">
        <f t="shared" si="3"/>
        <v>8905202263173_Blu_M</v>
      </c>
      <c r="D75" s="8" t="s">
        <v>345</v>
      </c>
      <c r="E75" s="8" t="s">
        <v>27</v>
      </c>
      <c r="F75" t="s">
        <v>160</v>
      </c>
      <c r="G75" s="9" t="s">
        <v>317</v>
      </c>
      <c r="H75" s="9" t="s">
        <v>318</v>
      </c>
      <c r="I75" t="s">
        <v>343</v>
      </c>
      <c r="J75" s="10">
        <v>5495</v>
      </c>
      <c r="K75" s="10">
        <v>5495</v>
      </c>
      <c r="L75" s="8">
        <v>61034200</v>
      </c>
      <c r="M75" s="6">
        <v>18</v>
      </c>
      <c r="N75" s="6" t="s">
        <v>328</v>
      </c>
      <c r="O75" s="8" t="s">
        <v>61</v>
      </c>
      <c r="P75" s="6" t="s">
        <v>328</v>
      </c>
      <c r="Q75" s="6" t="s">
        <v>321</v>
      </c>
      <c r="R75" s="21"/>
      <c r="S75" s="10"/>
    </row>
    <row r="76" spans="1:19" ht="16" x14ac:dyDescent="0.2">
      <c r="A76" s="5" t="str">
        <f t="shared" si="2"/>
        <v>8905202263166_Blu</v>
      </c>
      <c r="B76" s="11">
        <v>8905202263166</v>
      </c>
      <c r="C76" s="6" t="str">
        <f t="shared" si="3"/>
        <v>8905202263166_Blu_L</v>
      </c>
      <c r="D76" s="8" t="s">
        <v>345</v>
      </c>
      <c r="E76" s="8" t="s">
        <v>27</v>
      </c>
      <c r="F76" t="s">
        <v>160</v>
      </c>
      <c r="G76" s="9" t="s">
        <v>317</v>
      </c>
      <c r="H76" s="9" t="s">
        <v>318</v>
      </c>
      <c r="I76" t="s">
        <v>343</v>
      </c>
      <c r="J76" s="10">
        <v>5495</v>
      </c>
      <c r="K76" s="10">
        <v>5495</v>
      </c>
      <c r="L76" s="8">
        <v>61034200</v>
      </c>
      <c r="M76" s="6">
        <v>18</v>
      </c>
      <c r="N76" s="6" t="s">
        <v>328</v>
      </c>
      <c r="O76" s="8" t="s">
        <v>44</v>
      </c>
      <c r="P76" s="6" t="s">
        <v>328</v>
      </c>
      <c r="Q76" s="6" t="s">
        <v>321</v>
      </c>
      <c r="R76" s="21"/>
      <c r="S76" s="10"/>
    </row>
    <row r="77" spans="1:19" ht="16" x14ac:dyDescent="0.2">
      <c r="A77" s="5" t="str">
        <f t="shared" si="2"/>
        <v>8905202263159_Blu</v>
      </c>
      <c r="B77" s="11">
        <v>8905202263159</v>
      </c>
      <c r="C77" s="6" t="str">
        <f t="shared" si="3"/>
        <v>8905202263159_Blu_XL</v>
      </c>
      <c r="D77" s="8" t="s">
        <v>345</v>
      </c>
      <c r="E77" s="8" t="s">
        <v>27</v>
      </c>
      <c r="F77" t="s">
        <v>160</v>
      </c>
      <c r="G77" s="9" t="s">
        <v>317</v>
      </c>
      <c r="H77" s="9" t="s">
        <v>318</v>
      </c>
      <c r="I77" t="s">
        <v>343</v>
      </c>
      <c r="J77" s="10">
        <v>5495</v>
      </c>
      <c r="K77" s="10">
        <v>5495</v>
      </c>
      <c r="L77" s="8">
        <v>61034200</v>
      </c>
      <c r="M77" s="6">
        <v>18</v>
      </c>
      <c r="N77" s="6" t="s">
        <v>328</v>
      </c>
      <c r="O77" s="8" t="s">
        <v>38</v>
      </c>
      <c r="P77" s="6" t="s">
        <v>328</v>
      </c>
      <c r="Q77" s="6" t="s">
        <v>321</v>
      </c>
      <c r="R77" s="21"/>
      <c r="S77" s="10"/>
    </row>
    <row r="78" spans="1:19" ht="16" x14ac:dyDescent="0.2">
      <c r="A78" s="5" t="str">
        <f t="shared" si="2"/>
        <v>8905202263180_Bla</v>
      </c>
      <c r="B78" s="11">
        <v>8905202263180</v>
      </c>
      <c r="C78" s="6" t="str">
        <f t="shared" si="3"/>
        <v>8905202263180_Bla_S</v>
      </c>
      <c r="D78" s="8" t="s">
        <v>346</v>
      </c>
      <c r="E78" s="8" t="s">
        <v>27</v>
      </c>
      <c r="F78" t="s">
        <v>160</v>
      </c>
      <c r="G78" s="9" t="s">
        <v>317</v>
      </c>
      <c r="H78" s="9" t="s">
        <v>318</v>
      </c>
      <c r="I78" t="s">
        <v>343</v>
      </c>
      <c r="J78" s="10">
        <v>5495</v>
      </c>
      <c r="K78" s="10">
        <v>5495</v>
      </c>
      <c r="L78" s="8">
        <v>61034200</v>
      </c>
      <c r="M78" s="6">
        <v>18</v>
      </c>
      <c r="N78" s="6" t="s">
        <v>326</v>
      </c>
      <c r="O78" s="8" t="s">
        <v>54</v>
      </c>
      <c r="P78" s="6" t="s">
        <v>326</v>
      </c>
      <c r="Q78" s="6" t="s">
        <v>321</v>
      </c>
      <c r="R78" s="21"/>
      <c r="S78" s="10"/>
    </row>
    <row r="79" spans="1:19" ht="16" x14ac:dyDescent="0.2">
      <c r="A79" s="5" t="str">
        <f t="shared" si="2"/>
        <v>8905202264293_Bla</v>
      </c>
      <c r="B79" s="11">
        <v>8905202264293</v>
      </c>
      <c r="C79" s="6" t="str">
        <f t="shared" si="3"/>
        <v>8905202264293_Bla_M</v>
      </c>
      <c r="D79" s="8" t="s">
        <v>346</v>
      </c>
      <c r="E79" s="8" t="s">
        <v>27</v>
      </c>
      <c r="F79" t="s">
        <v>160</v>
      </c>
      <c r="G79" s="9" t="s">
        <v>317</v>
      </c>
      <c r="H79" s="9" t="s">
        <v>318</v>
      </c>
      <c r="I79" t="s">
        <v>343</v>
      </c>
      <c r="J79" s="10">
        <v>5495</v>
      </c>
      <c r="K79" s="10">
        <v>5495</v>
      </c>
      <c r="L79" s="8">
        <v>61034200</v>
      </c>
      <c r="M79" s="6">
        <v>18</v>
      </c>
      <c r="N79" s="6" t="s">
        <v>326</v>
      </c>
      <c r="O79" s="8" t="s">
        <v>61</v>
      </c>
      <c r="P79" s="6" t="s">
        <v>326</v>
      </c>
      <c r="Q79" s="6" t="s">
        <v>324</v>
      </c>
      <c r="R79" s="21"/>
      <c r="S79" s="10"/>
    </row>
    <row r="80" spans="1:19" ht="16" x14ac:dyDescent="0.2">
      <c r="A80" s="5" t="str">
        <f t="shared" si="2"/>
        <v>8905202264378_Bla</v>
      </c>
      <c r="B80" s="11">
        <v>8905202264378</v>
      </c>
      <c r="C80" s="6" t="str">
        <f t="shared" si="3"/>
        <v>8905202264378_Bla_L</v>
      </c>
      <c r="D80" s="8" t="s">
        <v>346</v>
      </c>
      <c r="E80" s="8" t="s">
        <v>27</v>
      </c>
      <c r="F80" t="s">
        <v>160</v>
      </c>
      <c r="G80" s="9" t="s">
        <v>317</v>
      </c>
      <c r="H80" s="9" t="s">
        <v>318</v>
      </c>
      <c r="I80" t="s">
        <v>343</v>
      </c>
      <c r="J80" s="10">
        <v>5495</v>
      </c>
      <c r="K80" s="10">
        <v>5495</v>
      </c>
      <c r="L80" s="8">
        <v>61034200</v>
      </c>
      <c r="M80" s="6">
        <v>18</v>
      </c>
      <c r="N80" s="6" t="s">
        <v>326</v>
      </c>
      <c r="O80" s="8" t="s">
        <v>44</v>
      </c>
      <c r="P80" s="6" t="s">
        <v>326</v>
      </c>
      <c r="Q80" s="6" t="s">
        <v>324</v>
      </c>
      <c r="R80" s="21"/>
      <c r="S80" s="10"/>
    </row>
    <row r="81" spans="1:19" ht="16" x14ac:dyDescent="0.2">
      <c r="A81" s="5" t="str">
        <f t="shared" si="2"/>
        <v>8905202264361_Bla</v>
      </c>
      <c r="B81" s="11">
        <v>8905202264361</v>
      </c>
      <c r="C81" s="6" t="str">
        <f t="shared" si="3"/>
        <v>8905202264361_Bla_XL</v>
      </c>
      <c r="D81" s="8" t="s">
        <v>346</v>
      </c>
      <c r="E81" s="8" t="s">
        <v>27</v>
      </c>
      <c r="F81" t="s">
        <v>160</v>
      </c>
      <c r="G81" s="9" t="s">
        <v>317</v>
      </c>
      <c r="H81" s="9" t="s">
        <v>318</v>
      </c>
      <c r="I81" t="s">
        <v>343</v>
      </c>
      <c r="J81" s="10">
        <v>5495</v>
      </c>
      <c r="K81" s="10">
        <v>5495</v>
      </c>
      <c r="L81" s="8">
        <v>61034200</v>
      </c>
      <c r="M81" s="6">
        <v>18</v>
      </c>
      <c r="N81" s="6" t="s">
        <v>326</v>
      </c>
      <c r="O81" s="8" t="s">
        <v>38</v>
      </c>
      <c r="P81" s="6" t="s">
        <v>326</v>
      </c>
      <c r="Q81" s="6" t="s">
        <v>324</v>
      </c>
      <c r="R81" s="21"/>
      <c r="S81" s="10"/>
    </row>
    <row r="82" spans="1:19" ht="16" x14ac:dyDescent="0.2">
      <c r="A82" s="5" t="str">
        <f t="shared" si="2"/>
        <v>8905202264354_Nav</v>
      </c>
      <c r="B82" s="11">
        <v>8905202264354</v>
      </c>
      <c r="C82" s="6" t="str">
        <f t="shared" si="3"/>
        <v>8905202264354_Nav_S</v>
      </c>
      <c r="D82" s="8" t="s">
        <v>347</v>
      </c>
      <c r="E82" s="8" t="s">
        <v>27</v>
      </c>
      <c r="F82" t="s">
        <v>160</v>
      </c>
      <c r="G82" s="9" t="s">
        <v>317</v>
      </c>
      <c r="H82" s="9" t="s">
        <v>318</v>
      </c>
      <c r="I82" t="s">
        <v>343</v>
      </c>
      <c r="J82" s="10">
        <v>5495</v>
      </c>
      <c r="K82" s="10">
        <v>5495</v>
      </c>
      <c r="L82" s="8">
        <v>61034200</v>
      </c>
      <c r="M82" s="6">
        <v>18</v>
      </c>
      <c r="N82" s="6" t="s">
        <v>348</v>
      </c>
      <c r="O82" s="8" t="s">
        <v>54</v>
      </c>
      <c r="P82" s="6" t="s">
        <v>348</v>
      </c>
      <c r="Q82" s="6" t="s">
        <v>324</v>
      </c>
      <c r="R82" s="21"/>
      <c r="S82" s="10"/>
    </row>
    <row r="83" spans="1:19" ht="16" x14ac:dyDescent="0.2">
      <c r="A83" s="5" t="str">
        <f t="shared" si="2"/>
        <v>8905202264385_Nav</v>
      </c>
      <c r="B83" s="11">
        <v>8905202264385</v>
      </c>
      <c r="C83" s="6" t="str">
        <f t="shared" si="3"/>
        <v>8905202264385_Nav_M</v>
      </c>
      <c r="D83" s="8" t="s">
        <v>347</v>
      </c>
      <c r="E83" s="8" t="s">
        <v>27</v>
      </c>
      <c r="F83" t="s">
        <v>160</v>
      </c>
      <c r="G83" s="9" t="s">
        <v>317</v>
      </c>
      <c r="H83" s="9" t="s">
        <v>318</v>
      </c>
      <c r="I83" t="s">
        <v>343</v>
      </c>
      <c r="J83" s="10">
        <v>5495</v>
      </c>
      <c r="K83" s="10">
        <v>5495</v>
      </c>
      <c r="L83" s="8">
        <v>61034200</v>
      </c>
      <c r="M83" s="6">
        <v>18</v>
      </c>
      <c r="N83" s="6" t="s">
        <v>348</v>
      </c>
      <c r="O83" s="8" t="s">
        <v>61</v>
      </c>
      <c r="P83" s="6" t="s">
        <v>348</v>
      </c>
      <c r="Q83" s="6" t="s">
        <v>321</v>
      </c>
      <c r="R83" s="21"/>
      <c r="S83" s="10"/>
    </row>
    <row r="84" spans="1:19" ht="16" x14ac:dyDescent="0.2">
      <c r="A84" s="5" t="str">
        <f t="shared" si="2"/>
        <v>8905202264392_Nav</v>
      </c>
      <c r="B84" s="11">
        <v>8905202264392</v>
      </c>
      <c r="C84" s="6" t="str">
        <f t="shared" si="3"/>
        <v>8905202264392_Nav_L</v>
      </c>
      <c r="D84" s="8" t="s">
        <v>347</v>
      </c>
      <c r="E84" s="8" t="s">
        <v>27</v>
      </c>
      <c r="F84" t="s">
        <v>160</v>
      </c>
      <c r="G84" s="9" t="s">
        <v>317</v>
      </c>
      <c r="H84" s="9" t="s">
        <v>318</v>
      </c>
      <c r="I84" t="s">
        <v>343</v>
      </c>
      <c r="J84" s="10">
        <v>5495</v>
      </c>
      <c r="K84" s="10">
        <v>5495</v>
      </c>
      <c r="L84" s="8">
        <v>61034200</v>
      </c>
      <c r="M84" s="6">
        <v>18</v>
      </c>
      <c r="N84" s="6" t="s">
        <v>348</v>
      </c>
      <c r="O84" s="8" t="s">
        <v>44</v>
      </c>
      <c r="P84" s="6" t="s">
        <v>348</v>
      </c>
      <c r="Q84" s="6" t="s">
        <v>321</v>
      </c>
      <c r="R84" s="21"/>
      <c r="S84" s="10"/>
    </row>
    <row r="85" spans="1:19" ht="16" x14ac:dyDescent="0.2">
      <c r="A85" s="5" t="str">
        <f t="shared" si="2"/>
        <v>8905202264323_Nav</v>
      </c>
      <c r="B85" s="11">
        <v>8905202264323</v>
      </c>
      <c r="C85" s="6" t="str">
        <f t="shared" si="3"/>
        <v>8905202264323_Nav_XL</v>
      </c>
      <c r="D85" s="8" t="s">
        <v>347</v>
      </c>
      <c r="E85" s="8" t="s">
        <v>27</v>
      </c>
      <c r="F85" t="s">
        <v>160</v>
      </c>
      <c r="G85" s="9" t="s">
        <v>317</v>
      </c>
      <c r="H85" s="9" t="s">
        <v>318</v>
      </c>
      <c r="I85" t="s">
        <v>343</v>
      </c>
      <c r="J85" s="10">
        <v>5495</v>
      </c>
      <c r="K85" s="10">
        <v>5495</v>
      </c>
      <c r="L85" s="8">
        <v>61034200</v>
      </c>
      <c r="M85" s="6">
        <v>18</v>
      </c>
      <c r="N85" s="6" t="s">
        <v>348</v>
      </c>
      <c r="O85" s="8" t="s">
        <v>38</v>
      </c>
      <c r="P85" s="6" t="s">
        <v>348</v>
      </c>
      <c r="Q85" s="6" t="s">
        <v>321</v>
      </c>
      <c r="R85" s="21"/>
      <c r="S85" s="10"/>
    </row>
    <row r="86" spans="1:19" ht="16" x14ac:dyDescent="0.2">
      <c r="A86" s="5" t="str">
        <f t="shared" si="2"/>
        <v>8905202264316_Gre</v>
      </c>
      <c r="B86" s="11">
        <v>8905202264316</v>
      </c>
      <c r="C86" s="6" t="str">
        <f t="shared" si="3"/>
        <v>8905202264316_Gre_S</v>
      </c>
      <c r="D86" s="8" t="s">
        <v>349</v>
      </c>
      <c r="E86" s="8" t="s">
        <v>27</v>
      </c>
      <c r="F86" t="s">
        <v>160</v>
      </c>
      <c r="G86" s="9" t="s">
        <v>317</v>
      </c>
      <c r="H86" s="9" t="s">
        <v>318</v>
      </c>
      <c r="I86" t="s">
        <v>343</v>
      </c>
      <c r="J86" s="10">
        <v>5495</v>
      </c>
      <c r="K86" s="10">
        <v>5495</v>
      </c>
      <c r="L86" s="8">
        <v>61034200</v>
      </c>
      <c r="M86" s="6">
        <v>18</v>
      </c>
      <c r="N86" s="6" t="s">
        <v>337</v>
      </c>
      <c r="O86" s="8" t="s">
        <v>54</v>
      </c>
      <c r="P86" s="6" t="s">
        <v>337</v>
      </c>
      <c r="Q86" s="6" t="s">
        <v>321</v>
      </c>
      <c r="R86" s="21"/>
      <c r="S86" s="10"/>
    </row>
    <row r="87" spans="1:19" ht="16" x14ac:dyDescent="0.2">
      <c r="A87" s="5" t="str">
        <f t="shared" si="2"/>
        <v>8905202264309_Gre</v>
      </c>
      <c r="B87" s="11">
        <v>8905202264309</v>
      </c>
      <c r="C87" s="6" t="str">
        <f t="shared" si="3"/>
        <v>8905202264309_Gre_M</v>
      </c>
      <c r="D87" s="8" t="s">
        <v>349</v>
      </c>
      <c r="E87" s="8" t="s">
        <v>27</v>
      </c>
      <c r="F87" t="s">
        <v>160</v>
      </c>
      <c r="G87" s="9" t="s">
        <v>317</v>
      </c>
      <c r="H87" s="9" t="s">
        <v>318</v>
      </c>
      <c r="I87" t="s">
        <v>343</v>
      </c>
      <c r="J87" s="10">
        <v>5495</v>
      </c>
      <c r="K87" s="10">
        <v>5495</v>
      </c>
      <c r="L87" s="8">
        <v>61034200</v>
      </c>
      <c r="M87" s="6">
        <v>18</v>
      </c>
      <c r="N87" s="6" t="s">
        <v>337</v>
      </c>
      <c r="O87" s="8" t="s">
        <v>61</v>
      </c>
      <c r="P87" s="6" t="s">
        <v>337</v>
      </c>
      <c r="Q87" s="6" t="s">
        <v>321</v>
      </c>
      <c r="R87" s="21"/>
      <c r="S87" s="10"/>
    </row>
    <row r="88" spans="1:19" ht="16" x14ac:dyDescent="0.2">
      <c r="A88" s="5" t="str">
        <f t="shared" si="2"/>
        <v>8905202264330_Gre</v>
      </c>
      <c r="B88" s="11">
        <v>8905202264330</v>
      </c>
      <c r="C88" s="6" t="str">
        <f t="shared" si="3"/>
        <v>8905202264330_Gre_L</v>
      </c>
      <c r="D88" s="8" t="s">
        <v>349</v>
      </c>
      <c r="E88" s="8" t="s">
        <v>27</v>
      </c>
      <c r="F88" t="s">
        <v>160</v>
      </c>
      <c r="G88" s="9" t="s">
        <v>317</v>
      </c>
      <c r="H88" s="9" t="s">
        <v>318</v>
      </c>
      <c r="I88" t="s">
        <v>343</v>
      </c>
      <c r="J88" s="10">
        <v>5495</v>
      </c>
      <c r="K88" s="10">
        <v>5495</v>
      </c>
      <c r="L88" s="8">
        <v>61034200</v>
      </c>
      <c r="M88" s="6">
        <v>18</v>
      </c>
      <c r="N88" s="6" t="s">
        <v>337</v>
      </c>
      <c r="O88" s="8" t="s">
        <v>44</v>
      </c>
      <c r="P88" s="6" t="s">
        <v>337</v>
      </c>
      <c r="Q88" s="6" t="s">
        <v>321</v>
      </c>
      <c r="R88" s="21"/>
      <c r="S88" s="10"/>
    </row>
    <row r="89" spans="1:19" ht="16" x14ac:dyDescent="0.2">
      <c r="A89" s="5" t="str">
        <f t="shared" si="2"/>
        <v>8905202264347_Gre</v>
      </c>
      <c r="B89" s="11">
        <v>8905202264347</v>
      </c>
      <c r="C89" s="6" t="str">
        <f t="shared" si="3"/>
        <v>8905202264347_Gre_XL</v>
      </c>
      <c r="D89" s="8" t="s">
        <v>349</v>
      </c>
      <c r="E89" s="8" t="s">
        <v>27</v>
      </c>
      <c r="F89" t="s">
        <v>160</v>
      </c>
      <c r="G89" s="9" t="s">
        <v>317</v>
      </c>
      <c r="H89" s="9" t="s">
        <v>318</v>
      </c>
      <c r="I89" t="s">
        <v>343</v>
      </c>
      <c r="J89" s="10">
        <v>5495</v>
      </c>
      <c r="K89" s="10">
        <v>5495</v>
      </c>
      <c r="L89" s="8">
        <v>61034200</v>
      </c>
      <c r="M89" s="6">
        <v>18</v>
      </c>
      <c r="N89" s="6" t="s">
        <v>337</v>
      </c>
      <c r="O89" s="8" t="s">
        <v>38</v>
      </c>
      <c r="P89" s="6" t="s">
        <v>337</v>
      </c>
      <c r="Q89" s="6" t="s">
        <v>321</v>
      </c>
      <c r="R89" s="21"/>
      <c r="S89" s="10"/>
    </row>
    <row r="90" spans="1:19" ht="16" x14ac:dyDescent="0.2">
      <c r="A90" s="5" t="str">
        <f t="shared" si="2"/>
        <v>8905202264422_Bla</v>
      </c>
      <c r="B90" s="11">
        <v>8905202264422</v>
      </c>
      <c r="C90" s="6" t="str">
        <f t="shared" si="3"/>
        <v>8905202264422_Bla_S</v>
      </c>
      <c r="D90" s="8" t="s">
        <v>350</v>
      </c>
      <c r="E90" s="8" t="s">
        <v>27</v>
      </c>
      <c r="F90" t="s">
        <v>160</v>
      </c>
      <c r="G90" s="9" t="s">
        <v>317</v>
      </c>
      <c r="H90" s="9" t="s">
        <v>318</v>
      </c>
      <c r="I90" t="s">
        <v>343</v>
      </c>
      <c r="J90" s="10">
        <v>5495</v>
      </c>
      <c r="K90" s="10">
        <v>5495</v>
      </c>
      <c r="L90" s="8">
        <v>61034200</v>
      </c>
      <c r="M90" s="6">
        <v>18</v>
      </c>
      <c r="N90" s="6" t="s">
        <v>326</v>
      </c>
      <c r="O90" s="8" t="s">
        <v>54</v>
      </c>
      <c r="P90" s="6" t="s">
        <v>326</v>
      </c>
      <c r="Q90" s="6" t="s">
        <v>321</v>
      </c>
      <c r="R90" s="21"/>
      <c r="S90" s="10"/>
    </row>
    <row r="91" spans="1:19" ht="16" x14ac:dyDescent="0.2">
      <c r="A91" s="5" t="str">
        <f t="shared" si="2"/>
        <v>8905202264415_Bla</v>
      </c>
      <c r="B91" s="11">
        <v>8905202264415</v>
      </c>
      <c r="C91" s="6" t="str">
        <f t="shared" si="3"/>
        <v>8905202264415_Bla_M</v>
      </c>
      <c r="D91" s="8" t="s">
        <v>350</v>
      </c>
      <c r="E91" s="8" t="s">
        <v>27</v>
      </c>
      <c r="F91" t="s">
        <v>160</v>
      </c>
      <c r="G91" s="9" t="s">
        <v>317</v>
      </c>
      <c r="H91" s="9" t="s">
        <v>318</v>
      </c>
      <c r="I91" t="s">
        <v>343</v>
      </c>
      <c r="J91" s="10">
        <v>5495</v>
      </c>
      <c r="K91" s="10">
        <v>5495</v>
      </c>
      <c r="L91" s="8">
        <v>61034200</v>
      </c>
      <c r="M91" s="6">
        <v>18</v>
      </c>
      <c r="N91" s="6" t="s">
        <v>326</v>
      </c>
      <c r="O91" s="8" t="s">
        <v>61</v>
      </c>
      <c r="P91" s="6" t="s">
        <v>326</v>
      </c>
      <c r="Q91" s="6" t="s">
        <v>321</v>
      </c>
      <c r="R91" s="21"/>
      <c r="S91" s="10"/>
    </row>
    <row r="92" spans="1:19" ht="16" x14ac:dyDescent="0.2">
      <c r="A92" s="5" t="str">
        <f t="shared" si="2"/>
        <v>8905202264408_Bla</v>
      </c>
      <c r="B92" s="11">
        <v>8905202264408</v>
      </c>
      <c r="C92" s="6" t="str">
        <f t="shared" si="3"/>
        <v>8905202264408_Bla_L</v>
      </c>
      <c r="D92" s="8" t="s">
        <v>350</v>
      </c>
      <c r="E92" s="8" t="s">
        <v>27</v>
      </c>
      <c r="F92" t="s">
        <v>160</v>
      </c>
      <c r="G92" s="9" t="s">
        <v>317</v>
      </c>
      <c r="H92" s="9" t="s">
        <v>318</v>
      </c>
      <c r="I92" t="s">
        <v>343</v>
      </c>
      <c r="J92" s="10">
        <v>5495</v>
      </c>
      <c r="K92" s="10">
        <v>5495</v>
      </c>
      <c r="L92" s="8">
        <v>61034200</v>
      </c>
      <c r="M92" s="6">
        <v>18</v>
      </c>
      <c r="N92" s="6" t="s">
        <v>326</v>
      </c>
      <c r="O92" s="8" t="s">
        <v>44</v>
      </c>
      <c r="P92" s="6" t="s">
        <v>326</v>
      </c>
      <c r="Q92" s="6" t="s">
        <v>321</v>
      </c>
      <c r="R92" s="21"/>
      <c r="S92" s="10"/>
    </row>
    <row r="93" spans="1:19" ht="16" x14ac:dyDescent="0.2">
      <c r="A93" s="5" t="str">
        <f t="shared" si="2"/>
        <v>8905202264439_Bla</v>
      </c>
      <c r="B93" s="11">
        <v>8905202264439</v>
      </c>
      <c r="C93" s="6" t="str">
        <f t="shared" si="3"/>
        <v>8905202264439_Bla_XL</v>
      </c>
      <c r="D93" s="8" t="s">
        <v>350</v>
      </c>
      <c r="E93" s="8" t="s">
        <v>27</v>
      </c>
      <c r="F93" t="s">
        <v>160</v>
      </c>
      <c r="G93" s="9" t="s">
        <v>317</v>
      </c>
      <c r="H93" s="9" t="s">
        <v>318</v>
      </c>
      <c r="I93" t="s">
        <v>343</v>
      </c>
      <c r="J93" s="10">
        <v>5495</v>
      </c>
      <c r="K93" s="10">
        <v>5495</v>
      </c>
      <c r="L93" s="8">
        <v>61034200</v>
      </c>
      <c r="M93" s="6">
        <v>18</v>
      </c>
      <c r="N93" s="6" t="s">
        <v>326</v>
      </c>
      <c r="O93" s="8" t="s">
        <v>38</v>
      </c>
      <c r="P93" s="6" t="s">
        <v>326</v>
      </c>
      <c r="Q93" s="6" t="s">
        <v>321</v>
      </c>
      <c r="R93" s="21"/>
      <c r="S93" s="10"/>
    </row>
    <row r="94" spans="1:19" ht="16" x14ac:dyDescent="0.2">
      <c r="A94" s="5" t="str">
        <f t="shared" si="2"/>
        <v>8905202264446_Blu</v>
      </c>
      <c r="B94" s="11">
        <v>8905202264446</v>
      </c>
      <c r="C94" s="6" t="str">
        <f t="shared" si="3"/>
        <v>8905202264446_Blu_S</v>
      </c>
      <c r="D94" s="8" t="s">
        <v>351</v>
      </c>
      <c r="E94" s="8" t="s">
        <v>27</v>
      </c>
      <c r="F94" t="s">
        <v>160</v>
      </c>
      <c r="G94" s="9" t="s">
        <v>317</v>
      </c>
      <c r="H94" s="9" t="s">
        <v>318</v>
      </c>
      <c r="I94" t="s">
        <v>343</v>
      </c>
      <c r="J94" s="10">
        <v>5495</v>
      </c>
      <c r="K94" s="10">
        <v>5495</v>
      </c>
      <c r="L94" s="8">
        <v>61034200</v>
      </c>
      <c r="M94" s="6">
        <v>18</v>
      </c>
      <c r="N94" s="6" t="s">
        <v>328</v>
      </c>
      <c r="O94" s="8" t="s">
        <v>54</v>
      </c>
      <c r="P94" s="6" t="s">
        <v>328</v>
      </c>
      <c r="Q94" s="6" t="s">
        <v>324</v>
      </c>
      <c r="R94" s="21"/>
      <c r="S94" s="10"/>
    </row>
    <row r="95" spans="1:19" ht="16" x14ac:dyDescent="0.2">
      <c r="A95" s="5" t="str">
        <f t="shared" si="2"/>
        <v>8905202264477_Blu</v>
      </c>
      <c r="B95" s="11">
        <v>8905202264477</v>
      </c>
      <c r="C95" s="6" t="str">
        <f t="shared" si="3"/>
        <v>8905202264477_Blu_M</v>
      </c>
      <c r="D95" s="8" t="s">
        <v>351</v>
      </c>
      <c r="E95" s="8" t="s">
        <v>27</v>
      </c>
      <c r="F95" t="s">
        <v>160</v>
      </c>
      <c r="G95" s="9" t="s">
        <v>317</v>
      </c>
      <c r="H95" s="9" t="s">
        <v>318</v>
      </c>
      <c r="I95" t="s">
        <v>343</v>
      </c>
      <c r="J95" s="10">
        <v>5495</v>
      </c>
      <c r="K95" s="10">
        <v>5495</v>
      </c>
      <c r="L95" s="8">
        <v>61034200</v>
      </c>
      <c r="M95" s="6">
        <v>18</v>
      </c>
      <c r="N95" s="6" t="s">
        <v>328</v>
      </c>
      <c r="O95" s="8" t="s">
        <v>61</v>
      </c>
      <c r="P95" s="6" t="s">
        <v>328</v>
      </c>
      <c r="Q95" s="6" t="s">
        <v>324</v>
      </c>
      <c r="R95" s="21"/>
      <c r="S95" s="10"/>
    </row>
    <row r="96" spans="1:19" ht="16" x14ac:dyDescent="0.2">
      <c r="A96" s="5" t="str">
        <f t="shared" si="2"/>
        <v>8905202264460_Blu</v>
      </c>
      <c r="B96" s="11">
        <v>8905202264460</v>
      </c>
      <c r="C96" s="6" t="str">
        <f t="shared" si="3"/>
        <v>8905202264460_Blu_L</v>
      </c>
      <c r="D96" s="8" t="s">
        <v>351</v>
      </c>
      <c r="E96" s="8" t="s">
        <v>27</v>
      </c>
      <c r="F96" t="s">
        <v>160</v>
      </c>
      <c r="G96" s="9" t="s">
        <v>317</v>
      </c>
      <c r="H96" s="9" t="s">
        <v>318</v>
      </c>
      <c r="I96" t="s">
        <v>343</v>
      </c>
      <c r="J96" s="10">
        <v>5495</v>
      </c>
      <c r="K96" s="10">
        <v>5495</v>
      </c>
      <c r="L96" s="8">
        <v>61034200</v>
      </c>
      <c r="M96" s="6">
        <v>18</v>
      </c>
      <c r="N96" s="6" t="s">
        <v>328</v>
      </c>
      <c r="O96" s="8" t="s">
        <v>44</v>
      </c>
      <c r="P96" s="6" t="s">
        <v>328</v>
      </c>
      <c r="Q96" s="6" t="s">
        <v>324</v>
      </c>
      <c r="R96" s="21"/>
      <c r="S96" s="10"/>
    </row>
    <row r="97" spans="1:19" ht="16" x14ac:dyDescent="0.2">
      <c r="A97" s="5" t="str">
        <f t="shared" si="2"/>
        <v>8905202264453_Blu</v>
      </c>
      <c r="B97" s="11">
        <v>8905202264453</v>
      </c>
      <c r="C97" s="6" t="str">
        <f t="shared" si="3"/>
        <v>8905202264453_Blu_XL</v>
      </c>
      <c r="D97" s="8" t="s">
        <v>351</v>
      </c>
      <c r="E97" s="8" t="s">
        <v>27</v>
      </c>
      <c r="F97" t="s">
        <v>160</v>
      </c>
      <c r="G97" s="9" t="s">
        <v>317</v>
      </c>
      <c r="H97" s="9" t="s">
        <v>318</v>
      </c>
      <c r="I97" t="s">
        <v>343</v>
      </c>
      <c r="J97" s="10">
        <v>5495</v>
      </c>
      <c r="K97" s="10">
        <v>5495</v>
      </c>
      <c r="L97" s="8">
        <v>61034200</v>
      </c>
      <c r="M97" s="6">
        <v>18</v>
      </c>
      <c r="N97" s="6" t="s">
        <v>328</v>
      </c>
      <c r="O97" s="8" t="s">
        <v>38</v>
      </c>
      <c r="P97" s="6" t="s">
        <v>328</v>
      </c>
      <c r="Q97" s="6" t="s">
        <v>324</v>
      </c>
      <c r="R97" s="21"/>
      <c r="S97" s="10"/>
    </row>
    <row r="98" spans="1:19" ht="16" x14ac:dyDescent="0.2">
      <c r="A98" s="5" t="str">
        <f t="shared" si="2"/>
        <v>8905202264484_Nav</v>
      </c>
      <c r="B98" s="11">
        <v>8905202264484</v>
      </c>
      <c r="C98" s="6" t="str">
        <f t="shared" si="3"/>
        <v>8905202264484_Nav_S</v>
      </c>
      <c r="D98" s="8" t="s">
        <v>352</v>
      </c>
      <c r="E98" s="8" t="s">
        <v>27</v>
      </c>
      <c r="F98" t="s">
        <v>160</v>
      </c>
      <c r="G98" s="9" t="s">
        <v>317</v>
      </c>
      <c r="H98" s="9" t="s">
        <v>318</v>
      </c>
      <c r="I98" t="s">
        <v>343</v>
      </c>
      <c r="J98" s="10">
        <v>5495</v>
      </c>
      <c r="K98" s="10">
        <v>5495</v>
      </c>
      <c r="L98" s="8">
        <v>61034200</v>
      </c>
      <c r="M98" s="6">
        <v>18</v>
      </c>
      <c r="N98" s="6" t="s">
        <v>348</v>
      </c>
      <c r="O98" s="8" t="s">
        <v>54</v>
      </c>
      <c r="P98" s="6" t="s">
        <v>348</v>
      </c>
      <c r="Q98" s="6" t="s">
        <v>321</v>
      </c>
      <c r="R98" s="21"/>
      <c r="S98" s="10"/>
    </row>
    <row r="99" spans="1:19" ht="16" x14ac:dyDescent="0.2">
      <c r="A99" s="5" t="str">
        <f t="shared" si="2"/>
        <v>8905202264491_Nav</v>
      </c>
      <c r="B99" s="11">
        <v>8905202264491</v>
      </c>
      <c r="C99" s="6" t="str">
        <f t="shared" si="3"/>
        <v>8905202264491_Nav_M</v>
      </c>
      <c r="D99" s="8" t="s">
        <v>352</v>
      </c>
      <c r="E99" s="8" t="s">
        <v>27</v>
      </c>
      <c r="F99" t="s">
        <v>160</v>
      </c>
      <c r="G99" s="9" t="s">
        <v>317</v>
      </c>
      <c r="H99" s="9" t="s">
        <v>318</v>
      </c>
      <c r="I99" t="s">
        <v>343</v>
      </c>
      <c r="J99" s="10">
        <v>5495</v>
      </c>
      <c r="K99" s="10">
        <v>5495</v>
      </c>
      <c r="L99" s="8">
        <v>61034200</v>
      </c>
      <c r="M99" s="6">
        <v>18</v>
      </c>
      <c r="N99" s="6" t="s">
        <v>348</v>
      </c>
      <c r="O99" s="8" t="s">
        <v>61</v>
      </c>
      <c r="P99" s="6" t="s">
        <v>348</v>
      </c>
      <c r="Q99" s="6" t="s">
        <v>321</v>
      </c>
      <c r="R99" s="21"/>
      <c r="S99" s="10"/>
    </row>
    <row r="100" spans="1:19" ht="16" x14ac:dyDescent="0.2">
      <c r="A100" s="5" t="str">
        <f t="shared" si="2"/>
        <v>8905202264576_Nav</v>
      </c>
      <c r="B100" s="11">
        <v>8905202264576</v>
      </c>
      <c r="C100" s="6" t="str">
        <f t="shared" si="3"/>
        <v>8905202264576_Nav_L</v>
      </c>
      <c r="D100" s="8" t="s">
        <v>352</v>
      </c>
      <c r="E100" s="8" t="s">
        <v>27</v>
      </c>
      <c r="F100" t="s">
        <v>160</v>
      </c>
      <c r="G100" s="9" t="s">
        <v>317</v>
      </c>
      <c r="H100" s="9" t="s">
        <v>318</v>
      </c>
      <c r="I100" t="s">
        <v>343</v>
      </c>
      <c r="J100" s="10">
        <v>5495</v>
      </c>
      <c r="K100" s="10">
        <v>5495</v>
      </c>
      <c r="L100" s="8">
        <v>61034200</v>
      </c>
      <c r="M100" s="6">
        <v>18</v>
      </c>
      <c r="N100" s="6" t="s">
        <v>348</v>
      </c>
      <c r="O100" s="8" t="s">
        <v>44</v>
      </c>
      <c r="P100" s="6" t="s">
        <v>348</v>
      </c>
      <c r="Q100" s="6" t="s">
        <v>321</v>
      </c>
      <c r="R100" s="21"/>
      <c r="S100" s="10"/>
    </row>
    <row r="101" spans="1:19" ht="16" x14ac:dyDescent="0.2">
      <c r="A101" s="5" t="str">
        <f t="shared" si="2"/>
        <v>8905202264569_Nav</v>
      </c>
      <c r="B101" s="11">
        <v>8905202264569</v>
      </c>
      <c r="C101" s="6" t="str">
        <f t="shared" si="3"/>
        <v>8905202264569_Nav_XL</v>
      </c>
      <c r="D101" s="8" t="s">
        <v>352</v>
      </c>
      <c r="E101" s="8" t="s">
        <v>27</v>
      </c>
      <c r="F101" t="s">
        <v>160</v>
      </c>
      <c r="G101" s="9" t="s">
        <v>317</v>
      </c>
      <c r="H101" s="9" t="s">
        <v>318</v>
      </c>
      <c r="I101" t="s">
        <v>343</v>
      </c>
      <c r="J101" s="10">
        <v>5495</v>
      </c>
      <c r="K101" s="10">
        <v>5495</v>
      </c>
      <c r="L101" s="8">
        <v>61034200</v>
      </c>
      <c r="M101" s="6">
        <v>18</v>
      </c>
      <c r="N101" s="6" t="s">
        <v>348</v>
      </c>
      <c r="O101" s="8" t="s">
        <v>38</v>
      </c>
      <c r="P101" s="6" t="s">
        <v>348</v>
      </c>
      <c r="Q101" s="6" t="s">
        <v>321</v>
      </c>
      <c r="R101" s="21"/>
      <c r="S101" s="10"/>
    </row>
    <row r="102" spans="1:19" ht="16" x14ac:dyDescent="0.2">
      <c r="A102" s="5" t="str">
        <f t="shared" si="2"/>
        <v>8905202264552_Bla</v>
      </c>
      <c r="B102" s="11">
        <v>8905202264552</v>
      </c>
      <c r="C102" s="6" t="str">
        <f t="shared" si="3"/>
        <v>8905202264552_Bla_S</v>
      </c>
      <c r="D102" s="8" t="s">
        <v>353</v>
      </c>
      <c r="E102" s="8" t="s">
        <v>27</v>
      </c>
      <c r="F102" t="s">
        <v>160</v>
      </c>
      <c r="G102" s="9" t="s">
        <v>317</v>
      </c>
      <c r="H102" s="9" t="s">
        <v>318</v>
      </c>
      <c r="I102" t="s">
        <v>343</v>
      </c>
      <c r="J102" s="10">
        <v>5995</v>
      </c>
      <c r="K102" s="10">
        <v>5995</v>
      </c>
      <c r="L102" s="8">
        <v>61034200</v>
      </c>
      <c r="M102" s="6">
        <v>18</v>
      </c>
      <c r="N102" s="6" t="s">
        <v>326</v>
      </c>
      <c r="O102" s="8" t="s">
        <v>54</v>
      </c>
      <c r="P102" s="6" t="s">
        <v>326</v>
      </c>
      <c r="Q102" s="6" t="s">
        <v>324</v>
      </c>
      <c r="R102" s="21"/>
      <c r="S102" s="10"/>
    </row>
    <row r="103" spans="1:19" ht="16" x14ac:dyDescent="0.2">
      <c r="A103" s="5" t="str">
        <f t="shared" si="2"/>
        <v>8905202264583_Bla</v>
      </c>
      <c r="B103" s="11">
        <v>8905202264583</v>
      </c>
      <c r="C103" s="6" t="str">
        <f t="shared" si="3"/>
        <v>8905202264583_Bla_M</v>
      </c>
      <c r="D103" s="8" t="s">
        <v>353</v>
      </c>
      <c r="E103" s="8" t="s">
        <v>27</v>
      </c>
      <c r="F103" t="s">
        <v>160</v>
      </c>
      <c r="G103" s="9" t="s">
        <v>317</v>
      </c>
      <c r="H103" s="9" t="s">
        <v>318</v>
      </c>
      <c r="I103" t="s">
        <v>343</v>
      </c>
      <c r="J103" s="10">
        <v>5995</v>
      </c>
      <c r="K103" s="10">
        <v>5995</v>
      </c>
      <c r="L103" s="8">
        <v>61034200</v>
      </c>
      <c r="M103" s="6">
        <v>18</v>
      </c>
      <c r="N103" s="6" t="s">
        <v>326</v>
      </c>
      <c r="O103" s="8" t="s">
        <v>61</v>
      </c>
      <c r="P103" s="6" t="s">
        <v>326</v>
      </c>
      <c r="Q103" s="6" t="s">
        <v>324</v>
      </c>
      <c r="R103" s="21"/>
      <c r="S103" s="10"/>
    </row>
    <row r="104" spans="1:19" ht="16" x14ac:dyDescent="0.2">
      <c r="A104" s="5" t="str">
        <f t="shared" si="2"/>
        <v>8905202264590_Bla</v>
      </c>
      <c r="B104" s="11">
        <v>8905202264590</v>
      </c>
      <c r="C104" s="6" t="str">
        <f t="shared" si="3"/>
        <v>8905202264590_Bla_L</v>
      </c>
      <c r="D104" s="8" t="s">
        <v>353</v>
      </c>
      <c r="E104" s="8" t="s">
        <v>27</v>
      </c>
      <c r="F104" t="s">
        <v>160</v>
      </c>
      <c r="G104" s="9" t="s">
        <v>317</v>
      </c>
      <c r="H104" s="9" t="s">
        <v>318</v>
      </c>
      <c r="I104" t="s">
        <v>343</v>
      </c>
      <c r="J104" s="10">
        <v>5995</v>
      </c>
      <c r="K104" s="10">
        <v>5995</v>
      </c>
      <c r="L104" s="8">
        <v>61034200</v>
      </c>
      <c r="M104" s="6">
        <v>18</v>
      </c>
      <c r="N104" s="6" t="s">
        <v>326</v>
      </c>
      <c r="O104" s="8" t="s">
        <v>44</v>
      </c>
      <c r="P104" s="6" t="s">
        <v>326</v>
      </c>
      <c r="Q104" s="6" t="s">
        <v>324</v>
      </c>
      <c r="R104" s="21"/>
      <c r="S104" s="10"/>
    </row>
    <row r="105" spans="1:19" ht="16" x14ac:dyDescent="0.2">
      <c r="A105" s="5" t="str">
        <f t="shared" si="2"/>
        <v>8905202264521_Bla</v>
      </c>
      <c r="B105" s="11">
        <v>8905202264521</v>
      </c>
      <c r="C105" s="6" t="str">
        <f t="shared" si="3"/>
        <v>8905202264521_Bla_XL</v>
      </c>
      <c r="D105" s="8" t="s">
        <v>353</v>
      </c>
      <c r="E105" s="8" t="s">
        <v>27</v>
      </c>
      <c r="F105" t="s">
        <v>160</v>
      </c>
      <c r="G105" s="9" t="s">
        <v>317</v>
      </c>
      <c r="H105" s="9" t="s">
        <v>318</v>
      </c>
      <c r="I105" t="s">
        <v>343</v>
      </c>
      <c r="J105" s="10">
        <v>5995</v>
      </c>
      <c r="K105" s="10">
        <v>5995</v>
      </c>
      <c r="L105" s="8">
        <v>61034200</v>
      </c>
      <c r="M105" s="6">
        <v>18</v>
      </c>
      <c r="N105" s="6" t="s">
        <v>326</v>
      </c>
      <c r="O105" s="8" t="s">
        <v>38</v>
      </c>
      <c r="P105" s="6" t="s">
        <v>326</v>
      </c>
      <c r="Q105" s="6" t="s">
        <v>324</v>
      </c>
      <c r="R105" s="21"/>
      <c r="S105" s="10"/>
    </row>
    <row r="106" spans="1:19" ht="16" x14ac:dyDescent="0.2">
      <c r="A106" s="5" t="str">
        <f t="shared" si="2"/>
        <v>8905202264514_Bla</v>
      </c>
      <c r="B106" s="11">
        <v>8905202264514</v>
      </c>
      <c r="C106" s="6" t="str">
        <f t="shared" si="3"/>
        <v>8905202264514_Bla_S</v>
      </c>
      <c r="D106" s="8" t="s">
        <v>354</v>
      </c>
      <c r="E106" s="8" t="s">
        <v>27</v>
      </c>
      <c r="F106" t="s">
        <v>160</v>
      </c>
      <c r="G106" s="9" t="s">
        <v>317</v>
      </c>
      <c r="H106" s="9" t="s">
        <v>318</v>
      </c>
      <c r="I106" t="s">
        <v>343</v>
      </c>
      <c r="J106" s="10">
        <v>5995</v>
      </c>
      <c r="K106" s="10">
        <v>5995</v>
      </c>
      <c r="L106" s="8">
        <v>61034200</v>
      </c>
      <c r="M106" s="6">
        <v>18</v>
      </c>
      <c r="N106" s="6" t="s">
        <v>326</v>
      </c>
      <c r="O106" s="8" t="s">
        <v>54</v>
      </c>
      <c r="P106" s="6" t="s">
        <v>326</v>
      </c>
      <c r="Q106" s="6" t="s">
        <v>321</v>
      </c>
      <c r="R106" s="21"/>
      <c r="S106" s="10"/>
    </row>
    <row r="107" spans="1:19" ht="16" x14ac:dyDescent="0.2">
      <c r="A107" s="5" t="str">
        <f t="shared" si="2"/>
        <v>8905202264507_Bla</v>
      </c>
      <c r="B107" s="11">
        <v>8905202264507</v>
      </c>
      <c r="C107" s="6" t="str">
        <f t="shared" si="3"/>
        <v>8905202264507_Bla_M</v>
      </c>
      <c r="D107" s="8" t="s">
        <v>354</v>
      </c>
      <c r="E107" s="8" t="s">
        <v>27</v>
      </c>
      <c r="F107" t="s">
        <v>160</v>
      </c>
      <c r="G107" s="9" t="s">
        <v>317</v>
      </c>
      <c r="H107" s="9" t="s">
        <v>318</v>
      </c>
      <c r="I107" t="s">
        <v>343</v>
      </c>
      <c r="J107" s="10">
        <v>5995</v>
      </c>
      <c r="K107" s="10">
        <v>5995</v>
      </c>
      <c r="L107" s="8">
        <v>61034200</v>
      </c>
      <c r="M107" s="6">
        <v>18</v>
      </c>
      <c r="N107" s="6" t="s">
        <v>326</v>
      </c>
      <c r="O107" s="8" t="s">
        <v>61</v>
      </c>
      <c r="P107" s="6" t="s">
        <v>326</v>
      </c>
      <c r="Q107" s="6" t="s">
        <v>321</v>
      </c>
      <c r="R107" s="21"/>
      <c r="S107" s="10"/>
    </row>
    <row r="108" spans="1:19" ht="16" x14ac:dyDescent="0.2">
      <c r="A108" s="5" t="str">
        <f t="shared" si="2"/>
        <v>8905202264538_Bla</v>
      </c>
      <c r="B108" s="11">
        <v>8905202264538</v>
      </c>
      <c r="C108" s="6" t="str">
        <f t="shared" si="3"/>
        <v>8905202264538_Bla_L</v>
      </c>
      <c r="D108" s="8" t="s">
        <v>354</v>
      </c>
      <c r="E108" s="8" t="s">
        <v>27</v>
      </c>
      <c r="F108" t="s">
        <v>160</v>
      </c>
      <c r="G108" s="9" t="s">
        <v>317</v>
      </c>
      <c r="H108" s="9" t="s">
        <v>318</v>
      </c>
      <c r="I108" t="s">
        <v>343</v>
      </c>
      <c r="J108" s="10">
        <v>5995</v>
      </c>
      <c r="K108" s="10">
        <v>5995</v>
      </c>
      <c r="L108" s="8">
        <v>61034200</v>
      </c>
      <c r="M108" s="6">
        <v>18</v>
      </c>
      <c r="N108" s="6" t="s">
        <v>326</v>
      </c>
      <c r="O108" s="8" t="s">
        <v>44</v>
      </c>
      <c r="P108" s="6" t="s">
        <v>326</v>
      </c>
      <c r="Q108" s="6" t="s">
        <v>321</v>
      </c>
      <c r="R108" s="21"/>
      <c r="S108" s="10"/>
    </row>
    <row r="109" spans="1:19" ht="16" x14ac:dyDescent="0.2">
      <c r="A109" s="5" t="str">
        <f t="shared" si="2"/>
        <v>8905202264545_Bla</v>
      </c>
      <c r="B109" s="11">
        <v>8905202264545</v>
      </c>
      <c r="C109" s="6" t="str">
        <f t="shared" si="3"/>
        <v>8905202264545_Bla_XL</v>
      </c>
      <c r="D109" s="8" t="s">
        <v>354</v>
      </c>
      <c r="E109" s="8" t="s">
        <v>27</v>
      </c>
      <c r="F109" t="s">
        <v>160</v>
      </c>
      <c r="G109" s="9" t="s">
        <v>317</v>
      </c>
      <c r="H109" s="9" t="s">
        <v>318</v>
      </c>
      <c r="I109" t="s">
        <v>343</v>
      </c>
      <c r="J109" s="10">
        <v>5995</v>
      </c>
      <c r="K109" s="10">
        <v>5995</v>
      </c>
      <c r="L109" s="8">
        <v>61034200</v>
      </c>
      <c r="M109" s="6">
        <v>18</v>
      </c>
      <c r="N109" s="6" t="s">
        <v>326</v>
      </c>
      <c r="O109" s="8" t="s">
        <v>38</v>
      </c>
      <c r="P109" s="6" t="s">
        <v>326</v>
      </c>
      <c r="Q109" s="6" t="s">
        <v>321</v>
      </c>
      <c r="R109" s="21"/>
      <c r="S109" s="10"/>
    </row>
    <row r="110" spans="1:19" ht="16" x14ac:dyDescent="0.2">
      <c r="A110" s="5" t="str">
        <f t="shared" si="2"/>
        <v>8905202268741_Bla</v>
      </c>
      <c r="B110" s="11">
        <v>8905202268741</v>
      </c>
      <c r="C110" s="6" t="str">
        <f t="shared" si="3"/>
        <v>8905202268741_Bla_S</v>
      </c>
      <c r="D110" s="8" t="s">
        <v>355</v>
      </c>
      <c r="E110" s="8" t="s">
        <v>27</v>
      </c>
      <c r="F110" t="s">
        <v>160</v>
      </c>
      <c r="G110" s="9" t="s">
        <v>317</v>
      </c>
      <c r="H110" s="9" t="s">
        <v>318</v>
      </c>
      <c r="I110" t="s">
        <v>343</v>
      </c>
      <c r="J110" s="10">
        <v>5995</v>
      </c>
      <c r="K110" s="10">
        <v>5995</v>
      </c>
      <c r="L110" s="8">
        <v>61034200</v>
      </c>
      <c r="M110" s="6">
        <v>18</v>
      </c>
      <c r="N110" s="6" t="s">
        <v>326</v>
      </c>
      <c r="O110" s="8" t="s">
        <v>54</v>
      </c>
      <c r="P110" s="6" t="s">
        <v>326</v>
      </c>
      <c r="Q110" s="6" t="s">
        <v>324</v>
      </c>
      <c r="R110" s="21"/>
      <c r="S110" s="10"/>
    </row>
    <row r="111" spans="1:19" ht="16" x14ac:dyDescent="0.2">
      <c r="A111" s="5" t="str">
        <f t="shared" si="2"/>
        <v>8905202268734_Bla</v>
      </c>
      <c r="B111" s="11">
        <v>8905202268734</v>
      </c>
      <c r="C111" s="6" t="str">
        <f t="shared" si="3"/>
        <v>8905202268734_Bla_M</v>
      </c>
      <c r="D111" s="8" t="s">
        <v>355</v>
      </c>
      <c r="E111" s="8" t="s">
        <v>27</v>
      </c>
      <c r="F111" t="s">
        <v>160</v>
      </c>
      <c r="G111" s="9" t="s">
        <v>317</v>
      </c>
      <c r="H111" s="9" t="s">
        <v>318</v>
      </c>
      <c r="I111" t="s">
        <v>343</v>
      </c>
      <c r="J111" s="10">
        <v>5995</v>
      </c>
      <c r="K111" s="10">
        <v>5995</v>
      </c>
      <c r="L111" s="8">
        <v>61034200</v>
      </c>
      <c r="M111" s="6">
        <v>18</v>
      </c>
      <c r="N111" s="6" t="s">
        <v>326</v>
      </c>
      <c r="O111" s="8" t="s">
        <v>61</v>
      </c>
      <c r="P111" s="6" t="s">
        <v>326</v>
      </c>
      <c r="Q111" s="6" t="s">
        <v>324</v>
      </c>
      <c r="R111" s="21"/>
      <c r="S111" s="10"/>
    </row>
    <row r="112" spans="1:19" ht="16" x14ac:dyDescent="0.2">
      <c r="A112" s="5" t="str">
        <f t="shared" si="2"/>
        <v>8905202268727_Bla</v>
      </c>
      <c r="B112" s="11">
        <v>8905202268727</v>
      </c>
      <c r="C112" s="6" t="str">
        <f t="shared" si="3"/>
        <v>8905202268727_Bla_L</v>
      </c>
      <c r="D112" s="8" t="s">
        <v>355</v>
      </c>
      <c r="E112" s="8" t="s">
        <v>27</v>
      </c>
      <c r="F112" t="s">
        <v>160</v>
      </c>
      <c r="G112" s="9" t="s">
        <v>317</v>
      </c>
      <c r="H112" s="9" t="s">
        <v>318</v>
      </c>
      <c r="I112" t="s">
        <v>343</v>
      </c>
      <c r="J112" s="10">
        <v>5995</v>
      </c>
      <c r="K112" s="10">
        <v>5995</v>
      </c>
      <c r="L112" s="8">
        <v>61034200</v>
      </c>
      <c r="M112" s="6">
        <v>18</v>
      </c>
      <c r="N112" s="6" t="s">
        <v>326</v>
      </c>
      <c r="O112" s="8" t="s">
        <v>44</v>
      </c>
      <c r="P112" s="6" t="s">
        <v>326</v>
      </c>
      <c r="Q112" s="6" t="s">
        <v>324</v>
      </c>
      <c r="R112" s="21"/>
      <c r="S112" s="10"/>
    </row>
    <row r="113" spans="1:19" ht="16" x14ac:dyDescent="0.2">
      <c r="A113" s="5" t="str">
        <f t="shared" si="2"/>
        <v>8905202268758_Bla</v>
      </c>
      <c r="B113" s="11">
        <v>8905202268758</v>
      </c>
      <c r="C113" s="6" t="str">
        <f t="shared" si="3"/>
        <v>8905202268758_Bla_XL</v>
      </c>
      <c r="D113" s="8" t="s">
        <v>355</v>
      </c>
      <c r="E113" s="8" t="s">
        <v>27</v>
      </c>
      <c r="F113" t="s">
        <v>160</v>
      </c>
      <c r="G113" s="9" t="s">
        <v>317</v>
      </c>
      <c r="H113" s="9" t="s">
        <v>318</v>
      </c>
      <c r="I113" t="s">
        <v>343</v>
      </c>
      <c r="J113" s="10">
        <v>5995</v>
      </c>
      <c r="K113" s="10">
        <v>5995</v>
      </c>
      <c r="L113" s="8">
        <v>61034200</v>
      </c>
      <c r="M113" s="6">
        <v>18</v>
      </c>
      <c r="N113" s="6" t="s">
        <v>326</v>
      </c>
      <c r="O113" s="8" t="s">
        <v>38</v>
      </c>
      <c r="P113" s="6" t="s">
        <v>326</v>
      </c>
      <c r="Q113" s="6" t="s">
        <v>324</v>
      </c>
      <c r="R113" s="21"/>
      <c r="S113" s="10"/>
    </row>
    <row r="114" spans="1:19" ht="16" x14ac:dyDescent="0.2">
      <c r="A114" s="5" t="str">
        <f t="shared" si="2"/>
        <v>8905202268765_Red</v>
      </c>
      <c r="B114" s="11">
        <v>8905202268765</v>
      </c>
      <c r="C114" s="6" t="str">
        <f t="shared" si="3"/>
        <v>8905202268765_Red_S</v>
      </c>
      <c r="D114" s="8" t="s">
        <v>356</v>
      </c>
      <c r="E114" s="8" t="s">
        <v>27</v>
      </c>
      <c r="F114" t="s">
        <v>160</v>
      </c>
      <c r="G114" s="9" t="s">
        <v>317</v>
      </c>
      <c r="H114" s="9" t="s">
        <v>318</v>
      </c>
      <c r="I114" t="s">
        <v>343</v>
      </c>
      <c r="J114" s="10">
        <v>5995</v>
      </c>
      <c r="K114" s="10">
        <v>5995</v>
      </c>
      <c r="L114" s="8">
        <v>61034200</v>
      </c>
      <c r="M114" s="6">
        <v>18</v>
      </c>
      <c r="N114" s="6" t="s">
        <v>323</v>
      </c>
      <c r="O114" s="8" t="s">
        <v>54</v>
      </c>
      <c r="P114" s="6" t="s">
        <v>323</v>
      </c>
      <c r="Q114" s="6" t="s">
        <v>321</v>
      </c>
      <c r="R114" s="21"/>
      <c r="S114" s="10"/>
    </row>
    <row r="115" spans="1:19" ht="16" x14ac:dyDescent="0.2">
      <c r="A115" s="5" t="str">
        <f t="shared" si="2"/>
        <v>8905202268840_Red</v>
      </c>
      <c r="B115" s="11">
        <v>8905202268840</v>
      </c>
      <c r="C115" s="6" t="str">
        <f t="shared" si="3"/>
        <v>8905202268840_Red_M</v>
      </c>
      <c r="D115" s="8" t="s">
        <v>356</v>
      </c>
      <c r="E115" s="8" t="s">
        <v>27</v>
      </c>
      <c r="F115" t="s">
        <v>160</v>
      </c>
      <c r="G115" s="9" t="s">
        <v>317</v>
      </c>
      <c r="H115" s="9" t="s">
        <v>318</v>
      </c>
      <c r="I115" t="s">
        <v>343</v>
      </c>
      <c r="J115" s="10">
        <v>5995</v>
      </c>
      <c r="K115" s="10">
        <v>5995</v>
      </c>
      <c r="L115" s="8">
        <v>61034200</v>
      </c>
      <c r="M115" s="6">
        <v>18</v>
      </c>
      <c r="N115" s="6" t="s">
        <v>323</v>
      </c>
      <c r="O115" s="8" t="s">
        <v>61</v>
      </c>
      <c r="P115" s="6" t="s">
        <v>323</v>
      </c>
      <c r="Q115" s="6" t="s">
        <v>321</v>
      </c>
      <c r="R115" s="21"/>
      <c r="S115" s="10"/>
    </row>
    <row r="116" spans="1:19" ht="16" x14ac:dyDescent="0.2">
      <c r="A116" s="5" t="str">
        <f t="shared" si="2"/>
        <v>8905202268833_Red</v>
      </c>
      <c r="B116" s="11">
        <v>8905202268833</v>
      </c>
      <c r="C116" s="6" t="str">
        <f t="shared" si="3"/>
        <v>8905202268833_Red_L</v>
      </c>
      <c r="D116" s="8" t="s">
        <v>356</v>
      </c>
      <c r="E116" s="8" t="s">
        <v>27</v>
      </c>
      <c r="F116" t="s">
        <v>160</v>
      </c>
      <c r="G116" s="9" t="s">
        <v>317</v>
      </c>
      <c r="H116" s="9" t="s">
        <v>318</v>
      </c>
      <c r="I116" t="s">
        <v>343</v>
      </c>
      <c r="J116" s="10">
        <v>5995</v>
      </c>
      <c r="K116" s="10">
        <v>5995</v>
      </c>
      <c r="L116" s="8">
        <v>61034200</v>
      </c>
      <c r="M116" s="6">
        <v>18</v>
      </c>
      <c r="N116" s="6" t="s">
        <v>323</v>
      </c>
      <c r="O116" s="8" t="s">
        <v>44</v>
      </c>
      <c r="P116" s="6" t="s">
        <v>323</v>
      </c>
      <c r="Q116" s="6" t="s">
        <v>321</v>
      </c>
      <c r="R116" s="21"/>
      <c r="S116" s="10"/>
    </row>
    <row r="117" spans="1:19" ht="16" x14ac:dyDescent="0.2">
      <c r="A117" s="5" t="str">
        <f t="shared" si="2"/>
        <v>8905202268826_Red</v>
      </c>
      <c r="B117" s="11">
        <v>8905202268826</v>
      </c>
      <c r="C117" s="6" t="str">
        <f t="shared" si="3"/>
        <v>8905202268826_Red_XL</v>
      </c>
      <c r="D117" s="8" t="s">
        <v>356</v>
      </c>
      <c r="E117" s="8" t="s">
        <v>27</v>
      </c>
      <c r="F117" t="s">
        <v>160</v>
      </c>
      <c r="G117" s="9" t="s">
        <v>317</v>
      </c>
      <c r="H117" s="9" t="s">
        <v>318</v>
      </c>
      <c r="I117" t="s">
        <v>343</v>
      </c>
      <c r="J117" s="10">
        <v>5995</v>
      </c>
      <c r="K117" s="10">
        <v>5995</v>
      </c>
      <c r="L117" s="8">
        <v>61034200</v>
      </c>
      <c r="M117" s="6">
        <v>18</v>
      </c>
      <c r="N117" s="6" t="s">
        <v>323</v>
      </c>
      <c r="O117" s="8" t="s">
        <v>38</v>
      </c>
      <c r="P117" s="6" t="s">
        <v>323</v>
      </c>
      <c r="Q117" s="6" t="s">
        <v>321</v>
      </c>
      <c r="R117" s="21"/>
      <c r="S117" s="10"/>
    </row>
    <row r="118" spans="1:19" ht="16" x14ac:dyDescent="0.2">
      <c r="A118" s="5" t="str">
        <f t="shared" si="2"/>
        <v>8905202268857_Gre</v>
      </c>
      <c r="B118" s="11">
        <v>8905202268857</v>
      </c>
      <c r="C118" s="6" t="str">
        <f t="shared" si="3"/>
        <v>8905202268857_Gre_S</v>
      </c>
      <c r="D118" s="19" t="s">
        <v>357</v>
      </c>
      <c r="E118" s="8" t="s">
        <v>27</v>
      </c>
      <c r="F118" t="s">
        <v>160</v>
      </c>
      <c r="G118" s="9" t="s">
        <v>317</v>
      </c>
      <c r="H118" s="9" t="s">
        <v>318</v>
      </c>
      <c r="I118" t="s">
        <v>343</v>
      </c>
      <c r="J118" s="10">
        <v>5995</v>
      </c>
      <c r="K118" s="10">
        <v>5995</v>
      </c>
      <c r="L118" s="8">
        <v>61034200</v>
      </c>
      <c r="M118" s="6">
        <v>18</v>
      </c>
      <c r="N118" s="6" t="s">
        <v>337</v>
      </c>
      <c r="O118" s="8" t="s">
        <v>54</v>
      </c>
      <c r="P118" s="6" t="s">
        <v>337</v>
      </c>
      <c r="Q118" s="6" t="s">
        <v>324</v>
      </c>
      <c r="R118" s="21"/>
      <c r="S118" s="10"/>
    </row>
    <row r="119" spans="1:19" ht="16" x14ac:dyDescent="0.2">
      <c r="A119" s="5" t="str">
        <f t="shared" si="2"/>
        <v>8905202268864_Gre</v>
      </c>
      <c r="B119" s="11">
        <v>8905202268864</v>
      </c>
      <c r="C119" s="6" t="str">
        <f t="shared" si="3"/>
        <v>8905202268864_Gre_M</v>
      </c>
      <c r="D119" s="19" t="s">
        <v>357</v>
      </c>
      <c r="E119" s="8" t="s">
        <v>27</v>
      </c>
      <c r="F119" t="s">
        <v>160</v>
      </c>
      <c r="G119" s="9" t="s">
        <v>317</v>
      </c>
      <c r="H119" s="9" t="s">
        <v>318</v>
      </c>
      <c r="I119" t="s">
        <v>343</v>
      </c>
      <c r="J119" s="10">
        <v>5995</v>
      </c>
      <c r="K119" s="10">
        <v>5995</v>
      </c>
      <c r="L119" s="8">
        <v>61034200</v>
      </c>
      <c r="M119" s="6">
        <v>18</v>
      </c>
      <c r="N119" s="6" t="s">
        <v>337</v>
      </c>
      <c r="O119" s="8" t="s">
        <v>61</v>
      </c>
      <c r="P119" s="6" t="s">
        <v>337</v>
      </c>
      <c r="Q119" s="6" t="s">
        <v>324</v>
      </c>
      <c r="R119" s="21"/>
      <c r="S119" s="10"/>
    </row>
    <row r="120" spans="1:19" ht="16" x14ac:dyDescent="0.2">
      <c r="A120" s="5" t="str">
        <f t="shared" si="2"/>
        <v>8905202268796_Gre</v>
      </c>
      <c r="B120" s="11">
        <v>8905202268796</v>
      </c>
      <c r="C120" s="6" t="str">
        <f t="shared" si="3"/>
        <v>8905202268796_Gre_L</v>
      </c>
      <c r="D120" s="19" t="s">
        <v>357</v>
      </c>
      <c r="E120" s="8" t="s">
        <v>27</v>
      </c>
      <c r="F120" t="s">
        <v>160</v>
      </c>
      <c r="G120" s="9" t="s">
        <v>317</v>
      </c>
      <c r="H120" s="9" t="s">
        <v>318</v>
      </c>
      <c r="I120" t="s">
        <v>343</v>
      </c>
      <c r="J120" s="10">
        <v>5995</v>
      </c>
      <c r="K120" s="10">
        <v>5995</v>
      </c>
      <c r="L120" s="8">
        <v>61034200</v>
      </c>
      <c r="M120" s="6">
        <v>18</v>
      </c>
      <c r="N120" s="6" t="s">
        <v>337</v>
      </c>
      <c r="O120" s="8" t="s">
        <v>44</v>
      </c>
      <c r="P120" s="6" t="s">
        <v>337</v>
      </c>
      <c r="Q120" s="6" t="s">
        <v>324</v>
      </c>
      <c r="R120" s="21"/>
      <c r="S120" s="10"/>
    </row>
    <row r="121" spans="1:19" ht="16" x14ac:dyDescent="0.2">
      <c r="A121" s="5" t="str">
        <f t="shared" si="2"/>
        <v>8905202268789_Gre</v>
      </c>
      <c r="B121" s="11">
        <v>8905202268789</v>
      </c>
      <c r="C121" s="6" t="str">
        <f t="shared" si="3"/>
        <v>8905202268789_Gre_XL</v>
      </c>
      <c r="D121" s="19" t="s">
        <v>357</v>
      </c>
      <c r="E121" s="8" t="s">
        <v>27</v>
      </c>
      <c r="F121" t="s">
        <v>160</v>
      </c>
      <c r="G121" s="9" t="s">
        <v>317</v>
      </c>
      <c r="H121" s="9" t="s">
        <v>318</v>
      </c>
      <c r="I121" t="s">
        <v>343</v>
      </c>
      <c r="J121" s="10">
        <v>5995</v>
      </c>
      <c r="K121" s="10">
        <v>5995</v>
      </c>
      <c r="L121" s="8">
        <v>61034200</v>
      </c>
      <c r="M121" s="6">
        <v>18</v>
      </c>
      <c r="N121" s="6" t="s">
        <v>337</v>
      </c>
      <c r="O121" s="8" t="s">
        <v>38</v>
      </c>
      <c r="P121" s="6" t="s">
        <v>337</v>
      </c>
      <c r="Q121" s="6" t="s">
        <v>324</v>
      </c>
      <c r="R121" s="21"/>
      <c r="S121" s="10"/>
    </row>
    <row r="122" spans="1:19" ht="16" x14ac:dyDescent="0.2">
      <c r="A122" s="5" t="str">
        <f t="shared" si="2"/>
        <v>8905202268802_Nav</v>
      </c>
      <c r="B122" s="11">
        <v>8905202268802</v>
      </c>
      <c r="C122" s="6" t="str">
        <f t="shared" si="3"/>
        <v>8905202268802_Nav_M</v>
      </c>
      <c r="D122" s="27" t="s">
        <v>358</v>
      </c>
      <c r="E122" s="8" t="s">
        <v>27</v>
      </c>
      <c r="F122" t="s">
        <v>359</v>
      </c>
      <c r="G122" s="9" t="s">
        <v>317</v>
      </c>
      <c r="H122" s="9" t="s">
        <v>318</v>
      </c>
      <c r="I122" t="s">
        <v>360</v>
      </c>
      <c r="J122" s="10">
        <v>3995</v>
      </c>
      <c r="K122" s="10">
        <v>3995</v>
      </c>
      <c r="L122" s="8">
        <v>61034200</v>
      </c>
      <c r="M122" s="6">
        <v>18</v>
      </c>
      <c r="N122" s="6" t="s">
        <v>348</v>
      </c>
      <c r="O122" s="8" t="s">
        <v>61</v>
      </c>
      <c r="P122" s="6" t="s">
        <v>348</v>
      </c>
      <c r="Q122" s="6" t="s">
        <v>321</v>
      </c>
      <c r="R122" s="21"/>
      <c r="S122" s="10"/>
    </row>
    <row r="123" spans="1:19" ht="16" x14ac:dyDescent="0.2">
      <c r="A123" s="5" t="str">
        <f t="shared" si="2"/>
        <v>8905202268819_Nav</v>
      </c>
      <c r="B123" s="11">
        <v>8905202268819</v>
      </c>
      <c r="C123" s="6" t="str">
        <f t="shared" si="3"/>
        <v>8905202268819_Nav_L</v>
      </c>
      <c r="D123" s="27" t="s">
        <v>358</v>
      </c>
      <c r="E123" s="8" t="s">
        <v>27</v>
      </c>
      <c r="F123" t="s">
        <v>359</v>
      </c>
      <c r="G123" s="9" t="s">
        <v>317</v>
      </c>
      <c r="H123" s="9" t="s">
        <v>318</v>
      </c>
      <c r="I123" t="s">
        <v>360</v>
      </c>
      <c r="J123" s="10">
        <v>3995</v>
      </c>
      <c r="K123" s="10">
        <v>3995</v>
      </c>
      <c r="L123" s="8">
        <v>61034200</v>
      </c>
      <c r="M123" s="6">
        <v>18</v>
      </c>
      <c r="N123" s="6" t="s">
        <v>348</v>
      </c>
      <c r="O123" s="8" t="s">
        <v>44</v>
      </c>
      <c r="P123" s="6" t="s">
        <v>348</v>
      </c>
      <c r="Q123" s="6" t="s">
        <v>321</v>
      </c>
      <c r="R123" s="21"/>
      <c r="S123" s="10"/>
    </row>
    <row r="124" spans="1:19" ht="16" x14ac:dyDescent="0.2">
      <c r="A124" s="5" t="str">
        <f t="shared" si="2"/>
        <v>8905202268697_Nav</v>
      </c>
      <c r="B124" s="11">
        <v>8905202268697</v>
      </c>
      <c r="C124" s="6" t="str">
        <f t="shared" si="3"/>
        <v>8905202268697_Nav_XL</v>
      </c>
      <c r="D124" s="27" t="s">
        <v>358</v>
      </c>
      <c r="E124" s="8" t="s">
        <v>27</v>
      </c>
      <c r="F124" t="s">
        <v>359</v>
      </c>
      <c r="G124" s="9" t="s">
        <v>317</v>
      </c>
      <c r="H124" s="9" t="s">
        <v>318</v>
      </c>
      <c r="I124" t="s">
        <v>360</v>
      </c>
      <c r="J124" s="10">
        <v>3995</v>
      </c>
      <c r="K124" s="10">
        <v>3995</v>
      </c>
      <c r="L124" s="8">
        <v>61034200</v>
      </c>
      <c r="M124" s="6">
        <v>18</v>
      </c>
      <c r="N124" s="6" t="s">
        <v>348</v>
      </c>
      <c r="O124" s="8" t="s">
        <v>38</v>
      </c>
      <c r="P124" s="6" t="s">
        <v>348</v>
      </c>
      <c r="Q124" s="6" t="s">
        <v>321</v>
      </c>
      <c r="R124" s="21"/>
      <c r="S124" s="10"/>
    </row>
    <row r="125" spans="1:19" ht="16" x14ac:dyDescent="0.2">
      <c r="A125" s="5" t="str">
        <f t="shared" si="2"/>
        <v>8905202268673_Bla</v>
      </c>
      <c r="B125" s="11">
        <v>8905202268673</v>
      </c>
      <c r="C125" s="6" t="str">
        <f t="shared" si="3"/>
        <v>8905202268673_Bla_M</v>
      </c>
      <c r="D125" s="27" t="s">
        <v>361</v>
      </c>
      <c r="E125" s="8" t="s">
        <v>27</v>
      </c>
      <c r="F125" t="s">
        <v>359</v>
      </c>
      <c r="G125" s="9" t="s">
        <v>317</v>
      </c>
      <c r="H125" s="9" t="s">
        <v>318</v>
      </c>
      <c r="I125" t="s">
        <v>360</v>
      </c>
      <c r="J125" s="10">
        <v>3995</v>
      </c>
      <c r="K125" s="10">
        <v>3995</v>
      </c>
      <c r="L125" s="8">
        <v>61034200</v>
      </c>
      <c r="M125" s="6">
        <v>18</v>
      </c>
      <c r="N125" s="6" t="s">
        <v>326</v>
      </c>
      <c r="O125" s="8" t="s">
        <v>61</v>
      </c>
      <c r="P125" s="6" t="s">
        <v>326</v>
      </c>
      <c r="Q125" s="6" t="s">
        <v>321</v>
      </c>
      <c r="R125" s="21"/>
      <c r="S125" s="10"/>
    </row>
    <row r="126" spans="1:19" ht="16" x14ac:dyDescent="0.2">
      <c r="A126" s="5" t="str">
        <f t="shared" si="2"/>
        <v>8905202268703_Bla</v>
      </c>
      <c r="B126" s="11">
        <v>8905202268703</v>
      </c>
      <c r="C126" s="6" t="str">
        <f t="shared" si="3"/>
        <v>8905202268703_Bla_L</v>
      </c>
      <c r="D126" s="27" t="s">
        <v>361</v>
      </c>
      <c r="E126" s="8" t="s">
        <v>27</v>
      </c>
      <c r="F126" t="s">
        <v>359</v>
      </c>
      <c r="G126" s="9" t="s">
        <v>317</v>
      </c>
      <c r="H126" s="9" t="s">
        <v>318</v>
      </c>
      <c r="I126" t="s">
        <v>360</v>
      </c>
      <c r="J126" s="10">
        <v>3995</v>
      </c>
      <c r="K126" s="10">
        <v>3995</v>
      </c>
      <c r="L126" s="8">
        <v>61034200</v>
      </c>
      <c r="M126" s="6">
        <v>18</v>
      </c>
      <c r="N126" s="6" t="s">
        <v>326</v>
      </c>
      <c r="O126" s="8" t="s">
        <v>44</v>
      </c>
      <c r="P126" s="6" t="s">
        <v>326</v>
      </c>
      <c r="Q126" s="6" t="s">
        <v>321</v>
      </c>
      <c r="R126" s="21"/>
      <c r="S126" s="10"/>
    </row>
    <row r="127" spans="1:19" ht="16" x14ac:dyDescent="0.2">
      <c r="A127" s="5" t="str">
        <f t="shared" si="2"/>
        <v>8905202268710_Bla</v>
      </c>
      <c r="B127" s="11">
        <v>8905202268710</v>
      </c>
      <c r="C127" s="6" t="str">
        <f t="shared" si="3"/>
        <v>8905202268710_Bla_XL</v>
      </c>
      <c r="D127" s="27" t="s">
        <v>361</v>
      </c>
      <c r="E127" s="8" t="s">
        <v>27</v>
      </c>
      <c r="F127" t="s">
        <v>359</v>
      </c>
      <c r="G127" s="9" t="s">
        <v>317</v>
      </c>
      <c r="H127" s="9" t="s">
        <v>318</v>
      </c>
      <c r="I127" t="s">
        <v>360</v>
      </c>
      <c r="J127" s="10">
        <v>3995</v>
      </c>
      <c r="K127" s="10">
        <v>3995</v>
      </c>
      <c r="L127" s="8">
        <v>61034200</v>
      </c>
      <c r="M127" s="6">
        <v>18</v>
      </c>
      <c r="N127" s="6" t="s">
        <v>326</v>
      </c>
      <c r="O127" s="8" t="s">
        <v>38</v>
      </c>
      <c r="P127" s="6" t="s">
        <v>326</v>
      </c>
      <c r="Q127" s="6" t="s">
        <v>321</v>
      </c>
      <c r="R127" s="21"/>
      <c r="S127" s="10"/>
    </row>
    <row r="128" spans="1:19" ht="16" x14ac:dyDescent="0.2">
      <c r="A128" s="5" t="str">
        <f t="shared" si="2"/>
        <v>8905202268932_Gre</v>
      </c>
      <c r="B128" s="11">
        <v>8905202268932</v>
      </c>
      <c r="C128" s="6" t="str">
        <f t="shared" si="3"/>
        <v>8905202268932_Gre_M</v>
      </c>
      <c r="D128" s="27" t="s">
        <v>362</v>
      </c>
      <c r="E128" s="8" t="s">
        <v>27</v>
      </c>
      <c r="F128" t="s">
        <v>359</v>
      </c>
      <c r="G128" s="9" t="s">
        <v>317</v>
      </c>
      <c r="H128" s="9" t="s">
        <v>318</v>
      </c>
      <c r="I128" t="s">
        <v>360</v>
      </c>
      <c r="J128" s="10">
        <v>3495</v>
      </c>
      <c r="K128" s="10">
        <v>3495</v>
      </c>
      <c r="L128" s="8">
        <v>61034200</v>
      </c>
      <c r="M128" s="6">
        <v>18</v>
      </c>
      <c r="N128" s="6" t="s">
        <v>337</v>
      </c>
      <c r="O128" s="8" t="s">
        <v>61</v>
      </c>
      <c r="P128" s="6" t="s">
        <v>337</v>
      </c>
      <c r="Q128" s="6" t="s">
        <v>321</v>
      </c>
      <c r="R128" s="21"/>
      <c r="S128" s="10"/>
    </row>
    <row r="129" spans="1:19" ht="16" x14ac:dyDescent="0.2">
      <c r="A129" s="5" t="str">
        <f t="shared" si="2"/>
        <v>8905202268925_Gre</v>
      </c>
      <c r="B129" s="11">
        <v>8905202268925</v>
      </c>
      <c r="C129" s="6" t="str">
        <f t="shared" si="3"/>
        <v>8905202268925_Gre_L</v>
      </c>
      <c r="D129" s="27" t="s">
        <v>362</v>
      </c>
      <c r="E129" s="8" t="s">
        <v>27</v>
      </c>
      <c r="F129" t="s">
        <v>359</v>
      </c>
      <c r="G129" s="9" t="s">
        <v>317</v>
      </c>
      <c r="H129" s="9" t="s">
        <v>318</v>
      </c>
      <c r="I129" t="s">
        <v>360</v>
      </c>
      <c r="J129" s="10">
        <v>3495</v>
      </c>
      <c r="K129" s="10">
        <v>3495</v>
      </c>
      <c r="L129" s="8">
        <v>61034200</v>
      </c>
      <c r="M129" s="6">
        <v>18</v>
      </c>
      <c r="N129" s="6" t="s">
        <v>337</v>
      </c>
      <c r="O129" s="8" t="s">
        <v>44</v>
      </c>
      <c r="P129" s="6" t="s">
        <v>337</v>
      </c>
      <c r="Q129" s="6" t="s">
        <v>321</v>
      </c>
      <c r="R129" s="21"/>
      <c r="S129" s="10"/>
    </row>
    <row r="130" spans="1:19" ht="16" x14ac:dyDescent="0.2">
      <c r="A130" s="5" t="str">
        <f t="shared" si="2"/>
        <v>8905202268956_Gre</v>
      </c>
      <c r="B130" s="11">
        <v>8905202268956</v>
      </c>
      <c r="C130" s="6" t="str">
        <f t="shared" si="3"/>
        <v>8905202268956_Gre_XL</v>
      </c>
      <c r="D130" s="27" t="s">
        <v>362</v>
      </c>
      <c r="E130" s="8" t="s">
        <v>27</v>
      </c>
      <c r="F130" t="s">
        <v>359</v>
      </c>
      <c r="G130" s="9" t="s">
        <v>317</v>
      </c>
      <c r="H130" s="9" t="s">
        <v>318</v>
      </c>
      <c r="I130" t="s">
        <v>360</v>
      </c>
      <c r="J130" s="10">
        <v>3495</v>
      </c>
      <c r="K130" s="10">
        <v>3495</v>
      </c>
      <c r="L130" s="8">
        <v>61034200</v>
      </c>
      <c r="M130" s="6">
        <v>18</v>
      </c>
      <c r="N130" s="6" t="s">
        <v>337</v>
      </c>
      <c r="O130" s="8" t="s">
        <v>38</v>
      </c>
      <c r="P130" s="6" t="s">
        <v>337</v>
      </c>
      <c r="Q130" s="6" t="s">
        <v>321</v>
      </c>
      <c r="R130" s="21"/>
      <c r="S130" s="10"/>
    </row>
    <row r="131" spans="1:19" ht="16" x14ac:dyDescent="0.2">
      <c r="A131" s="5" t="str">
        <f t="shared" ref="A131:A194" si="4" xml:space="preserve"> B131&amp; "_" &amp; LEFT(N131,3)</f>
        <v>8905202269045_Bla</v>
      </c>
      <c r="B131" s="11">
        <v>8905202269045</v>
      </c>
      <c r="C131" s="6" t="str">
        <f t="shared" ref="C131:C194" si="5">B131 &amp; "_" &amp; LEFT(N131,3) &amp; "_" &amp; O131</f>
        <v>8905202269045_Bla_M</v>
      </c>
      <c r="D131" s="27" t="s">
        <v>363</v>
      </c>
      <c r="E131" s="8" t="s">
        <v>27</v>
      </c>
      <c r="F131" t="s">
        <v>359</v>
      </c>
      <c r="G131" s="9" t="s">
        <v>317</v>
      </c>
      <c r="H131" s="9" t="s">
        <v>318</v>
      </c>
      <c r="I131" t="s">
        <v>360</v>
      </c>
      <c r="J131" s="10">
        <v>3495</v>
      </c>
      <c r="K131" s="10">
        <v>3495</v>
      </c>
      <c r="L131" s="8">
        <v>61034200</v>
      </c>
      <c r="M131" s="6">
        <v>18</v>
      </c>
      <c r="N131" s="6" t="s">
        <v>326</v>
      </c>
      <c r="O131" s="8" t="s">
        <v>61</v>
      </c>
      <c r="P131" s="6" t="s">
        <v>326</v>
      </c>
      <c r="Q131" s="6" t="s">
        <v>321</v>
      </c>
      <c r="R131" s="21"/>
      <c r="S131" s="10"/>
    </row>
    <row r="132" spans="1:19" ht="16" x14ac:dyDescent="0.2">
      <c r="A132" s="5" t="str">
        <f t="shared" si="4"/>
        <v>8905202269038_Bla</v>
      </c>
      <c r="B132" s="11">
        <v>8905202269038</v>
      </c>
      <c r="C132" s="6" t="str">
        <f t="shared" si="5"/>
        <v>8905202269038_Bla_L</v>
      </c>
      <c r="D132" s="27" t="s">
        <v>363</v>
      </c>
      <c r="E132" s="8" t="s">
        <v>27</v>
      </c>
      <c r="F132" t="s">
        <v>359</v>
      </c>
      <c r="G132" s="9" t="s">
        <v>317</v>
      </c>
      <c r="H132" s="9" t="s">
        <v>318</v>
      </c>
      <c r="I132" t="s">
        <v>360</v>
      </c>
      <c r="J132" s="10">
        <v>3495</v>
      </c>
      <c r="K132" s="10">
        <v>3495</v>
      </c>
      <c r="L132" s="8">
        <v>61034200</v>
      </c>
      <c r="M132" s="6">
        <v>18</v>
      </c>
      <c r="N132" s="6" t="s">
        <v>326</v>
      </c>
      <c r="O132" s="8" t="s">
        <v>44</v>
      </c>
      <c r="P132" s="6" t="s">
        <v>326</v>
      </c>
      <c r="Q132" s="6" t="s">
        <v>321</v>
      </c>
      <c r="R132" s="21"/>
      <c r="S132" s="10"/>
    </row>
    <row r="133" spans="1:19" ht="16" x14ac:dyDescent="0.2">
      <c r="A133" s="5" t="str">
        <f t="shared" si="4"/>
        <v>8905202269021_Bla</v>
      </c>
      <c r="B133" s="11">
        <v>8905202269021</v>
      </c>
      <c r="C133" s="6" t="str">
        <f t="shared" si="5"/>
        <v>8905202269021_Bla_XL</v>
      </c>
      <c r="D133" s="27" t="s">
        <v>363</v>
      </c>
      <c r="E133" s="8" t="s">
        <v>27</v>
      </c>
      <c r="F133" t="s">
        <v>359</v>
      </c>
      <c r="G133" s="9" t="s">
        <v>317</v>
      </c>
      <c r="H133" s="9" t="s">
        <v>318</v>
      </c>
      <c r="I133" t="s">
        <v>360</v>
      </c>
      <c r="J133" s="10">
        <v>3495</v>
      </c>
      <c r="K133" s="10">
        <v>3495</v>
      </c>
      <c r="L133" s="8">
        <v>61034200</v>
      </c>
      <c r="M133" s="6">
        <v>18</v>
      </c>
      <c r="N133" s="6" t="s">
        <v>326</v>
      </c>
      <c r="O133" s="8" t="s">
        <v>38</v>
      </c>
      <c r="P133" s="6" t="s">
        <v>326</v>
      </c>
      <c r="Q133" s="6" t="s">
        <v>321</v>
      </c>
      <c r="R133" s="21"/>
      <c r="S133" s="10"/>
    </row>
    <row r="134" spans="1:19" ht="16" x14ac:dyDescent="0.2">
      <c r="A134" s="5" t="str">
        <f t="shared" si="4"/>
        <v>8905202269069_Nav</v>
      </c>
      <c r="B134" s="11">
        <v>8905202269069</v>
      </c>
      <c r="C134" s="6" t="str">
        <f t="shared" si="5"/>
        <v>8905202269069_Nav_M</v>
      </c>
      <c r="D134" s="27" t="s">
        <v>364</v>
      </c>
      <c r="E134" s="8" t="s">
        <v>27</v>
      </c>
      <c r="F134" t="s">
        <v>294</v>
      </c>
      <c r="G134" s="9" t="s">
        <v>317</v>
      </c>
      <c r="H134" s="9" t="s">
        <v>318</v>
      </c>
      <c r="I134" t="s">
        <v>365</v>
      </c>
      <c r="J134" s="10">
        <v>2995</v>
      </c>
      <c r="K134" s="10">
        <v>2995</v>
      </c>
      <c r="L134" s="8">
        <v>61034200</v>
      </c>
      <c r="M134" s="6">
        <v>18</v>
      </c>
      <c r="N134" s="6" t="s">
        <v>348</v>
      </c>
      <c r="O134" s="8" t="s">
        <v>61</v>
      </c>
      <c r="P134" s="6" t="s">
        <v>348</v>
      </c>
      <c r="Q134" s="6" t="s">
        <v>321</v>
      </c>
      <c r="R134" s="21"/>
      <c r="S134" s="10"/>
    </row>
    <row r="135" spans="1:19" ht="16" x14ac:dyDescent="0.2">
      <c r="A135" s="5" t="str">
        <f t="shared" si="4"/>
        <v>8905202268994_Nav</v>
      </c>
      <c r="B135" s="11">
        <v>8905202268994</v>
      </c>
      <c r="C135" s="6" t="str">
        <f t="shared" si="5"/>
        <v>8905202268994_Nav_L</v>
      </c>
      <c r="D135" s="27" t="s">
        <v>364</v>
      </c>
      <c r="E135" s="8" t="s">
        <v>27</v>
      </c>
      <c r="F135" t="s">
        <v>294</v>
      </c>
      <c r="G135" s="9" t="s">
        <v>317</v>
      </c>
      <c r="H135" s="9" t="s">
        <v>318</v>
      </c>
      <c r="I135" t="s">
        <v>365</v>
      </c>
      <c r="J135" s="10">
        <v>2995</v>
      </c>
      <c r="K135" s="10">
        <v>2995</v>
      </c>
      <c r="L135" s="8">
        <v>61034200</v>
      </c>
      <c r="M135" s="6">
        <v>18</v>
      </c>
      <c r="N135" s="6" t="s">
        <v>348</v>
      </c>
      <c r="O135" s="8" t="s">
        <v>44</v>
      </c>
      <c r="P135" s="6" t="s">
        <v>348</v>
      </c>
      <c r="Q135" s="6" t="s">
        <v>321</v>
      </c>
      <c r="R135" s="21"/>
      <c r="S135" s="10"/>
    </row>
    <row r="136" spans="1:19" ht="16" x14ac:dyDescent="0.2">
      <c r="A136" s="5" t="str">
        <f t="shared" si="4"/>
        <v>8905202268987_Nav</v>
      </c>
      <c r="B136" s="11">
        <v>8905202268987</v>
      </c>
      <c r="C136" s="6" t="str">
        <f t="shared" si="5"/>
        <v>8905202268987_Nav_XL</v>
      </c>
      <c r="D136" s="27" t="s">
        <v>364</v>
      </c>
      <c r="E136" s="8" t="s">
        <v>27</v>
      </c>
      <c r="F136" t="s">
        <v>294</v>
      </c>
      <c r="G136" s="9" t="s">
        <v>317</v>
      </c>
      <c r="H136" s="9" t="s">
        <v>318</v>
      </c>
      <c r="I136" t="s">
        <v>365</v>
      </c>
      <c r="J136" s="10">
        <v>2995</v>
      </c>
      <c r="K136" s="10">
        <v>2995</v>
      </c>
      <c r="L136" s="8">
        <v>61034200</v>
      </c>
      <c r="M136" s="6">
        <v>18</v>
      </c>
      <c r="N136" s="6" t="s">
        <v>348</v>
      </c>
      <c r="O136" s="8" t="s">
        <v>38</v>
      </c>
      <c r="P136" s="6" t="s">
        <v>348</v>
      </c>
      <c r="Q136" s="6" t="s">
        <v>321</v>
      </c>
      <c r="R136" s="21"/>
      <c r="S136" s="10"/>
    </row>
    <row r="137" spans="1:19" ht="16" x14ac:dyDescent="0.2">
      <c r="A137" s="5" t="str">
        <f t="shared" si="4"/>
        <v>8905202269007_Bla</v>
      </c>
      <c r="B137" s="11">
        <v>8905202269007</v>
      </c>
      <c r="C137" s="6" t="str">
        <f t="shared" si="5"/>
        <v>8905202269007_Bla_M</v>
      </c>
      <c r="D137" s="27" t="s">
        <v>366</v>
      </c>
      <c r="E137" s="8" t="s">
        <v>27</v>
      </c>
      <c r="F137" t="s">
        <v>294</v>
      </c>
      <c r="G137" s="9" t="s">
        <v>317</v>
      </c>
      <c r="H137" s="9" t="s">
        <v>318</v>
      </c>
      <c r="I137" t="s">
        <v>365</v>
      </c>
      <c r="J137" s="10">
        <v>2995</v>
      </c>
      <c r="K137" s="10">
        <v>2995</v>
      </c>
      <c r="L137" s="8">
        <v>61034200</v>
      </c>
      <c r="M137" s="6">
        <v>18</v>
      </c>
      <c r="N137" s="6" t="s">
        <v>326</v>
      </c>
      <c r="O137" s="8" t="s">
        <v>61</v>
      </c>
      <c r="P137" s="6" t="s">
        <v>326</v>
      </c>
      <c r="Q137" s="6" t="s">
        <v>321</v>
      </c>
      <c r="R137" s="21"/>
      <c r="S137" s="10"/>
    </row>
    <row r="138" spans="1:19" ht="16" x14ac:dyDescent="0.2">
      <c r="A138" s="5" t="str">
        <f t="shared" si="4"/>
        <v>8905202269014_Bla</v>
      </c>
      <c r="B138" s="11">
        <v>8905202269014</v>
      </c>
      <c r="C138" s="6" t="str">
        <f t="shared" si="5"/>
        <v>8905202269014_Bla_L</v>
      </c>
      <c r="D138" s="27" t="s">
        <v>366</v>
      </c>
      <c r="E138" s="8" t="s">
        <v>27</v>
      </c>
      <c r="F138" t="s">
        <v>294</v>
      </c>
      <c r="G138" s="9" t="s">
        <v>317</v>
      </c>
      <c r="H138" s="9" t="s">
        <v>318</v>
      </c>
      <c r="I138" t="s">
        <v>365</v>
      </c>
      <c r="J138" s="10">
        <v>2995</v>
      </c>
      <c r="K138" s="10">
        <v>2995</v>
      </c>
      <c r="L138" s="8">
        <v>61034200</v>
      </c>
      <c r="M138" s="6">
        <v>18</v>
      </c>
      <c r="N138" s="6" t="s">
        <v>326</v>
      </c>
      <c r="O138" s="8" t="s">
        <v>44</v>
      </c>
      <c r="P138" s="6" t="s">
        <v>326</v>
      </c>
      <c r="Q138" s="6" t="s">
        <v>321</v>
      </c>
      <c r="R138" s="21"/>
      <c r="S138" s="10"/>
    </row>
    <row r="139" spans="1:19" ht="16" x14ac:dyDescent="0.2">
      <c r="A139" s="5" t="str">
        <f t="shared" si="4"/>
        <v>8905202268895_Bla</v>
      </c>
      <c r="B139" s="11">
        <v>8905202268895</v>
      </c>
      <c r="C139" s="6" t="str">
        <f t="shared" si="5"/>
        <v>8905202268895_Bla_XL</v>
      </c>
      <c r="D139" s="27" t="s">
        <v>366</v>
      </c>
      <c r="E139" s="8" t="s">
        <v>27</v>
      </c>
      <c r="F139" t="s">
        <v>294</v>
      </c>
      <c r="G139" s="9" t="s">
        <v>317</v>
      </c>
      <c r="H139" s="9" t="s">
        <v>318</v>
      </c>
      <c r="I139" t="s">
        <v>365</v>
      </c>
      <c r="J139" s="10">
        <v>2995</v>
      </c>
      <c r="K139" s="10">
        <v>2995</v>
      </c>
      <c r="L139" s="8">
        <v>61034200</v>
      </c>
      <c r="M139" s="6">
        <v>18</v>
      </c>
      <c r="N139" s="6" t="s">
        <v>326</v>
      </c>
      <c r="O139" s="8" t="s">
        <v>38</v>
      </c>
      <c r="P139" s="6" t="s">
        <v>326</v>
      </c>
      <c r="Q139" s="6" t="s">
        <v>321</v>
      </c>
      <c r="R139" s="21"/>
      <c r="S139" s="10"/>
    </row>
    <row r="140" spans="1:19" x14ac:dyDescent="0.2">
      <c r="A140" s="5" t="str">
        <f t="shared" si="4"/>
        <v>8905202268888_Bla</v>
      </c>
      <c r="B140" s="11">
        <v>8905202268888</v>
      </c>
      <c r="C140" s="6" t="str">
        <f t="shared" si="5"/>
        <v>8905202268888_Bla_XS</v>
      </c>
      <c r="D140" s="27" t="s">
        <v>367</v>
      </c>
      <c r="E140" s="8" t="s">
        <v>27</v>
      </c>
      <c r="F140" s="5" t="s">
        <v>26</v>
      </c>
      <c r="G140" s="9" t="s">
        <v>317</v>
      </c>
      <c r="H140" s="9" t="s">
        <v>318</v>
      </c>
      <c r="I140" t="s">
        <v>368</v>
      </c>
      <c r="J140" s="10">
        <v>1995</v>
      </c>
      <c r="K140" s="10">
        <v>1995</v>
      </c>
      <c r="L140" s="8">
        <v>61034200</v>
      </c>
      <c r="M140" s="6">
        <v>5</v>
      </c>
      <c r="N140" s="6" t="s">
        <v>326</v>
      </c>
      <c r="O140" s="9" t="s">
        <v>369</v>
      </c>
      <c r="P140" s="6" t="s">
        <v>326</v>
      </c>
      <c r="Q140" s="6" t="s">
        <v>324</v>
      </c>
      <c r="R140" s="28"/>
      <c r="S140" s="10"/>
    </row>
    <row r="141" spans="1:19" ht="16" x14ac:dyDescent="0.2">
      <c r="A141" s="5" t="str">
        <f t="shared" si="4"/>
        <v>8905202268871_Bla</v>
      </c>
      <c r="B141" s="11">
        <v>8905202268871</v>
      </c>
      <c r="C141" s="6" t="str">
        <f t="shared" si="5"/>
        <v>8905202268871_Bla_S</v>
      </c>
      <c r="D141" s="27" t="s">
        <v>367</v>
      </c>
      <c r="E141" s="8" t="s">
        <v>27</v>
      </c>
      <c r="F141" s="5" t="s">
        <v>26</v>
      </c>
      <c r="G141" s="9" t="s">
        <v>317</v>
      </c>
      <c r="H141" s="9" t="s">
        <v>318</v>
      </c>
      <c r="I141" t="s">
        <v>368</v>
      </c>
      <c r="J141" s="10">
        <v>1995</v>
      </c>
      <c r="K141" s="10">
        <v>1995</v>
      </c>
      <c r="L141" s="8">
        <v>61034200</v>
      </c>
      <c r="M141" s="6">
        <v>5</v>
      </c>
      <c r="N141" s="6" t="s">
        <v>326</v>
      </c>
      <c r="O141" s="8" t="s">
        <v>54</v>
      </c>
      <c r="P141" s="6" t="s">
        <v>326</v>
      </c>
      <c r="Q141" s="6" t="s">
        <v>324</v>
      </c>
      <c r="R141" s="21"/>
      <c r="S141" s="10"/>
    </row>
    <row r="142" spans="1:19" ht="16" x14ac:dyDescent="0.2">
      <c r="A142" s="5" t="str">
        <f t="shared" si="4"/>
        <v>8905202268901_Bla</v>
      </c>
      <c r="B142" s="11">
        <v>8905202268901</v>
      </c>
      <c r="C142" s="6" t="str">
        <f t="shared" si="5"/>
        <v>8905202268901_Bla_M</v>
      </c>
      <c r="D142" s="27" t="s">
        <v>367</v>
      </c>
      <c r="E142" s="8" t="s">
        <v>27</v>
      </c>
      <c r="F142" s="5" t="s">
        <v>26</v>
      </c>
      <c r="G142" s="9" t="s">
        <v>317</v>
      </c>
      <c r="H142" s="9" t="s">
        <v>318</v>
      </c>
      <c r="I142" t="s">
        <v>368</v>
      </c>
      <c r="J142" s="10">
        <v>1995</v>
      </c>
      <c r="K142" s="10">
        <v>1995</v>
      </c>
      <c r="L142" s="8">
        <v>61034200</v>
      </c>
      <c r="M142" s="6">
        <v>5</v>
      </c>
      <c r="N142" s="6" t="s">
        <v>326</v>
      </c>
      <c r="O142" s="8" t="s">
        <v>61</v>
      </c>
      <c r="P142" s="6" t="s">
        <v>326</v>
      </c>
      <c r="Q142" s="6" t="s">
        <v>324</v>
      </c>
      <c r="R142" s="21"/>
      <c r="S142" s="10"/>
    </row>
    <row r="143" spans="1:19" ht="16" x14ac:dyDescent="0.2">
      <c r="A143" s="5" t="str">
        <f t="shared" si="4"/>
        <v>8905202268918_Bla</v>
      </c>
      <c r="B143" s="11">
        <v>8905202268918</v>
      </c>
      <c r="C143" s="6" t="str">
        <f t="shared" si="5"/>
        <v>8905202268918_Bla_L</v>
      </c>
      <c r="D143" s="27" t="s">
        <v>367</v>
      </c>
      <c r="E143" s="8" t="s">
        <v>27</v>
      </c>
      <c r="F143" s="5" t="s">
        <v>26</v>
      </c>
      <c r="G143" s="9" t="s">
        <v>317</v>
      </c>
      <c r="H143" s="9" t="s">
        <v>318</v>
      </c>
      <c r="I143" t="s">
        <v>368</v>
      </c>
      <c r="J143" s="10">
        <v>1995</v>
      </c>
      <c r="K143" s="10">
        <v>1995</v>
      </c>
      <c r="L143" s="8">
        <v>61034200</v>
      </c>
      <c r="M143" s="6">
        <v>5</v>
      </c>
      <c r="N143" s="6" t="s">
        <v>326</v>
      </c>
      <c r="O143" s="8" t="s">
        <v>44</v>
      </c>
      <c r="P143" s="6" t="s">
        <v>326</v>
      </c>
      <c r="Q143" s="6" t="s">
        <v>324</v>
      </c>
      <c r="R143" s="21"/>
      <c r="S143" s="10"/>
    </row>
    <row r="144" spans="1:19" ht="16" x14ac:dyDescent="0.2">
      <c r="A144" s="5" t="str">
        <f t="shared" si="4"/>
        <v>8905202269243_Bla</v>
      </c>
      <c r="B144" s="11">
        <v>8905202269243</v>
      </c>
      <c r="C144" s="6" t="str">
        <f t="shared" si="5"/>
        <v>8905202269243_Bla_XL</v>
      </c>
      <c r="D144" s="27" t="s">
        <v>367</v>
      </c>
      <c r="E144" s="8" t="s">
        <v>27</v>
      </c>
      <c r="F144" s="5" t="s">
        <v>26</v>
      </c>
      <c r="G144" s="9" t="s">
        <v>317</v>
      </c>
      <c r="H144" s="9" t="s">
        <v>318</v>
      </c>
      <c r="I144" t="s">
        <v>368</v>
      </c>
      <c r="J144" s="10">
        <v>1995</v>
      </c>
      <c r="K144" s="10">
        <v>1995</v>
      </c>
      <c r="L144" s="8">
        <v>61034200</v>
      </c>
      <c r="M144" s="6">
        <v>5</v>
      </c>
      <c r="N144" s="6" t="s">
        <v>326</v>
      </c>
      <c r="O144" s="8" t="s">
        <v>38</v>
      </c>
      <c r="P144" s="6" t="s">
        <v>326</v>
      </c>
      <c r="Q144" s="6" t="s">
        <v>321</v>
      </c>
      <c r="R144" s="21"/>
      <c r="S144" s="10"/>
    </row>
    <row r="145" spans="1:19" x14ac:dyDescent="0.2">
      <c r="A145" s="5" t="str">
        <f t="shared" si="4"/>
        <v>8905202269236_Red</v>
      </c>
      <c r="B145" s="11">
        <v>8905202269236</v>
      </c>
      <c r="C145" s="6" t="str">
        <f t="shared" si="5"/>
        <v>8905202269236_Red_XS</v>
      </c>
      <c r="D145" s="27" t="s">
        <v>152</v>
      </c>
      <c r="E145" s="8" t="s">
        <v>27</v>
      </c>
      <c r="F145" s="5" t="s">
        <v>26</v>
      </c>
      <c r="G145" s="9" t="s">
        <v>317</v>
      </c>
      <c r="H145" s="9" t="s">
        <v>318</v>
      </c>
      <c r="I145" t="s">
        <v>368</v>
      </c>
      <c r="J145" s="10">
        <v>1995</v>
      </c>
      <c r="K145" s="10">
        <v>1995</v>
      </c>
      <c r="L145" s="8">
        <v>61034200</v>
      </c>
      <c r="M145" s="6">
        <v>5</v>
      </c>
      <c r="N145" s="6" t="s">
        <v>323</v>
      </c>
      <c r="O145" s="9" t="s">
        <v>369</v>
      </c>
      <c r="P145" s="6" t="s">
        <v>323</v>
      </c>
      <c r="Q145" s="6" t="s">
        <v>321</v>
      </c>
      <c r="R145" s="29"/>
      <c r="S145" s="10"/>
    </row>
    <row r="146" spans="1:19" ht="16" x14ac:dyDescent="0.2">
      <c r="A146" s="5" t="str">
        <f t="shared" si="4"/>
        <v>8905202269229_Red</v>
      </c>
      <c r="B146" s="11">
        <v>8905202269229</v>
      </c>
      <c r="C146" s="6" t="str">
        <f t="shared" si="5"/>
        <v>8905202269229_Red_S</v>
      </c>
      <c r="D146" s="27" t="s">
        <v>152</v>
      </c>
      <c r="E146" s="8" t="s">
        <v>27</v>
      </c>
      <c r="F146" s="5" t="s">
        <v>26</v>
      </c>
      <c r="G146" s="9" t="s">
        <v>317</v>
      </c>
      <c r="H146" s="9" t="s">
        <v>318</v>
      </c>
      <c r="I146" t="s">
        <v>368</v>
      </c>
      <c r="J146" s="10">
        <v>1995</v>
      </c>
      <c r="K146" s="10">
        <v>1995</v>
      </c>
      <c r="L146" s="8">
        <v>61034200</v>
      </c>
      <c r="M146" s="6">
        <v>5</v>
      </c>
      <c r="N146" s="6" t="s">
        <v>323</v>
      </c>
      <c r="O146" s="8" t="s">
        <v>54</v>
      </c>
      <c r="P146" s="6" t="s">
        <v>323</v>
      </c>
      <c r="Q146" s="6" t="s">
        <v>321</v>
      </c>
      <c r="R146" s="21"/>
      <c r="S146" s="10"/>
    </row>
    <row r="147" spans="1:19" ht="16" x14ac:dyDescent="0.2">
      <c r="A147" s="5" t="str">
        <f t="shared" si="4"/>
        <v>8905202269250_Red</v>
      </c>
      <c r="B147" s="11">
        <v>8905202269250</v>
      </c>
      <c r="C147" s="6" t="str">
        <f t="shared" si="5"/>
        <v>8905202269250_Red_M</v>
      </c>
      <c r="D147" s="27" t="s">
        <v>152</v>
      </c>
      <c r="E147" s="8" t="s">
        <v>27</v>
      </c>
      <c r="F147" s="5" t="s">
        <v>26</v>
      </c>
      <c r="G147" s="9" t="s">
        <v>317</v>
      </c>
      <c r="H147" s="9" t="s">
        <v>318</v>
      </c>
      <c r="I147" t="s">
        <v>368</v>
      </c>
      <c r="J147" s="10">
        <v>1995</v>
      </c>
      <c r="K147" s="10">
        <v>1995</v>
      </c>
      <c r="L147" s="8">
        <v>61034200</v>
      </c>
      <c r="M147" s="6">
        <v>5</v>
      </c>
      <c r="N147" s="6" t="s">
        <v>323</v>
      </c>
      <c r="O147" s="8" t="s">
        <v>61</v>
      </c>
      <c r="P147" s="6" t="s">
        <v>323</v>
      </c>
      <c r="Q147" s="6" t="s">
        <v>321</v>
      </c>
      <c r="R147" s="21"/>
      <c r="S147" s="10"/>
    </row>
    <row r="148" spans="1:19" ht="16" x14ac:dyDescent="0.2">
      <c r="A148" s="5" t="str">
        <f t="shared" si="4"/>
        <v>8905202269267_Red</v>
      </c>
      <c r="B148" s="11">
        <v>8905202269267</v>
      </c>
      <c r="C148" s="6" t="str">
        <f t="shared" si="5"/>
        <v>8905202269267_Red_L</v>
      </c>
      <c r="D148" s="27" t="s">
        <v>152</v>
      </c>
      <c r="E148" s="8" t="s">
        <v>27</v>
      </c>
      <c r="F148" s="5" t="s">
        <v>26</v>
      </c>
      <c r="G148" s="9" t="s">
        <v>317</v>
      </c>
      <c r="H148" s="9" t="s">
        <v>318</v>
      </c>
      <c r="I148" t="s">
        <v>368</v>
      </c>
      <c r="J148" s="10">
        <v>1995</v>
      </c>
      <c r="K148" s="10">
        <v>1995</v>
      </c>
      <c r="L148" s="8">
        <v>61034200</v>
      </c>
      <c r="M148" s="6">
        <v>5</v>
      </c>
      <c r="N148" s="6" t="s">
        <v>323</v>
      </c>
      <c r="O148" s="8" t="s">
        <v>44</v>
      </c>
      <c r="P148" s="6" t="s">
        <v>323</v>
      </c>
      <c r="Q148" s="6" t="s">
        <v>321</v>
      </c>
      <c r="R148" s="21"/>
      <c r="S148" s="10"/>
    </row>
    <row r="149" spans="1:19" ht="16" x14ac:dyDescent="0.2">
      <c r="A149" s="5" t="str">
        <f t="shared" si="4"/>
        <v>8905302263863_Red</v>
      </c>
      <c r="B149" s="30">
        <v>8905302263863</v>
      </c>
      <c r="C149" s="6" t="str">
        <f t="shared" si="5"/>
        <v>8905302263863_Red_XL</v>
      </c>
      <c r="D149" s="27" t="s">
        <v>152</v>
      </c>
      <c r="E149" s="8" t="s">
        <v>27</v>
      </c>
      <c r="F149" s="5" t="s">
        <v>26</v>
      </c>
      <c r="G149" s="9" t="s">
        <v>317</v>
      </c>
      <c r="H149" s="9" t="s">
        <v>318</v>
      </c>
      <c r="I149" t="s">
        <v>368</v>
      </c>
      <c r="J149" s="10">
        <v>1995</v>
      </c>
      <c r="K149" s="10">
        <v>1995</v>
      </c>
      <c r="L149" s="8">
        <v>61034200</v>
      </c>
      <c r="M149" s="6">
        <v>5</v>
      </c>
      <c r="N149" s="6" t="s">
        <v>323</v>
      </c>
      <c r="O149" s="8" t="s">
        <v>38</v>
      </c>
      <c r="P149" s="6" t="s">
        <v>323</v>
      </c>
      <c r="Q149" s="6" t="s">
        <v>321</v>
      </c>
      <c r="R149" s="21"/>
      <c r="S149" s="10"/>
    </row>
    <row r="150" spans="1:19" x14ac:dyDescent="0.2">
      <c r="A150" s="5" t="str">
        <f t="shared" si="4"/>
        <v>8905302264344_Blu</v>
      </c>
      <c r="B150" s="30">
        <v>8905302264344</v>
      </c>
      <c r="C150" s="6" t="str">
        <f t="shared" si="5"/>
        <v>8905302264344_Blu_XS</v>
      </c>
      <c r="D150" s="27" t="s">
        <v>370</v>
      </c>
      <c r="E150" s="8" t="s">
        <v>27</v>
      </c>
      <c r="F150" s="5" t="s">
        <v>26</v>
      </c>
      <c r="G150" s="9" t="s">
        <v>317</v>
      </c>
      <c r="H150" s="9" t="s">
        <v>318</v>
      </c>
      <c r="I150" t="s">
        <v>368</v>
      </c>
      <c r="J150" s="10">
        <v>2495</v>
      </c>
      <c r="K150" s="10">
        <v>2495</v>
      </c>
      <c r="L150" s="8">
        <v>61034200</v>
      </c>
      <c r="M150" s="6">
        <v>5</v>
      </c>
      <c r="N150" s="6" t="s">
        <v>328</v>
      </c>
      <c r="O150" s="9" t="s">
        <v>369</v>
      </c>
      <c r="P150" s="6" t="s">
        <v>328</v>
      </c>
      <c r="Q150" s="6" t="s">
        <v>321</v>
      </c>
      <c r="R150" s="29"/>
      <c r="S150" s="10"/>
    </row>
    <row r="151" spans="1:19" ht="16" x14ac:dyDescent="0.2">
      <c r="A151" s="5" t="str">
        <f t="shared" si="4"/>
        <v>8905202264426_Blu</v>
      </c>
      <c r="B151" s="30">
        <v>8905202264426</v>
      </c>
      <c r="C151" s="6" t="str">
        <f t="shared" si="5"/>
        <v>8905202264426_Blu_S</v>
      </c>
      <c r="D151" s="27" t="s">
        <v>370</v>
      </c>
      <c r="E151" s="8" t="s">
        <v>27</v>
      </c>
      <c r="F151" s="5" t="s">
        <v>26</v>
      </c>
      <c r="G151" s="9" t="s">
        <v>317</v>
      </c>
      <c r="H151" s="9" t="s">
        <v>318</v>
      </c>
      <c r="I151" t="s">
        <v>368</v>
      </c>
      <c r="J151" s="10">
        <v>2495</v>
      </c>
      <c r="K151" s="10">
        <v>2495</v>
      </c>
      <c r="L151" s="8">
        <v>61034200</v>
      </c>
      <c r="M151" s="6">
        <v>5</v>
      </c>
      <c r="N151" s="6" t="s">
        <v>328</v>
      </c>
      <c r="O151" s="8" t="s">
        <v>54</v>
      </c>
      <c r="P151" s="6" t="s">
        <v>328</v>
      </c>
      <c r="Q151" s="6" t="s">
        <v>321</v>
      </c>
      <c r="R151" s="21"/>
      <c r="S151" s="10"/>
    </row>
    <row r="152" spans="1:19" ht="16" x14ac:dyDescent="0.2">
      <c r="A152" s="5" t="str">
        <f t="shared" si="4"/>
        <v>8905302263289_Blu</v>
      </c>
      <c r="B152" s="30">
        <v>8905302263289</v>
      </c>
      <c r="C152" s="6" t="str">
        <f t="shared" si="5"/>
        <v>8905302263289_Blu_M</v>
      </c>
      <c r="D152" s="27" t="s">
        <v>370</v>
      </c>
      <c r="E152" s="8" t="s">
        <v>27</v>
      </c>
      <c r="F152" s="5" t="s">
        <v>26</v>
      </c>
      <c r="G152" s="9" t="s">
        <v>317</v>
      </c>
      <c r="H152" s="9" t="s">
        <v>318</v>
      </c>
      <c r="I152" t="s">
        <v>368</v>
      </c>
      <c r="J152" s="10">
        <v>2495</v>
      </c>
      <c r="K152" s="10">
        <v>2495</v>
      </c>
      <c r="L152" s="8">
        <v>61034200</v>
      </c>
      <c r="M152" s="6">
        <v>5</v>
      </c>
      <c r="N152" s="6" t="s">
        <v>328</v>
      </c>
      <c r="O152" s="8" t="s">
        <v>61</v>
      </c>
      <c r="P152" s="6" t="s">
        <v>328</v>
      </c>
      <c r="Q152" s="6" t="s">
        <v>321</v>
      </c>
      <c r="R152" s="21"/>
      <c r="S152" s="10"/>
    </row>
    <row r="153" spans="1:19" ht="16" x14ac:dyDescent="0.2">
      <c r="A153" s="5" t="str">
        <f t="shared" si="4"/>
        <v>8905202290537_Blu</v>
      </c>
      <c r="B153" s="30">
        <v>8905202290537</v>
      </c>
      <c r="C153" s="6" t="str">
        <f t="shared" si="5"/>
        <v>8905202290537_Blu_L</v>
      </c>
      <c r="D153" s="27" t="s">
        <v>370</v>
      </c>
      <c r="E153" s="8" t="s">
        <v>27</v>
      </c>
      <c r="F153" s="5" t="s">
        <v>26</v>
      </c>
      <c r="G153" s="9" t="s">
        <v>317</v>
      </c>
      <c r="H153" s="9" t="s">
        <v>318</v>
      </c>
      <c r="I153" t="s">
        <v>368</v>
      </c>
      <c r="J153" s="10">
        <v>2495</v>
      </c>
      <c r="K153" s="10">
        <v>2495</v>
      </c>
      <c r="L153" s="8">
        <v>61034200</v>
      </c>
      <c r="M153" s="6">
        <v>5</v>
      </c>
      <c r="N153" s="6" t="s">
        <v>328</v>
      </c>
      <c r="O153" s="8" t="s">
        <v>44</v>
      </c>
      <c r="P153" s="6" t="s">
        <v>328</v>
      </c>
      <c r="Q153" s="6" t="s">
        <v>321</v>
      </c>
      <c r="R153" s="21"/>
      <c r="S153" s="10"/>
    </row>
    <row r="154" spans="1:19" ht="16" x14ac:dyDescent="0.2">
      <c r="A154" s="5" t="str">
        <f t="shared" si="4"/>
        <v>8905302263191_Blu</v>
      </c>
      <c r="B154" s="30">
        <v>8905302263191</v>
      </c>
      <c r="C154" s="6" t="str">
        <f t="shared" si="5"/>
        <v>8905302263191_Blu_XL</v>
      </c>
      <c r="D154" s="27" t="s">
        <v>370</v>
      </c>
      <c r="E154" s="8" t="s">
        <v>27</v>
      </c>
      <c r="F154" s="5" t="s">
        <v>26</v>
      </c>
      <c r="G154" s="9" t="s">
        <v>317</v>
      </c>
      <c r="H154" s="9" t="s">
        <v>318</v>
      </c>
      <c r="I154" t="s">
        <v>368</v>
      </c>
      <c r="J154" s="10">
        <v>2495</v>
      </c>
      <c r="K154" s="10">
        <v>2495</v>
      </c>
      <c r="L154" s="8">
        <v>61034200</v>
      </c>
      <c r="M154" s="6">
        <v>5</v>
      </c>
      <c r="N154" s="6" t="s">
        <v>328</v>
      </c>
      <c r="O154" s="8" t="s">
        <v>38</v>
      </c>
      <c r="P154" s="6" t="s">
        <v>328</v>
      </c>
      <c r="Q154" s="6" t="s">
        <v>321</v>
      </c>
      <c r="R154" s="21"/>
      <c r="S154" s="10"/>
    </row>
    <row r="155" spans="1:19" x14ac:dyDescent="0.2">
      <c r="A155" s="5" t="str">
        <f t="shared" si="4"/>
        <v>8905302263855_Nav</v>
      </c>
      <c r="B155" s="30">
        <v>8905302263855</v>
      </c>
      <c r="C155" s="6" t="str">
        <f t="shared" si="5"/>
        <v>8905302263855_Nav_S</v>
      </c>
      <c r="D155" s="12" t="s">
        <v>371</v>
      </c>
      <c r="E155" s="8" t="s">
        <v>27</v>
      </c>
      <c r="F155" s="12" t="s">
        <v>160</v>
      </c>
      <c r="G155" s="9" t="s">
        <v>317</v>
      </c>
      <c r="H155" s="9" t="s">
        <v>318</v>
      </c>
      <c r="I155" t="s">
        <v>372</v>
      </c>
      <c r="J155" s="10">
        <v>3995</v>
      </c>
      <c r="K155" s="10">
        <v>3995</v>
      </c>
      <c r="L155" s="8">
        <v>61034200</v>
      </c>
      <c r="M155" s="6">
        <v>18</v>
      </c>
      <c r="N155" s="6" t="s">
        <v>348</v>
      </c>
      <c r="O155" s="9" t="s">
        <v>54</v>
      </c>
      <c r="P155" s="6" t="s">
        <v>348</v>
      </c>
      <c r="Q155" s="6" t="s">
        <v>321</v>
      </c>
      <c r="R155" s="29"/>
      <c r="S155" s="10"/>
    </row>
    <row r="156" spans="1:19" x14ac:dyDescent="0.2">
      <c r="A156" s="5" t="str">
        <f t="shared" si="4"/>
        <v>8905202265085_Nav</v>
      </c>
      <c r="B156" s="30">
        <v>8905202265085</v>
      </c>
      <c r="C156" s="6" t="str">
        <f t="shared" si="5"/>
        <v>8905202265085_Nav_M</v>
      </c>
      <c r="D156" s="12" t="s">
        <v>371</v>
      </c>
      <c r="E156" s="8" t="s">
        <v>27</v>
      </c>
      <c r="F156" s="12" t="s">
        <v>160</v>
      </c>
      <c r="G156" s="9" t="s">
        <v>317</v>
      </c>
      <c r="H156" s="9" t="s">
        <v>318</v>
      </c>
      <c r="I156" t="s">
        <v>372</v>
      </c>
      <c r="J156" s="10">
        <v>3995</v>
      </c>
      <c r="K156" s="10">
        <v>3995</v>
      </c>
      <c r="L156" s="8">
        <v>61034200</v>
      </c>
      <c r="M156" s="6">
        <v>18</v>
      </c>
      <c r="N156" s="6" t="s">
        <v>348</v>
      </c>
      <c r="O156" s="9" t="s">
        <v>61</v>
      </c>
      <c r="P156" s="6" t="s">
        <v>348</v>
      </c>
      <c r="Q156" s="6" t="s">
        <v>321</v>
      </c>
      <c r="R156" s="29"/>
      <c r="S156" s="10"/>
    </row>
    <row r="157" spans="1:19" x14ac:dyDescent="0.2">
      <c r="A157" s="5" t="str">
        <f t="shared" si="4"/>
        <v>8905302264424_Gre</v>
      </c>
      <c r="B157" s="30">
        <v>8905302264424</v>
      </c>
      <c r="C157" s="6" t="str">
        <f t="shared" si="5"/>
        <v>8905302264424_Gre_S</v>
      </c>
      <c r="D157" s="12" t="s">
        <v>373</v>
      </c>
      <c r="E157" s="8" t="s">
        <v>27</v>
      </c>
      <c r="F157" s="12" t="s">
        <v>160</v>
      </c>
      <c r="G157" s="9" t="s">
        <v>317</v>
      </c>
      <c r="H157" s="9" t="s">
        <v>318</v>
      </c>
      <c r="I157" t="s">
        <v>372</v>
      </c>
      <c r="J157" s="10">
        <v>3995</v>
      </c>
      <c r="K157" s="10">
        <v>3995</v>
      </c>
      <c r="L157" s="8">
        <v>61034200</v>
      </c>
      <c r="M157" s="6">
        <v>18</v>
      </c>
      <c r="N157" s="6" t="s">
        <v>337</v>
      </c>
      <c r="O157" s="9" t="s">
        <v>54</v>
      </c>
      <c r="P157" s="6" t="s">
        <v>337</v>
      </c>
      <c r="Q157" s="6" t="s">
        <v>321</v>
      </c>
      <c r="R157" s="29"/>
      <c r="S157" s="10"/>
    </row>
    <row r="158" spans="1:19" x14ac:dyDescent="0.2">
      <c r="A158" s="5" t="str">
        <f t="shared" si="4"/>
        <v>8905302264292_Gre</v>
      </c>
      <c r="B158" s="30">
        <v>8905302264292</v>
      </c>
      <c r="C158" s="6" t="str">
        <f t="shared" si="5"/>
        <v>8905302264292_Gre_M</v>
      </c>
      <c r="D158" s="12" t="s">
        <v>373</v>
      </c>
      <c r="E158" s="8" t="s">
        <v>27</v>
      </c>
      <c r="F158" s="12" t="s">
        <v>160</v>
      </c>
      <c r="G158" s="9" t="s">
        <v>317</v>
      </c>
      <c r="H158" s="9" t="s">
        <v>318</v>
      </c>
      <c r="I158" t="s">
        <v>372</v>
      </c>
      <c r="J158" s="10">
        <v>3995</v>
      </c>
      <c r="K158" s="10">
        <v>3995</v>
      </c>
      <c r="L158" s="8">
        <v>61034200</v>
      </c>
      <c r="M158" s="6">
        <v>18</v>
      </c>
      <c r="N158" s="6" t="s">
        <v>337</v>
      </c>
      <c r="O158" s="9" t="s">
        <v>61</v>
      </c>
      <c r="P158" s="6" t="s">
        <v>337</v>
      </c>
      <c r="Q158" s="6" t="s">
        <v>321</v>
      </c>
      <c r="R158" s="29"/>
      <c r="S158" s="10"/>
    </row>
    <row r="159" spans="1:19" ht="16" x14ac:dyDescent="0.2">
      <c r="A159" s="5" t="str">
        <f t="shared" si="4"/>
        <v>8905302264313_Nav</v>
      </c>
      <c r="B159" s="30">
        <v>8905302264313</v>
      </c>
      <c r="C159" s="6" t="str">
        <f t="shared" si="5"/>
        <v>8905302264313_Nav_S</v>
      </c>
      <c r="D159" s="12" t="s">
        <v>374</v>
      </c>
      <c r="E159" s="8" t="s">
        <v>27</v>
      </c>
      <c r="F159" s="12" t="s">
        <v>160</v>
      </c>
      <c r="G159" s="9" t="s">
        <v>317</v>
      </c>
      <c r="H159" s="9" t="s">
        <v>318</v>
      </c>
      <c r="I159" t="s">
        <v>372</v>
      </c>
      <c r="J159" s="10">
        <v>2995</v>
      </c>
      <c r="K159" s="10">
        <v>2995</v>
      </c>
      <c r="L159" s="8">
        <v>61034200</v>
      </c>
      <c r="M159" s="6">
        <v>18</v>
      </c>
      <c r="N159" s="6" t="s">
        <v>348</v>
      </c>
      <c r="O159" s="8" t="s">
        <v>54</v>
      </c>
      <c r="P159" s="6" t="s">
        <v>348</v>
      </c>
      <c r="Q159" s="6" t="s">
        <v>321</v>
      </c>
      <c r="R159" s="21"/>
      <c r="S159" s="10"/>
    </row>
    <row r="160" spans="1:19" ht="16" x14ac:dyDescent="0.2">
      <c r="A160" s="5" t="str">
        <f t="shared" si="4"/>
        <v>8905302264359_Nav</v>
      </c>
      <c r="B160" s="30">
        <v>8905302264359</v>
      </c>
      <c r="C160" s="6" t="str">
        <f t="shared" si="5"/>
        <v>8905302264359_Nav_M</v>
      </c>
      <c r="D160" s="12" t="s">
        <v>374</v>
      </c>
      <c r="E160" s="8" t="s">
        <v>27</v>
      </c>
      <c r="F160" s="12" t="s">
        <v>160</v>
      </c>
      <c r="G160" s="9" t="s">
        <v>317</v>
      </c>
      <c r="H160" s="9" t="s">
        <v>318</v>
      </c>
      <c r="I160" t="s">
        <v>372</v>
      </c>
      <c r="J160" s="10">
        <v>2995</v>
      </c>
      <c r="K160" s="10">
        <v>2995</v>
      </c>
      <c r="L160" s="8">
        <v>61034200</v>
      </c>
      <c r="M160" s="6">
        <v>18</v>
      </c>
      <c r="N160" s="6" t="s">
        <v>348</v>
      </c>
      <c r="O160" s="8" t="s">
        <v>61</v>
      </c>
      <c r="P160" s="6" t="s">
        <v>348</v>
      </c>
      <c r="Q160" s="6" t="s">
        <v>321</v>
      </c>
      <c r="R160" s="21"/>
      <c r="S160" s="10"/>
    </row>
    <row r="161" spans="1:19" ht="16" x14ac:dyDescent="0.2">
      <c r="A161" s="5" t="str">
        <f t="shared" si="4"/>
        <v>8905202269371_Nav</v>
      </c>
      <c r="B161" s="30">
        <v>8905202269371</v>
      </c>
      <c r="C161" s="6" t="str">
        <f t="shared" si="5"/>
        <v>8905202269371_Nav_L</v>
      </c>
      <c r="D161" s="12" t="s">
        <v>374</v>
      </c>
      <c r="E161" s="8" t="s">
        <v>27</v>
      </c>
      <c r="F161" s="12" t="s">
        <v>160</v>
      </c>
      <c r="G161" s="9" t="s">
        <v>317</v>
      </c>
      <c r="H161" s="9" t="s">
        <v>318</v>
      </c>
      <c r="I161" t="s">
        <v>372</v>
      </c>
      <c r="J161" s="10">
        <v>2995</v>
      </c>
      <c r="K161" s="10">
        <v>2995</v>
      </c>
      <c r="L161" s="8">
        <v>61034200</v>
      </c>
      <c r="M161" s="6">
        <v>18</v>
      </c>
      <c r="N161" s="6" t="s">
        <v>348</v>
      </c>
      <c r="O161" s="8" t="s">
        <v>44</v>
      </c>
      <c r="P161" s="6" t="s">
        <v>348</v>
      </c>
      <c r="Q161" s="6" t="s">
        <v>321</v>
      </c>
      <c r="R161" s="21"/>
      <c r="S161" s="10"/>
    </row>
    <row r="162" spans="1:19" ht="16" x14ac:dyDescent="0.2">
      <c r="A162" s="5" t="str">
        <f t="shared" si="4"/>
        <v>8905302264434_Gre</v>
      </c>
      <c r="B162" s="30">
        <v>8905302264434</v>
      </c>
      <c r="C162" s="6" t="str">
        <f t="shared" si="5"/>
        <v>8905302264434_Gre_S</v>
      </c>
      <c r="D162" s="12" t="s">
        <v>375</v>
      </c>
      <c r="E162" s="8" t="s">
        <v>27</v>
      </c>
      <c r="F162" s="12" t="s">
        <v>160</v>
      </c>
      <c r="G162" s="9" t="s">
        <v>317</v>
      </c>
      <c r="H162" s="9" t="s">
        <v>318</v>
      </c>
      <c r="I162" t="s">
        <v>372</v>
      </c>
      <c r="J162" s="10">
        <v>2995</v>
      </c>
      <c r="K162" s="10">
        <v>2995</v>
      </c>
      <c r="L162" s="8">
        <v>61034200</v>
      </c>
      <c r="M162" s="6">
        <v>18</v>
      </c>
      <c r="N162" s="6" t="s">
        <v>337</v>
      </c>
      <c r="O162" s="8" t="s">
        <v>54</v>
      </c>
      <c r="P162" s="6" t="s">
        <v>337</v>
      </c>
      <c r="Q162" s="6" t="s">
        <v>321</v>
      </c>
      <c r="R162" s="21"/>
      <c r="S162" s="10"/>
    </row>
    <row r="163" spans="1:19" ht="16" x14ac:dyDescent="0.2">
      <c r="A163" s="5" t="str">
        <f t="shared" si="4"/>
        <v>8905202264926_Gre</v>
      </c>
      <c r="B163" s="30">
        <v>8905202264926</v>
      </c>
      <c r="C163" s="6" t="str">
        <f t="shared" si="5"/>
        <v>8905202264926_Gre_M</v>
      </c>
      <c r="D163" s="12" t="s">
        <v>375</v>
      </c>
      <c r="E163" s="8" t="s">
        <v>27</v>
      </c>
      <c r="F163" s="12" t="s">
        <v>160</v>
      </c>
      <c r="G163" s="9" t="s">
        <v>317</v>
      </c>
      <c r="H163" s="9" t="s">
        <v>318</v>
      </c>
      <c r="I163" t="s">
        <v>372</v>
      </c>
      <c r="J163" s="10">
        <v>2995</v>
      </c>
      <c r="K163" s="10">
        <v>2995</v>
      </c>
      <c r="L163" s="8">
        <v>61034200</v>
      </c>
      <c r="M163" s="6">
        <v>18</v>
      </c>
      <c r="N163" s="6" t="s">
        <v>337</v>
      </c>
      <c r="O163" s="8" t="s">
        <v>61</v>
      </c>
      <c r="P163" s="6" t="s">
        <v>337</v>
      </c>
      <c r="Q163" s="6" t="s">
        <v>321</v>
      </c>
      <c r="R163" s="21"/>
      <c r="S163" s="10"/>
    </row>
    <row r="164" spans="1:19" ht="16" x14ac:dyDescent="0.2">
      <c r="A164" s="5" t="str">
        <f t="shared" si="4"/>
        <v>8905302263178_Gre</v>
      </c>
      <c r="B164" s="30">
        <v>8905302263178</v>
      </c>
      <c r="C164" s="6" t="str">
        <f t="shared" si="5"/>
        <v>8905302263178_Gre_L</v>
      </c>
      <c r="D164" s="12" t="s">
        <v>375</v>
      </c>
      <c r="E164" s="8" t="s">
        <v>27</v>
      </c>
      <c r="F164" s="12" t="s">
        <v>160</v>
      </c>
      <c r="G164" s="9" t="s">
        <v>317</v>
      </c>
      <c r="H164" s="9" t="s">
        <v>318</v>
      </c>
      <c r="I164" t="s">
        <v>372</v>
      </c>
      <c r="J164" s="10">
        <v>2995</v>
      </c>
      <c r="K164" s="10">
        <v>2995</v>
      </c>
      <c r="L164" s="8">
        <v>61034200</v>
      </c>
      <c r="M164" s="6">
        <v>18</v>
      </c>
      <c r="N164" s="6" t="s">
        <v>337</v>
      </c>
      <c r="O164" s="8" t="s">
        <v>44</v>
      </c>
      <c r="P164" s="6" t="s">
        <v>337</v>
      </c>
      <c r="Q164" s="6" t="s">
        <v>321</v>
      </c>
      <c r="R164" s="21"/>
      <c r="S164" s="10"/>
    </row>
    <row r="165" spans="1:19" ht="16" x14ac:dyDescent="0.2">
      <c r="A165" s="31" t="str">
        <f t="shared" si="4"/>
        <v>8905302263175_Blu</v>
      </c>
      <c r="B165" s="32">
        <v>8905302263175</v>
      </c>
      <c r="C165" s="33" t="str">
        <f t="shared" si="5"/>
        <v>8905302263175_Blu_S</v>
      </c>
      <c r="D165" s="34" t="s">
        <v>376</v>
      </c>
      <c r="E165" s="35" t="s">
        <v>27</v>
      </c>
      <c r="F165" s="34" t="s">
        <v>377</v>
      </c>
      <c r="G165" s="36" t="s">
        <v>317</v>
      </c>
      <c r="H165" s="36" t="s">
        <v>318</v>
      </c>
      <c r="I165" s="37" t="s">
        <v>378</v>
      </c>
      <c r="J165" s="38">
        <v>5999</v>
      </c>
      <c r="K165" s="38">
        <v>5999</v>
      </c>
      <c r="L165" s="35">
        <v>61034200</v>
      </c>
      <c r="M165" s="33">
        <v>18</v>
      </c>
      <c r="N165" s="33" t="s">
        <v>328</v>
      </c>
      <c r="O165" s="34" t="s">
        <v>54</v>
      </c>
      <c r="P165" s="34" t="s">
        <v>379</v>
      </c>
      <c r="Q165" s="33" t="s">
        <v>321</v>
      </c>
      <c r="R165" s="34"/>
      <c r="S165" s="39"/>
    </row>
    <row r="166" spans="1:19" ht="16" x14ac:dyDescent="0.2">
      <c r="A166" s="31" t="str">
        <f t="shared" si="4"/>
        <v>8905302263176_Blu</v>
      </c>
      <c r="B166" s="40">
        <v>8905302263176</v>
      </c>
      <c r="C166" s="33" t="str">
        <f t="shared" si="5"/>
        <v>8905302263176_Blu_M</v>
      </c>
      <c r="D166" s="34" t="s">
        <v>376</v>
      </c>
      <c r="E166" s="35" t="s">
        <v>27</v>
      </c>
      <c r="F166" s="34" t="s">
        <v>377</v>
      </c>
      <c r="G166" s="36" t="s">
        <v>317</v>
      </c>
      <c r="H166" s="36" t="s">
        <v>318</v>
      </c>
      <c r="I166" s="37" t="s">
        <v>378</v>
      </c>
      <c r="J166" s="38">
        <v>5999</v>
      </c>
      <c r="K166" s="38">
        <v>5999</v>
      </c>
      <c r="L166" s="35">
        <v>61034200</v>
      </c>
      <c r="M166" s="33">
        <v>18</v>
      </c>
      <c r="N166" s="33" t="s">
        <v>328</v>
      </c>
      <c r="O166" s="34" t="s">
        <v>61</v>
      </c>
      <c r="P166" s="34" t="s">
        <v>379</v>
      </c>
      <c r="Q166" s="33" t="s">
        <v>321</v>
      </c>
      <c r="R166" s="34"/>
      <c r="S166" s="39"/>
    </row>
    <row r="167" spans="1:19" ht="16" x14ac:dyDescent="0.2">
      <c r="A167" s="31" t="str">
        <f t="shared" si="4"/>
        <v>8905302263177_Blu</v>
      </c>
      <c r="B167" s="40">
        <v>8905302263177</v>
      </c>
      <c r="C167" s="33" t="str">
        <f t="shared" si="5"/>
        <v>8905302263177_Blu_L</v>
      </c>
      <c r="D167" s="34" t="s">
        <v>376</v>
      </c>
      <c r="E167" s="35" t="s">
        <v>27</v>
      </c>
      <c r="F167" s="34" t="s">
        <v>377</v>
      </c>
      <c r="G167" s="36" t="s">
        <v>317</v>
      </c>
      <c r="H167" s="36" t="s">
        <v>318</v>
      </c>
      <c r="I167" s="37" t="s">
        <v>378</v>
      </c>
      <c r="J167" s="38">
        <v>5999</v>
      </c>
      <c r="K167" s="38">
        <v>5999</v>
      </c>
      <c r="L167" s="35">
        <v>61034200</v>
      </c>
      <c r="M167" s="33">
        <v>18</v>
      </c>
      <c r="N167" s="33" t="s">
        <v>328</v>
      </c>
      <c r="O167" s="34" t="s">
        <v>44</v>
      </c>
      <c r="P167" s="34" t="s">
        <v>379</v>
      </c>
      <c r="Q167" s="33" t="s">
        <v>321</v>
      </c>
      <c r="R167" s="34"/>
      <c r="S167" s="39"/>
    </row>
    <row r="168" spans="1:19" ht="16" x14ac:dyDescent="0.2">
      <c r="A168" s="31" t="str">
        <f t="shared" si="4"/>
        <v>8905302263178_Blu</v>
      </c>
      <c r="B168" s="40">
        <v>8905302263178</v>
      </c>
      <c r="C168" s="33" t="str">
        <f t="shared" si="5"/>
        <v>8905302263178_Blu_XL</v>
      </c>
      <c r="D168" s="34" t="s">
        <v>376</v>
      </c>
      <c r="E168" s="35" t="s">
        <v>27</v>
      </c>
      <c r="F168" s="34" t="s">
        <v>377</v>
      </c>
      <c r="G168" s="36" t="s">
        <v>317</v>
      </c>
      <c r="H168" s="36" t="s">
        <v>318</v>
      </c>
      <c r="I168" s="37" t="s">
        <v>378</v>
      </c>
      <c r="J168" s="38">
        <v>5999</v>
      </c>
      <c r="K168" s="38">
        <v>5999</v>
      </c>
      <c r="L168" s="35">
        <v>61034200</v>
      </c>
      <c r="M168" s="33">
        <v>18</v>
      </c>
      <c r="N168" s="33" t="s">
        <v>328</v>
      </c>
      <c r="O168" s="34" t="s">
        <v>38</v>
      </c>
      <c r="P168" s="34" t="s">
        <v>379</v>
      </c>
      <c r="Q168" s="33" t="s">
        <v>321</v>
      </c>
      <c r="R168" s="34"/>
      <c r="S168" s="39"/>
    </row>
    <row r="169" spans="1:19" ht="16" x14ac:dyDescent="0.2">
      <c r="A169" s="31" t="str">
        <f t="shared" si="4"/>
        <v>8905302263180_Cha</v>
      </c>
      <c r="B169" s="40">
        <v>8905302263180</v>
      </c>
      <c r="C169" s="33" t="str">
        <f t="shared" si="5"/>
        <v>8905302263180_Cha_S</v>
      </c>
      <c r="D169" s="34" t="s">
        <v>380</v>
      </c>
      <c r="E169" s="35" t="s">
        <v>27</v>
      </c>
      <c r="F169" s="34" t="s">
        <v>377</v>
      </c>
      <c r="G169" s="36" t="s">
        <v>317</v>
      </c>
      <c r="H169" s="36" t="s">
        <v>318</v>
      </c>
      <c r="I169" s="37" t="s">
        <v>378</v>
      </c>
      <c r="J169" s="38">
        <v>5999</v>
      </c>
      <c r="K169" s="38">
        <v>5999</v>
      </c>
      <c r="L169" s="35">
        <v>61034200</v>
      </c>
      <c r="M169" s="33">
        <v>18</v>
      </c>
      <c r="N169" s="33" t="s">
        <v>381</v>
      </c>
      <c r="O169" s="34" t="s">
        <v>54</v>
      </c>
      <c r="P169" s="34" t="s">
        <v>382</v>
      </c>
      <c r="Q169" s="33" t="s">
        <v>321</v>
      </c>
      <c r="R169" s="34"/>
      <c r="S169" s="39"/>
    </row>
    <row r="170" spans="1:19" ht="16" x14ac:dyDescent="0.2">
      <c r="A170" s="31" t="str">
        <f t="shared" si="4"/>
        <v>8905302263181_Cha</v>
      </c>
      <c r="B170" s="40">
        <v>8905302263181</v>
      </c>
      <c r="C170" s="33" t="str">
        <f t="shared" si="5"/>
        <v>8905302263181_Cha_M</v>
      </c>
      <c r="D170" s="34" t="s">
        <v>380</v>
      </c>
      <c r="E170" s="35" t="s">
        <v>27</v>
      </c>
      <c r="F170" s="34" t="s">
        <v>377</v>
      </c>
      <c r="G170" s="36" t="s">
        <v>317</v>
      </c>
      <c r="H170" s="36" t="s">
        <v>318</v>
      </c>
      <c r="I170" s="37" t="s">
        <v>378</v>
      </c>
      <c r="J170" s="38">
        <v>5999</v>
      </c>
      <c r="K170" s="38">
        <v>5999</v>
      </c>
      <c r="L170" s="35">
        <v>61034200</v>
      </c>
      <c r="M170" s="33">
        <v>18</v>
      </c>
      <c r="N170" s="33" t="s">
        <v>381</v>
      </c>
      <c r="O170" s="34" t="s">
        <v>61</v>
      </c>
      <c r="P170" s="34" t="s">
        <v>382</v>
      </c>
      <c r="Q170" s="33" t="s">
        <v>321</v>
      </c>
      <c r="R170" s="34"/>
      <c r="S170" s="39"/>
    </row>
    <row r="171" spans="1:19" ht="16" x14ac:dyDescent="0.2">
      <c r="A171" s="31" t="str">
        <f t="shared" si="4"/>
        <v>8905302263182_Cha</v>
      </c>
      <c r="B171" s="40">
        <v>8905302263182</v>
      </c>
      <c r="C171" s="33" t="str">
        <f t="shared" si="5"/>
        <v>8905302263182_Cha_L</v>
      </c>
      <c r="D171" s="34" t="s">
        <v>380</v>
      </c>
      <c r="E171" s="35" t="s">
        <v>27</v>
      </c>
      <c r="F171" s="34" t="s">
        <v>377</v>
      </c>
      <c r="G171" s="36" t="s">
        <v>317</v>
      </c>
      <c r="H171" s="36" t="s">
        <v>318</v>
      </c>
      <c r="I171" s="37" t="s">
        <v>378</v>
      </c>
      <c r="J171" s="38">
        <v>5999</v>
      </c>
      <c r="K171" s="38">
        <v>5999</v>
      </c>
      <c r="L171" s="35">
        <v>61034200</v>
      </c>
      <c r="M171" s="33">
        <v>18</v>
      </c>
      <c r="N171" s="33" t="s">
        <v>381</v>
      </c>
      <c r="O171" s="34" t="s">
        <v>44</v>
      </c>
      <c r="P171" s="34" t="s">
        <v>382</v>
      </c>
      <c r="Q171" s="33" t="s">
        <v>321</v>
      </c>
      <c r="R171" s="34"/>
      <c r="S171" s="39"/>
    </row>
    <row r="172" spans="1:19" ht="16" x14ac:dyDescent="0.2">
      <c r="A172" s="31" t="str">
        <f t="shared" si="4"/>
        <v>8905302263183_Cha</v>
      </c>
      <c r="B172" s="40">
        <v>8905302263183</v>
      </c>
      <c r="C172" s="33" t="str">
        <f t="shared" si="5"/>
        <v>8905302263183_Cha_XL</v>
      </c>
      <c r="D172" s="34" t="s">
        <v>380</v>
      </c>
      <c r="E172" s="35" t="s">
        <v>27</v>
      </c>
      <c r="F172" s="34" t="s">
        <v>377</v>
      </c>
      <c r="G172" s="36" t="s">
        <v>317</v>
      </c>
      <c r="H172" s="36" t="s">
        <v>318</v>
      </c>
      <c r="I172" s="37" t="s">
        <v>378</v>
      </c>
      <c r="J172" s="38">
        <v>5999</v>
      </c>
      <c r="K172" s="38">
        <v>5999</v>
      </c>
      <c r="L172" s="35">
        <v>61034200</v>
      </c>
      <c r="M172" s="33">
        <v>18</v>
      </c>
      <c r="N172" s="33" t="s">
        <v>381</v>
      </c>
      <c r="O172" s="34" t="s">
        <v>38</v>
      </c>
      <c r="P172" s="34" t="s">
        <v>382</v>
      </c>
      <c r="Q172" s="33" t="s">
        <v>321</v>
      </c>
      <c r="R172" s="34"/>
      <c r="S172" s="39"/>
    </row>
    <row r="173" spans="1:19" ht="16" x14ac:dyDescent="0.2">
      <c r="A173" s="31" t="str">
        <f t="shared" si="4"/>
        <v>8905302263185_Blu</v>
      </c>
      <c r="B173" s="40">
        <v>8905302263185</v>
      </c>
      <c r="C173" s="33" t="str">
        <f t="shared" si="5"/>
        <v>8905302263185_Blu_S</v>
      </c>
      <c r="D173" s="34" t="s">
        <v>383</v>
      </c>
      <c r="E173" s="35" t="s">
        <v>27</v>
      </c>
      <c r="F173" s="34" t="s">
        <v>377</v>
      </c>
      <c r="G173" s="36" t="s">
        <v>317</v>
      </c>
      <c r="H173" s="36" t="s">
        <v>318</v>
      </c>
      <c r="I173" s="37" t="s">
        <v>378</v>
      </c>
      <c r="J173" s="38">
        <v>6999</v>
      </c>
      <c r="K173" s="38">
        <v>6999</v>
      </c>
      <c r="L173" s="35">
        <v>61034200</v>
      </c>
      <c r="M173" s="33">
        <v>18</v>
      </c>
      <c r="N173" s="33" t="s">
        <v>328</v>
      </c>
      <c r="O173" s="34" t="s">
        <v>54</v>
      </c>
      <c r="P173" s="34" t="s">
        <v>384</v>
      </c>
      <c r="Q173" s="33" t="s">
        <v>321</v>
      </c>
      <c r="R173" s="34"/>
      <c r="S173" s="39"/>
    </row>
    <row r="174" spans="1:19" ht="16" x14ac:dyDescent="0.2">
      <c r="A174" s="31" t="str">
        <f t="shared" si="4"/>
        <v>8905302263186_Blu</v>
      </c>
      <c r="B174" s="40">
        <v>8905302263186</v>
      </c>
      <c r="C174" s="33" t="str">
        <f t="shared" si="5"/>
        <v>8905302263186_Blu_M</v>
      </c>
      <c r="D174" s="34" t="s">
        <v>383</v>
      </c>
      <c r="E174" s="35" t="s">
        <v>27</v>
      </c>
      <c r="F174" s="34" t="s">
        <v>377</v>
      </c>
      <c r="G174" s="36" t="s">
        <v>317</v>
      </c>
      <c r="H174" s="36" t="s">
        <v>318</v>
      </c>
      <c r="I174" s="37" t="s">
        <v>378</v>
      </c>
      <c r="J174" s="38">
        <v>6999</v>
      </c>
      <c r="K174" s="38">
        <v>6999</v>
      </c>
      <c r="L174" s="35">
        <v>61034200</v>
      </c>
      <c r="M174" s="33">
        <v>18</v>
      </c>
      <c r="N174" s="33" t="s">
        <v>328</v>
      </c>
      <c r="O174" s="34" t="s">
        <v>61</v>
      </c>
      <c r="P174" s="34" t="s">
        <v>384</v>
      </c>
      <c r="Q174" s="33" t="s">
        <v>321</v>
      </c>
      <c r="R174" s="34"/>
      <c r="S174" s="39"/>
    </row>
    <row r="175" spans="1:19" ht="16" x14ac:dyDescent="0.2">
      <c r="A175" s="31" t="str">
        <f t="shared" si="4"/>
        <v>8905302263187_Blu</v>
      </c>
      <c r="B175" s="40">
        <v>8905302263187</v>
      </c>
      <c r="C175" s="33" t="str">
        <f t="shared" si="5"/>
        <v>8905302263187_Blu_L</v>
      </c>
      <c r="D175" s="34" t="s">
        <v>383</v>
      </c>
      <c r="E175" s="35" t="s">
        <v>27</v>
      </c>
      <c r="F175" s="34" t="s">
        <v>377</v>
      </c>
      <c r="G175" s="36" t="s">
        <v>317</v>
      </c>
      <c r="H175" s="36" t="s">
        <v>318</v>
      </c>
      <c r="I175" s="37" t="s">
        <v>378</v>
      </c>
      <c r="J175" s="38">
        <v>6999</v>
      </c>
      <c r="K175" s="38">
        <v>6999</v>
      </c>
      <c r="L175" s="35">
        <v>61034200</v>
      </c>
      <c r="M175" s="33">
        <v>18</v>
      </c>
      <c r="N175" s="33" t="s">
        <v>328</v>
      </c>
      <c r="O175" s="34" t="s">
        <v>44</v>
      </c>
      <c r="P175" s="34" t="s">
        <v>384</v>
      </c>
      <c r="Q175" s="33" t="s">
        <v>321</v>
      </c>
      <c r="R175" s="34"/>
      <c r="S175" s="39"/>
    </row>
    <row r="176" spans="1:19" ht="16" x14ac:dyDescent="0.2">
      <c r="A176" s="31" t="str">
        <f t="shared" si="4"/>
        <v>8905302263188_Blu</v>
      </c>
      <c r="B176" s="40">
        <v>8905302263188</v>
      </c>
      <c r="C176" s="33" t="str">
        <f t="shared" si="5"/>
        <v>8905302263188_Blu_XL</v>
      </c>
      <c r="D176" s="34" t="s">
        <v>383</v>
      </c>
      <c r="E176" s="35" t="s">
        <v>27</v>
      </c>
      <c r="F176" s="34" t="s">
        <v>377</v>
      </c>
      <c r="G176" s="36" t="s">
        <v>317</v>
      </c>
      <c r="H176" s="36" t="s">
        <v>318</v>
      </c>
      <c r="I176" s="37" t="s">
        <v>378</v>
      </c>
      <c r="J176" s="38">
        <v>6999</v>
      </c>
      <c r="K176" s="38">
        <v>6999</v>
      </c>
      <c r="L176" s="35">
        <v>61034200</v>
      </c>
      <c r="M176" s="33">
        <v>18</v>
      </c>
      <c r="N176" s="33" t="s">
        <v>328</v>
      </c>
      <c r="O176" s="34" t="s">
        <v>38</v>
      </c>
      <c r="P176" s="34" t="s">
        <v>384</v>
      </c>
      <c r="Q176" s="33" t="s">
        <v>321</v>
      </c>
      <c r="R176" s="34"/>
      <c r="S176" s="39"/>
    </row>
    <row r="177" spans="1:19" ht="16" x14ac:dyDescent="0.2">
      <c r="A177" s="31" t="str">
        <f t="shared" si="4"/>
        <v>8905302263190_Blu</v>
      </c>
      <c r="B177" s="40">
        <v>8905302263190</v>
      </c>
      <c r="C177" s="33" t="str">
        <f t="shared" si="5"/>
        <v>8905302263190_Blu_M</v>
      </c>
      <c r="D177" s="34" t="s">
        <v>385</v>
      </c>
      <c r="E177" s="35" t="s">
        <v>27</v>
      </c>
      <c r="F177" s="34" t="s">
        <v>377</v>
      </c>
      <c r="G177" s="36" t="s">
        <v>317</v>
      </c>
      <c r="H177" s="36" t="s">
        <v>318</v>
      </c>
      <c r="I177" s="37" t="s">
        <v>378</v>
      </c>
      <c r="J177" s="38">
        <v>7999</v>
      </c>
      <c r="K177" s="38">
        <v>7999</v>
      </c>
      <c r="L177" s="35">
        <v>61034200</v>
      </c>
      <c r="M177" s="33">
        <v>18</v>
      </c>
      <c r="N177" s="33" t="s">
        <v>328</v>
      </c>
      <c r="O177" s="34" t="s">
        <v>61</v>
      </c>
      <c r="P177" s="34" t="s">
        <v>386</v>
      </c>
      <c r="Q177" s="33" t="s">
        <v>321</v>
      </c>
      <c r="R177" s="34"/>
      <c r="S177" s="39"/>
    </row>
    <row r="178" spans="1:19" ht="16" x14ac:dyDescent="0.2">
      <c r="A178" s="31" t="str">
        <f t="shared" si="4"/>
        <v>8905302263191_Blu</v>
      </c>
      <c r="B178" s="40">
        <v>8905302263191</v>
      </c>
      <c r="C178" s="33" t="str">
        <f t="shared" si="5"/>
        <v>8905302263191_Blu_L</v>
      </c>
      <c r="D178" s="34" t="s">
        <v>385</v>
      </c>
      <c r="E178" s="35" t="s">
        <v>27</v>
      </c>
      <c r="F178" s="34" t="s">
        <v>377</v>
      </c>
      <c r="G178" s="36" t="s">
        <v>317</v>
      </c>
      <c r="H178" s="36" t="s">
        <v>318</v>
      </c>
      <c r="I178" s="37" t="s">
        <v>378</v>
      </c>
      <c r="J178" s="38">
        <v>7999</v>
      </c>
      <c r="K178" s="38">
        <v>7999</v>
      </c>
      <c r="L178" s="35">
        <v>61034200</v>
      </c>
      <c r="M178" s="33">
        <v>18</v>
      </c>
      <c r="N178" s="33" t="s">
        <v>328</v>
      </c>
      <c r="O178" s="34" t="s">
        <v>44</v>
      </c>
      <c r="P178" s="34" t="s">
        <v>386</v>
      </c>
      <c r="Q178" s="33" t="s">
        <v>321</v>
      </c>
      <c r="R178" s="34"/>
      <c r="S178" s="39"/>
    </row>
    <row r="179" spans="1:19" ht="16" x14ac:dyDescent="0.2">
      <c r="A179" s="31" t="str">
        <f t="shared" si="4"/>
        <v>8905302263192_Blu</v>
      </c>
      <c r="B179" s="40">
        <v>8905302263192</v>
      </c>
      <c r="C179" s="33" t="str">
        <f t="shared" si="5"/>
        <v>8905302263192_Blu_XL</v>
      </c>
      <c r="D179" s="34" t="s">
        <v>385</v>
      </c>
      <c r="E179" s="35" t="s">
        <v>27</v>
      </c>
      <c r="F179" s="34" t="s">
        <v>377</v>
      </c>
      <c r="G179" s="36" t="s">
        <v>317</v>
      </c>
      <c r="H179" s="36" t="s">
        <v>318</v>
      </c>
      <c r="I179" s="37" t="s">
        <v>378</v>
      </c>
      <c r="J179" s="38">
        <v>7999</v>
      </c>
      <c r="K179" s="38">
        <v>7999</v>
      </c>
      <c r="L179" s="35">
        <v>61034200</v>
      </c>
      <c r="M179" s="33">
        <v>18</v>
      </c>
      <c r="N179" s="33" t="s">
        <v>328</v>
      </c>
      <c r="O179" s="34" t="s">
        <v>38</v>
      </c>
      <c r="P179" s="34" t="s">
        <v>386</v>
      </c>
      <c r="Q179" s="33" t="s">
        <v>321</v>
      </c>
      <c r="R179" s="34"/>
      <c r="S179" s="39"/>
    </row>
    <row r="180" spans="1:19" ht="16" x14ac:dyDescent="0.2">
      <c r="A180" s="31" t="str">
        <f t="shared" si="4"/>
        <v>8905302263193_Blu</v>
      </c>
      <c r="B180" s="40">
        <v>8905302263193</v>
      </c>
      <c r="C180" s="33" t="str">
        <f t="shared" si="5"/>
        <v>8905302263193_Blu_M</v>
      </c>
      <c r="D180" s="34" t="s">
        <v>387</v>
      </c>
      <c r="E180" s="35" t="s">
        <v>27</v>
      </c>
      <c r="F180" s="34" t="s">
        <v>377</v>
      </c>
      <c r="G180" s="36" t="s">
        <v>317</v>
      </c>
      <c r="H180" s="36" t="s">
        <v>318</v>
      </c>
      <c r="I180" s="37" t="s">
        <v>378</v>
      </c>
      <c r="J180" s="38">
        <v>7999</v>
      </c>
      <c r="K180" s="38">
        <v>7999</v>
      </c>
      <c r="L180" s="35">
        <v>61034200</v>
      </c>
      <c r="M180" s="33">
        <v>18</v>
      </c>
      <c r="N180" s="33" t="s">
        <v>328</v>
      </c>
      <c r="O180" s="34" t="s">
        <v>61</v>
      </c>
      <c r="P180" s="34" t="s">
        <v>388</v>
      </c>
      <c r="Q180" s="33" t="s">
        <v>321</v>
      </c>
      <c r="R180" s="34"/>
      <c r="S180" s="39"/>
    </row>
    <row r="181" spans="1:19" ht="16" x14ac:dyDescent="0.2">
      <c r="A181" s="31" t="str">
        <f t="shared" si="4"/>
        <v>8905302263195_Blu</v>
      </c>
      <c r="B181" s="40">
        <v>8905302263195</v>
      </c>
      <c r="C181" s="33" t="str">
        <f t="shared" si="5"/>
        <v>8905302263195_Blu_L</v>
      </c>
      <c r="D181" s="34" t="s">
        <v>387</v>
      </c>
      <c r="E181" s="35" t="s">
        <v>27</v>
      </c>
      <c r="F181" s="34" t="s">
        <v>377</v>
      </c>
      <c r="G181" s="36" t="s">
        <v>317</v>
      </c>
      <c r="H181" s="36" t="s">
        <v>318</v>
      </c>
      <c r="I181" s="37" t="s">
        <v>378</v>
      </c>
      <c r="J181" s="38">
        <v>7999</v>
      </c>
      <c r="K181" s="38">
        <v>7999</v>
      </c>
      <c r="L181" s="35">
        <v>61034200</v>
      </c>
      <c r="M181" s="33">
        <v>18</v>
      </c>
      <c r="N181" s="33" t="s">
        <v>328</v>
      </c>
      <c r="O181" s="34" t="s">
        <v>44</v>
      </c>
      <c r="P181" s="34" t="s">
        <v>388</v>
      </c>
      <c r="Q181" s="33" t="s">
        <v>321</v>
      </c>
      <c r="R181" s="34"/>
      <c r="S181" s="39"/>
    </row>
    <row r="182" spans="1:19" ht="16" x14ac:dyDescent="0.2">
      <c r="A182" s="31" t="str">
        <f t="shared" si="4"/>
        <v>8905302263196_Blu</v>
      </c>
      <c r="B182" s="40">
        <v>8905302263196</v>
      </c>
      <c r="C182" s="33" t="str">
        <f t="shared" si="5"/>
        <v>8905302263196_Blu_XL</v>
      </c>
      <c r="D182" s="34" t="s">
        <v>387</v>
      </c>
      <c r="E182" s="35" t="s">
        <v>27</v>
      </c>
      <c r="F182" s="34" t="s">
        <v>377</v>
      </c>
      <c r="G182" s="36" t="s">
        <v>317</v>
      </c>
      <c r="H182" s="36" t="s">
        <v>318</v>
      </c>
      <c r="I182" s="37" t="s">
        <v>378</v>
      </c>
      <c r="J182" s="38">
        <v>7999</v>
      </c>
      <c r="K182" s="38">
        <v>7999</v>
      </c>
      <c r="L182" s="35">
        <v>61034200</v>
      </c>
      <c r="M182" s="33">
        <v>18</v>
      </c>
      <c r="N182" s="33" t="s">
        <v>328</v>
      </c>
      <c r="O182" s="34" t="s">
        <v>38</v>
      </c>
      <c r="P182" s="34" t="s">
        <v>388</v>
      </c>
      <c r="Q182" s="33" t="s">
        <v>321</v>
      </c>
      <c r="R182" s="34"/>
      <c r="S182" s="39"/>
    </row>
    <row r="183" spans="1:19" ht="16" x14ac:dyDescent="0.2">
      <c r="A183" s="31" t="str">
        <f t="shared" si="4"/>
        <v>8905302263197_Bla</v>
      </c>
      <c r="B183" s="40">
        <v>8905302263197</v>
      </c>
      <c r="C183" s="33" t="str">
        <f t="shared" si="5"/>
        <v>8905302263197_Bla_M</v>
      </c>
      <c r="D183" s="34" t="s">
        <v>389</v>
      </c>
      <c r="E183" s="35" t="s">
        <v>27</v>
      </c>
      <c r="F183" s="34" t="s">
        <v>377</v>
      </c>
      <c r="G183" s="36" t="s">
        <v>317</v>
      </c>
      <c r="H183" s="36" t="s">
        <v>318</v>
      </c>
      <c r="I183" s="37" t="s">
        <v>378</v>
      </c>
      <c r="J183" s="38">
        <v>6999</v>
      </c>
      <c r="K183" s="38">
        <v>6999</v>
      </c>
      <c r="L183" s="35">
        <v>61034200</v>
      </c>
      <c r="M183" s="33">
        <v>18</v>
      </c>
      <c r="N183" s="33" t="s">
        <v>326</v>
      </c>
      <c r="O183" s="34" t="s">
        <v>61</v>
      </c>
      <c r="P183" s="34" t="s">
        <v>390</v>
      </c>
      <c r="Q183" s="33" t="s">
        <v>321</v>
      </c>
      <c r="R183" s="34"/>
      <c r="S183" s="39"/>
    </row>
    <row r="184" spans="1:19" ht="16" x14ac:dyDescent="0.2">
      <c r="A184" s="31" t="str">
        <f t="shared" si="4"/>
        <v>8905302263198_Bla</v>
      </c>
      <c r="B184" s="40">
        <v>8905302263198</v>
      </c>
      <c r="C184" s="33" t="str">
        <f t="shared" si="5"/>
        <v>8905302263198_Bla_L</v>
      </c>
      <c r="D184" s="34" t="s">
        <v>389</v>
      </c>
      <c r="E184" s="35" t="s">
        <v>27</v>
      </c>
      <c r="F184" s="34" t="s">
        <v>377</v>
      </c>
      <c r="G184" s="36" t="s">
        <v>317</v>
      </c>
      <c r="H184" s="36" t="s">
        <v>318</v>
      </c>
      <c r="I184" s="37" t="s">
        <v>378</v>
      </c>
      <c r="J184" s="38">
        <v>6999</v>
      </c>
      <c r="K184" s="38">
        <v>6999</v>
      </c>
      <c r="L184" s="35">
        <v>61034200</v>
      </c>
      <c r="M184" s="33">
        <v>18</v>
      </c>
      <c r="N184" s="33" t="s">
        <v>326</v>
      </c>
      <c r="O184" s="34" t="s">
        <v>44</v>
      </c>
      <c r="P184" s="34" t="s">
        <v>390</v>
      </c>
      <c r="Q184" s="33" t="s">
        <v>321</v>
      </c>
      <c r="R184" s="34"/>
      <c r="S184" s="39"/>
    </row>
    <row r="185" spans="1:19" ht="16" x14ac:dyDescent="0.2">
      <c r="A185" s="31" t="str">
        <f t="shared" si="4"/>
        <v>8905302263200_Bla</v>
      </c>
      <c r="B185" s="40">
        <v>8905302263200</v>
      </c>
      <c r="C185" s="33" t="str">
        <f t="shared" si="5"/>
        <v>8905302263200_Bla_XL</v>
      </c>
      <c r="D185" s="34" t="s">
        <v>389</v>
      </c>
      <c r="E185" s="35" t="s">
        <v>27</v>
      </c>
      <c r="F185" s="34" t="s">
        <v>377</v>
      </c>
      <c r="G185" s="36" t="s">
        <v>317</v>
      </c>
      <c r="H185" s="36" t="s">
        <v>318</v>
      </c>
      <c r="I185" s="37" t="s">
        <v>378</v>
      </c>
      <c r="J185" s="38">
        <v>6999</v>
      </c>
      <c r="K185" s="38">
        <v>6999</v>
      </c>
      <c r="L185" s="35">
        <v>61034200</v>
      </c>
      <c r="M185" s="33">
        <v>18</v>
      </c>
      <c r="N185" s="33" t="s">
        <v>326</v>
      </c>
      <c r="O185" s="34" t="s">
        <v>38</v>
      </c>
      <c r="P185" s="34" t="s">
        <v>390</v>
      </c>
      <c r="Q185" s="33" t="s">
        <v>321</v>
      </c>
      <c r="R185" s="34"/>
      <c r="S185" s="39"/>
    </row>
    <row r="186" spans="1:19" ht="16" x14ac:dyDescent="0.2">
      <c r="A186" s="31" t="str">
        <f t="shared" si="4"/>
        <v>8905302263201_Bla</v>
      </c>
      <c r="B186" s="40">
        <v>8905302263201</v>
      </c>
      <c r="C186" s="33" t="str">
        <f t="shared" si="5"/>
        <v>8905302263201_Bla_XXL</v>
      </c>
      <c r="D186" s="34" t="s">
        <v>389</v>
      </c>
      <c r="E186" s="35" t="s">
        <v>27</v>
      </c>
      <c r="F186" s="34" t="s">
        <v>377</v>
      </c>
      <c r="G186" s="36" t="s">
        <v>317</v>
      </c>
      <c r="H186" s="36" t="s">
        <v>318</v>
      </c>
      <c r="I186" s="37" t="s">
        <v>378</v>
      </c>
      <c r="J186" s="38">
        <v>6999</v>
      </c>
      <c r="K186" s="38">
        <v>6999</v>
      </c>
      <c r="L186" s="35">
        <v>61034200</v>
      </c>
      <c r="M186" s="33">
        <v>18</v>
      </c>
      <c r="N186" s="33" t="s">
        <v>326</v>
      </c>
      <c r="O186" s="34" t="s">
        <v>84</v>
      </c>
      <c r="P186" s="34" t="s">
        <v>390</v>
      </c>
      <c r="Q186" s="33" t="s">
        <v>321</v>
      </c>
      <c r="R186" s="34"/>
      <c r="S186" s="39"/>
    </row>
    <row r="187" spans="1:19" ht="16" x14ac:dyDescent="0.2">
      <c r="A187" s="31" t="str">
        <f t="shared" si="4"/>
        <v>8905302263202_Bla</v>
      </c>
      <c r="B187" s="40">
        <v>8905302263202</v>
      </c>
      <c r="C187" s="33" t="str">
        <f t="shared" si="5"/>
        <v>8905302263202_Bla_M</v>
      </c>
      <c r="D187" s="34" t="s">
        <v>391</v>
      </c>
      <c r="E187" s="35" t="s">
        <v>27</v>
      </c>
      <c r="F187" s="34" t="s">
        <v>377</v>
      </c>
      <c r="G187" s="36" t="s">
        <v>317</v>
      </c>
      <c r="H187" s="36" t="s">
        <v>318</v>
      </c>
      <c r="I187" s="37" t="s">
        <v>378</v>
      </c>
      <c r="J187" s="38">
        <v>6999</v>
      </c>
      <c r="K187" s="38">
        <v>6999</v>
      </c>
      <c r="L187" s="35">
        <v>61034200</v>
      </c>
      <c r="M187" s="33">
        <v>18</v>
      </c>
      <c r="N187" s="33" t="s">
        <v>326</v>
      </c>
      <c r="O187" s="34" t="s">
        <v>61</v>
      </c>
      <c r="P187" s="34" t="s">
        <v>392</v>
      </c>
      <c r="Q187" s="33" t="s">
        <v>321</v>
      </c>
      <c r="R187" s="34"/>
      <c r="S187" s="39"/>
    </row>
    <row r="188" spans="1:19" ht="16" x14ac:dyDescent="0.2">
      <c r="A188" s="31" t="str">
        <f t="shared" si="4"/>
        <v>8905302263203_Bla</v>
      </c>
      <c r="B188" s="40">
        <v>8905302263203</v>
      </c>
      <c r="C188" s="33" t="str">
        <f t="shared" si="5"/>
        <v>8905302263203_Bla_L</v>
      </c>
      <c r="D188" s="34" t="s">
        <v>391</v>
      </c>
      <c r="E188" s="35" t="s">
        <v>27</v>
      </c>
      <c r="F188" s="34" t="s">
        <v>377</v>
      </c>
      <c r="G188" s="36" t="s">
        <v>317</v>
      </c>
      <c r="H188" s="36" t="s">
        <v>318</v>
      </c>
      <c r="I188" s="37" t="s">
        <v>378</v>
      </c>
      <c r="J188" s="38">
        <v>6999</v>
      </c>
      <c r="K188" s="38">
        <v>6999</v>
      </c>
      <c r="L188" s="35">
        <v>61034200</v>
      </c>
      <c r="M188" s="33">
        <v>18</v>
      </c>
      <c r="N188" s="33" t="s">
        <v>326</v>
      </c>
      <c r="O188" s="34" t="s">
        <v>44</v>
      </c>
      <c r="P188" s="34" t="s">
        <v>392</v>
      </c>
      <c r="Q188" s="33" t="s">
        <v>321</v>
      </c>
      <c r="R188" s="34"/>
      <c r="S188" s="39"/>
    </row>
    <row r="189" spans="1:19" ht="16" x14ac:dyDescent="0.2">
      <c r="A189" s="31" t="str">
        <f t="shared" si="4"/>
        <v>8905302263205_Bla</v>
      </c>
      <c r="B189" s="40">
        <v>8905302263205</v>
      </c>
      <c r="C189" s="33" t="str">
        <f t="shared" si="5"/>
        <v>8905302263205_Bla_XL</v>
      </c>
      <c r="D189" s="34" t="s">
        <v>391</v>
      </c>
      <c r="E189" s="35" t="s">
        <v>27</v>
      </c>
      <c r="F189" s="34" t="s">
        <v>377</v>
      </c>
      <c r="G189" s="36" t="s">
        <v>317</v>
      </c>
      <c r="H189" s="36" t="s">
        <v>318</v>
      </c>
      <c r="I189" s="37" t="s">
        <v>378</v>
      </c>
      <c r="J189" s="38">
        <v>6999</v>
      </c>
      <c r="K189" s="38">
        <v>6999</v>
      </c>
      <c r="L189" s="35">
        <v>61034200</v>
      </c>
      <c r="M189" s="33">
        <v>18</v>
      </c>
      <c r="N189" s="33" t="s">
        <v>326</v>
      </c>
      <c r="O189" s="34" t="s">
        <v>38</v>
      </c>
      <c r="P189" s="34" t="s">
        <v>392</v>
      </c>
      <c r="Q189" s="33" t="s">
        <v>321</v>
      </c>
      <c r="R189" s="34"/>
      <c r="S189" s="39"/>
    </row>
    <row r="190" spans="1:19" ht="16" x14ac:dyDescent="0.2">
      <c r="A190" s="31" t="str">
        <f t="shared" si="4"/>
        <v>8905302263206_Bla</v>
      </c>
      <c r="B190" s="40">
        <v>8905302263206</v>
      </c>
      <c r="C190" s="33" t="str">
        <f t="shared" si="5"/>
        <v>8905302263206_Bla_XXL</v>
      </c>
      <c r="D190" s="34" t="s">
        <v>391</v>
      </c>
      <c r="E190" s="35" t="s">
        <v>27</v>
      </c>
      <c r="F190" s="34" t="s">
        <v>377</v>
      </c>
      <c r="G190" s="36" t="s">
        <v>317</v>
      </c>
      <c r="H190" s="36" t="s">
        <v>318</v>
      </c>
      <c r="I190" s="37" t="s">
        <v>378</v>
      </c>
      <c r="J190" s="38">
        <v>6999</v>
      </c>
      <c r="K190" s="38">
        <v>6999</v>
      </c>
      <c r="L190" s="35">
        <v>61034200</v>
      </c>
      <c r="M190" s="33">
        <v>18</v>
      </c>
      <c r="N190" s="33" t="s">
        <v>326</v>
      </c>
      <c r="O190" s="34" t="s">
        <v>84</v>
      </c>
      <c r="P190" s="34" t="s">
        <v>392</v>
      </c>
      <c r="Q190" s="33" t="s">
        <v>321</v>
      </c>
      <c r="R190" s="34"/>
      <c r="S190" s="39"/>
    </row>
    <row r="191" spans="1:19" ht="16" x14ac:dyDescent="0.2">
      <c r="A191" s="31" t="str">
        <f t="shared" si="4"/>
        <v>8905302263207_Blu</v>
      </c>
      <c r="B191" s="40">
        <v>8905302263207</v>
      </c>
      <c r="C191" s="33" t="str">
        <f t="shared" si="5"/>
        <v>8905302263207_Blu_M</v>
      </c>
      <c r="D191" s="34" t="s">
        <v>393</v>
      </c>
      <c r="E191" s="35" t="s">
        <v>27</v>
      </c>
      <c r="F191" s="34" t="s">
        <v>377</v>
      </c>
      <c r="G191" s="36" t="s">
        <v>317</v>
      </c>
      <c r="H191" s="36" t="s">
        <v>318</v>
      </c>
      <c r="I191" s="37" t="s">
        <v>378</v>
      </c>
      <c r="J191" s="38">
        <v>5999</v>
      </c>
      <c r="K191" s="38">
        <v>5999</v>
      </c>
      <c r="L191" s="35">
        <v>61034200</v>
      </c>
      <c r="M191" s="33">
        <v>18</v>
      </c>
      <c r="N191" s="33" t="s">
        <v>328</v>
      </c>
      <c r="O191" s="34" t="s">
        <v>61</v>
      </c>
      <c r="P191" s="34" t="s">
        <v>386</v>
      </c>
      <c r="Q191" s="33" t="s">
        <v>321</v>
      </c>
      <c r="R191" s="34"/>
      <c r="S191" s="39"/>
    </row>
    <row r="192" spans="1:19" ht="16" x14ac:dyDescent="0.2">
      <c r="A192" s="31" t="str">
        <f t="shared" si="4"/>
        <v>8905302263208_Blu</v>
      </c>
      <c r="B192" s="40">
        <v>8905302263208</v>
      </c>
      <c r="C192" s="33" t="str">
        <f t="shared" si="5"/>
        <v>8905302263208_Blu_L</v>
      </c>
      <c r="D192" s="34" t="s">
        <v>393</v>
      </c>
      <c r="E192" s="35" t="s">
        <v>27</v>
      </c>
      <c r="F192" s="34" t="s">
        <v>377</v>
      </c>
      <c r="G192" s="36" t="s">
        <v>317</v>
      </c>
      <c r="H192" s="36" t="s">
        <v>318</v>
      </c>
      <c r="I192" s="37" t="s">
        <v>378</v>
      </c>
      <c r="J192" s="38">
        <v>5999</v>
      </c>
      <c r="K192" s="38">
        <v>5999</v>
      </c>
      <c r="L192" s="35">
        <v>61034200</v>
      </c>
      <c r="M192" s="33">
        <v>18</v>
      </c>
      <c r="N192" s="33" t="s">
        <v>328</v>
      </c>
      <c r="O192" s="34" t="s">
        <v>44</v>
      </c>
      <c r="P192" s="34" t="s">
        <v>386</v>
      </c>
      <c r="Q192" s="33" t="s">
        <v>321</v>
      </c>
      <c r="R192" s="34"/>
      <c r="S192" s="39"/>
    </row>
    <row r="193" spans="1:19" ht="16" x14ac:dyDescent="0.2">
      <c r="A193" s="31" t="str">
        <f t="shared" si="4"/>
        <v>8905302263210_Blu</v>
      </c>
      <c r="B193" s="40">
        <v>8905302263210</v>
      </c>
      <c r="C193" s="33" t="str">
        <f t="shared" si="5"/>
        <v>8905302263210_Blu_XXL</v>
      </c>
      <c r="D193" s="34" t="s">
        <v>393</v>
      </c>
      <c r="E193" s="35" t="s">
        <v>27</v>
      </c>
      <c r="F193" s="34" t="s">
        <v>377</v>
      </c>
      <c r="G193" s="36" t="s">
        <v>317</v>
      </c>
      <c r="H193" s="36" t="s">
        <v>318</v>
      </c>
      <c r="I193" s="37" t="s">
        <v>378</v>
      </c>
      <c r="J193" s="38">
        <v>5999</v>
      </c>
      <c r="K193" s="38">
        <v>5999</v>
      </c>
      <c r="L193" s="35">
        <v>61034200</v>
      </c>
      <c r="M193" s="33">
        <v>18</v>
      </c>
      <c r="N193" s="33" t="s">
        <v>328</v>
      </c>
      <c r="O193" s="34" t="s">
        <v>84</v>
      </c>
      <c r="P193" s="34" t="s">
        <v>386</v>
      </c>
      <c r="Q193" s="33" t="s">
        <v>321</v>
      </c>
      <c r="R193" s="34"/>
      <c r="S193" s="39"/>
    </row>
    <row r="194" spans="1:19" ht="16" x14ac:dyDescent="0.2">
      <c r="A194" s="31" t="str">
        <f t="shared" si="4"/>
        <v>8905302263211_Blu</v>
      </c>
      <c r="B194" s="40">
        <v>8905302263211</v>
      </c>
      <c r="C194" s="33" t="str">
        <f t="shared" si="5"/>
        <v>8905302263211_Blu_M</v>
      </c>
      <c r="D194" s="34" t="s">
        <v>394</v>
      </c>
      <c r="E194" s="35" t="s">
        <v>27</v>
      </c>
      <c r="F194" s="34" t="s">
        <v>377</v>
      </c>
      <c r="G194" s="36" t="s">
        <v>317</v>
      </c>
      <c r="H194" s="36" t="s">
        <v>318</v>
      </c>
      <c r="I194" s="37" t="s">
        <v>378</v>
      </c>
      <c r="J194" s="38">
        <v>5999</v>
      </c>
      <c r="K194" s="38">
        <v>5999</v>
      </c>
      <c r="L194" s="35">
        <v>61034200</v>
      </c>
      <c r="M194" s="33">
        <v>18</v>
      </c>
      <c r="N194" s="33" t="s">
        <v>328</v>
      </c>
      <c r="O194" s="34" t="s">
        <v>61</v>
      </c>
      <c r="P194" s="34" t="s">
        <v>395</v>
      </c>
      <c r="Q194" s="33" t="s">
        <v>321</v>
      </c>
      <c r="R194" s="34"/>
      <c r="S194" s="39"/>
    </row>
    <row r="195" spans="1:19" ht="16" x14ac:dyDescent="0.2">
      <c r="A195" s="31" t="str">
        <f t="shared" ref="A195:A258" si="6" xml:space="preserve"> B195&amp; "_" &amp; LEFT(N195,3)</f>
        <v>8905302263212_Blu</v>
      </c>
      <c r="B195" s="40">
        <v>8905302263212</v>
      </c>
      <c r="C195" s="33" t="str">
        <f t="shared" ref="C195:C230" si="7">B195 &amp; "_" &amp; LEFT(N195,3) &amp; "_" &amp; O195</f>
        <v>8905302263212_Blu_L</v>
      </c>
      <c r="D195" s="34" t="s">
        <v>394</v>
      </c>
      <c r="E195" s="35" t="s">
        <v>27</v>
      </c>
      <c r="F195" s="34" t="s">
        <v>377</v>
      </c>
      <c r="G195" s="36" t="s">
        <v>317</v>
      </c>
      <c r="H195" s="36" t="s">
        <v>318</v>
      </c>
      <c r="I195" s="37" t="s">
        <v>378</v>
      </c>
      <c r="J195" s="38">
        <v>5999</v>
      </c>
      <c r="K195" s="38">
        <v>5999</v>
      </c>
      <c r="L195" s="35">
        <v>61034200</v>
      </c>
      <c r="M195" s="33">
        <v>18</v>
      </c>
      <c r="N195" s="33" t="s">
        <v>328</v>
      </c>
      <c r="O195" s="34" t="s">
        <v>44</v>
      </c>
      <c r="P195" s="34" t="s">
        <v>395</v>
      </c>
      <c r="Q195" s="33" t="s">
        <v>321</v>
      </c>
      <c r="R195" s="34"/>
      <c r="S195" s="39"/>
    </row>
    <row r="196" spans="1:19" ht="16" x14ac:dyDescent="0.2">
      <c r="A196" s="31" t="str">
        <f t="shared" si="6"/>
        <v>8905302263213_Blu</v>
      </c>
      <c r="B196" s="40">
        <v>8905302263213</v>
      </c>
      <c r="C196" s="33" t="str">
        <f t="shared" si="7"/>
        <v>8905302263213_Blu_XXL</v>
      </c>
      <c r="D196" s="34" t="s">
        <v>394</v>
      </c>
      <c r="E196" s="35" t="s">
        <v>27</v>
      </c>
      <c r="F196" s="34" t="s">
        <v>377</v>
      </c>
      <c r="G196" s="36" t="s">
        <v>317</v>
      </c>
      <c r="H196" s="36" t="s">
        <v>318</v>
      </c>
      <c r="I196" s="37" t="s">
        <v>378</v>
      </c>
      <c r="J196" s="38">
        <v>5999</v>
      </c>
      <c r="K196" s="38">
        <v>5999</v>
      </c>
      <c r="L196" s="35">
        <v>61034200</v>
      </c>
      <c r="M196" s="33">
        <v>18</v>
      </c>
      <c r="N196" s="33" t="s">
        <v>328</v>
      </c>
      <c r="O196" s="34" t="s">
        <v>84</v>
      </c>
      <c r="P196" s="34" t="s">
        <v>395</v>
      </c>
      <c r="Q196" s="33" t="s">
        <v>321</v>
      </c>
      <c r="R196" s="34"/>
      <c r="S196" s="39"/>
    </row>
    <row r="197" spans="1:19" ht="16" x14ac:dyDescent="0.2">
      <c r="A197" s="31" t="str">
        <f t="shared" si="6"/>
        <v>8905302263215_Gre</v>
      </c>
      <c r="B197" s="40">
        <v>8905302263215</v>
      </c>
      <c r="C197" s="33" t="str">
        <f t="shared" si="7"/>
        <v>8905302263215_Gre_M</v>
      </c>
      <c r="D197" s="34" t="s">
        <v>396</v>
      </c>
      <c r="E197" s="35" t="s">
        <v>27</v>
      </c>
      <c r="F197" s="34" t="s">
        <v>397</v>
      </c>
      <c r="G197" s="36" t="s">
        <v>317</v>
      </c>
      <c r="H197" s="36" t="s">
        <v>318</v>
      </c>
      <c r="I197" s="37" t="s">
        <v>365</v>
      </c>
      <c r="J197" s="38">
        <v>4999</v>
      </c>
      <c r="K197" s="38">
        <v>4999</v>
      </c>
      <c r="L197" s="35">
        <v>61034200</v>
      </c>
      <c r="M197" s="33">
        <v>18</v>
      </c>
      <c r="N197" s="33" t="s">
        <v>337</v>
      </c>
      <c r="O197" s="34" t="s">
        <v>61</v>
      </c>
      <c r="P197" s="34" t="s">
        <v>398</v>
      </c>
      <c r="Q197" s="33" t="s">
        <v>321</v>
      </c>
      <c r="R197" s="34"/>
      <c r="S197" s="39"/>
    </row>
    <row r="198" spans="1:19" ht="16" x14ac:dyDescent="0.2">
      <c r="A198" s="31" t="str">
        <f t="shared" si="6"/>
        <v>8905302263216_Gre</v>
      </c>
      <c r="B198" s="40">
        <v>8905302263216</v>
      </c>
      <c r="C198" s="33" t="str">
        <f t="shared" si="7"/>
        <v>8905302263216_Gre_L</v>
      </c>
      <c r="D198" s="34" t="s">
        <v>396</v>
      </c>
      <c r="E198" s="35" t="s">
        <v>27</v>
      </c>
      <c r="F198" s="34" t="s">
        <v>397</v>
      </c>
      <c r="G198" s="36" t="s">
        <v>317</v>
      </c>
      <c r="H198" s="36" t="s">
        <v>318</v>
      </c>
      <c r="I198" s="37" t="s">
        <v>365</v>
      </c>
      <c r="J198" s="38">
        <v>4999</v>
      </c>
      <c r="K198" s="38">
        <v>4999</v>
      </c>
      <c r="L198" s="35">
        <v>61034200</v>
      </c>
      <c r="M198" s="33">
        <v>18</v>
      </c>
      <c r="N198" s="33" t="s">
        <v>337</v>
      </c>
      <c r="O198" s="34" t="s">
        <v>44</v>
      </c>
      <c r="P198" s="34" t="s">
        <v>398</v>
      </c>
      <c r="Q198" s="33" t="s">
        <v>321</v>
      </c>
      <c r="R198" s="34"/>
      <c r="S198" s="39"/>
    </row>
    <row r="199" spans="1:19" ht="16" x14ac:dyDescent="0.2">
      <c r="A199" s="31" t="str">
        <f t="shared" si="6"/>
        <v>8905302263217_Gre</v>
      </c>
      <c r="B199" s="40">
        <v>8905302263217</v>
      </c>
      <c r="C199" s="33" t="str">
        <f t="shared" si="7"/>
        <v>8905302263217_Gre_XL</v>
      </c>
      <c r="D199" s="34" t="s">
        <v>396</v>
      </c>
      <c r="E199" s="35" t="s">
        <v>27</v>
      </c>
      <c r="F199" s="34" t="s">
        <v>397</v>
      </c>
      <c r="G199" s="36" t="s">
        <v>317</v>
      </c>
      <c r="H199" s="36" t="s">
        <v>318</v>
      </c>
      <c r="I199" s="37" t="s">
        <v>365</v>
      </c>
      <c r="J199" s="38">
        <v>4999</v>
      </c>
      <c r="K199" s="38">
        <v>4999</v>
      </c>
      <c r="L199" s="35">
        <v>61034200</v>
      </c>
      <c r="M199" s="33">
        <v>18</v>
      </c>
      <c r="N199" s="33" t="s">
        <v>337</v>
      </c>
      <c r="O199" s="34" t="s">
        <v>38</v>
      </c>
      <c r="P199" s="34" t="s">
        <v>398</v>
      </c>
      <c r="Q199" s="33" t="s">
        <v>321</v>
      </c>
      <c r="R199" s="34"/>
      <c r="S199" s="39"/>
    </row>
    <row r="200" spans="1:19" ht="16" x14ac:dyDescent="0.2">
      <c r="A200" s="31" t="str">
        <f t="shared" si="6"/>
        <v>8905302263218_Gre</v>
      </c>
      <c r="B200" s="40">
        <v>8905302263218</v>
      </c>
      <c r="C200" s="33" t="str">
        <f t="shared" si="7"/>
        <v>8905302263218_Gre_XXL</v>
      </c>
      <c r="D200" s="34" t="s">
        <v>396</v>
      </c>
      <c r="E200" s="35" t="s">
        <v>27</v>
      </c>
      <c r="F200" s="34" t="s">
        <v>397</v>
      </c>
      <c r="G200" s="36" t="s">
        <v>317</v>
      </c>
      <c r="H200" s="36" t="s">
        <v>318</v>
      </c>
      <c r="I200" s="37" t="s">
        <v>365</v>
      </c>
      <c r="J200" s="38">
        <v>4999</v>
      </c>
      <c r="K200" s="38">
        <v>4999</v>
      </c>
      <c r="L200" s="35">
        <v>61034200</v>
      </c>
      <c r="M200" s="33">
        <v>18</v>
      </c>
      <c r="N200" s="33" t="s">
        <v>337</v>
      </c>
      <c r="O200" s="34" t="s">
        <v>84</v>
      </c>
      <c r="P200" s="34" t="s">
        <v>398</v>
      </c>
      <c r="Q200" s="33" t="s">
        <v>321</v>
      </c>
      <c r="R200" s="34"/>
      <c r="S200" s="39"/>
    </row>
    <row r="201" spans="1:19" ht="16" x14ac:dyDescent="0.2">
      <c r="A201" s="31" t="str">
        <f t="shared" si="6"/>
        <v>8905302263220_Blu</v>
      </c>
      <c r="B201" s="40">
        <v>8905302263220</v>
      </c>
      <c r="C201" s="33" t="str">
        <f t="shared" si="7"/>
        <v>8905302263220_Blu_M</v>
      </c>
      <c r="D201" s="34" t="s">
        <v>399</v>
      </c>
      <c r="E201" s="35" t="s">
        <v>27</v>
      </c>
      <c r="F201" s="34" t="s">
        <v>397</v>
      </c>
      <c r="G201" s="36" t="s">
        <v>317</v>
      </c>
      <c r="H201" s="36" t="s">
        <v>318</v>
      </c>
      <c r="I201" s="37" t="s">
        <v>365</v>
      </c>
      <c r="J201" s="38">
        <v>4999</v>
      </c>
      <c r="K201" s="38">
        <v>4999</v>
      </c>
      <c r="L201" s="35">
        <v>61034200</v>
      </c>
      <c r="M201" s="33">
        <v>18</v>
      </c>
      <c r="N201" s="33" t="s">
        <v>328</v>
      </c>
      <c r="O201" s="34" t="s">
        <v>61</v>
      </c>
      <c r="P201" s="34" t="s">
        <v>388</v>
      </c>
      <c r="Q201" s="33" t="s">
        <v>321</v>
      </c>
      <c r="R201" s="34"/>
      <c r="S201" s="39"/>
    </row>
    <row r="202" spans="1:19" ht="16" x14ac:dyDescent="0.2">
      <c r="A202" s="31" t="str">
        <f t="shared" si="6"/>
        <v>8905302263221_Blu</v>
      </c>
      <c r="B202" s="40">
        <v>8905302263221</v>
      </c>
      <c r="C202" s="33" t="str">
        <f t="shared" si="7"/>
        <v>8905302263221_Blu_L</v>
      </c>
      <c r="D202" s="34" t="s">
        <v>399</v>
      </c>
      <c r="E202" s="35" t="s">
        <v>27</v>
      </c>
      <c r="F202" s="34" t="s">
        <v>397</v>
      </c>
      <c r="G202" s="36" t="s">
        <v>317</v>
      </c>
      <c r="H202" s="36" t="s">
        <v>318</v>
      </c>
      <c r="I202" s="37" t="s">
        <v>365</v>
      </c>
      <c r="J202" s="38">
        <v>4999</v>
      </c>
      <c r="K202" s="38">
        <v>4999</v>
      </c>
      <c r="L202" s="35">
        <v>61034200</v>
      </c>
      <c r="M202" s="33">
        <v>18</v>
      </c>
      <c r="N202" s="33" t="s">
        <v>328</v>
      </c>
      <c r="O202" s="34" t="s">
        <v>44</v>
      </c>
      <c r="P202" s="34" t="s">
        <v>388</v>
      </c>
      <c r="Q202" s="33" t="s">
        <v>321</v>
      </c>
      <c r="R202" s="34"/>
      <c r="S202" s="39"/>
    </row>
    <row r="203" spans="1:19" ht="16" x14ac:dyDescent="0.2">
      <c r="A203" s="31" t="str">
        <f t="shared" si="6"/>
        <v>8905302263222_Blu</v>
      </c>
      <c r="B203" s="40">
        <v>8905302263222</v>
      </c>
      <c r="C203" s="33" t="str">
        <f t="shared" si="7"/>
        <v>8905302263222_Blu_XL</v>
      </c>
      <c r="D203" s="34" t="s">
        <v>399</v>
      </c>
      <c r="E203" s="35" t="s">
        <v>27</v>
      </c>
      <c r="F203" s="34" t="s">
        <v>397</v>
      </c>
      <c r="G203" s="36" t="s">
        <v>317</v>
      </c>
      <c r="H203" s="36" t="s">
        <v>318</v>
      </c>
      <c r="I203" s="37" t="s">
        <v>365</v>
      </c>
      <c r="J203" s="38">
        <v>4999</v>
      </c>
      <c r="K203" s="38">
        <v>4999</v>
      </c>
      <c r="L203" s="35">
        <v>61034200</v>
      </c>
      <c r="M203" s="33">
        <v>18</v>
      </c>
      <c r="N203" s="33" t="s">
        <v>328</v>
      </c>
      <c r="O203" s="34" t="s">
        <v>38</v>
      </c>
      <c r="P203" s="34" t="s">
        <v>388</v>
      </c>
      <c r="Q203" s="33" t="s">
        <v>321</v>
      </c>
      <c r="R203" s="34"/>
      <c r="S203" s="39"/>
    </row>
    <row r="204" spans="1:19" ht="16" x14ac:dyDescent="0.2">
      <c r="A204" s="31" t="str">
        <f t="shared" si="6"/>
        <v>8905302263223_Blu</v>
      </c>
      <c r="B204" s="40">
        <v>8905302263223</v>
      </c>
      <c r="C204" s="33" t="str">
        <f t="shared" si="7"/>
        <v>8905302263223_Blu_XXL</v>
      </c>
      <c r="D204" s="34" t="s">
        <v>399</v>
      </c>
      <c r="E204" s="35" t="s">
        <v>27</v>
      </c>
      <c r="F204" s="34" t="s">
        <v>397</v>
      </c>
      <c r="G204" s="36" t="s">
        <v>317</v>
      </c>
      <c r="H204" s="36" t="s">
        <v>318</v>
      </c>
      <c r="I204" s="37" t="s">
        <v>365</v>
      </c>
      <c r="J204" s="38">
        <v>4999</v>
      </c>
      <c r="K204" s="38">
        <v>4999</v>
      </c>
      <c r="L204" s="35">
        <v>61034200</v>
      </c>
      <c r="M204" s="33">
        <v>18</v>
      </c>
      <c r="N204" s="33" t="s">
        <v>328</v>
      </c>
      <c r="O204" s="34" t="s">
        <v>84</v>
      </c>
      <c r="P204" s="34" t="s">
        <v>388</v>
      </c>
      <c r="Q204" s="33" t="s">
        <v>321</v>
      </c>
      <c r="R204" s="34"/>
      <c r="S204" s="39"/>
    </row>
    <row r="205" spans="1:19" ht="16" x14ac:dyDescent="0.2">
      <c r="A205" s="31" t="str">
        <f t="shared" si="6"/>
        <v>8905302263224_Gre</v>
      </c>
      <c r="B205" s="40">
        <v>8905302263224</v>
      </c>
      <c r="C205" s="33" t="str">
        <f t="shared" si="7"/>
        <v>8905302263224_Gre_M</v>
      </c>
      <c r="D205" s="34" t="s">
        <v>400</v>
      </c>
      <c r="E205" s="35" t="s">
        <v>27</v>
      </c>
      <c r="F205" s="34" t="s">
        <v>34</v>
      </c>
      <c r="G205" s="36" t="s">
        <v>317</v>
      </c>
      <c r="H205" s="36" t="s">
        <v>318</v>
      </c>
      <c r="I205" s="37" t="s">
        <v>401</v>
      </c>
      <c r="J205" s="38">
        <v>5999</v>
      </c>
      <c r="K205" s="38">
        <v>5999</v>
      </c>
      <c r="L205" s="35">
        <v>61034200</v>
      </c>
      <c r="M205" s="33">
        <v>18</v>
      </c>
      <c r="N205" s="33" t="s">
        <v>337</v>
      </c>
      <c r="O205" s="34" t="s">
        <v>61</v>
      </c>
      <c r="P205" s="34" t="s">
        <v>337</v>
      </c>
      <c r="Q205" s="33" t="s">
        <v>321</v>
      </c>
      <c r="R205" s="34"/>
      <c r="S205" s="39"/>
    </row>
    <row r="206" spans="1:19" ht="16" x14ac:dyDescent="0.2">
      <c r="A206" s="31" t="str">
        <f t="shared" si="6"/>
        <v>8905302263225_Gre</v>
      </c>
      <c r="B206" s="40">
        <v>8905302263225</v>
      </c>
      <c r="C206" s="33" t="str">
        <f t="shared" si="7"/>
        <v>8905302263225_Gre_L</v>
      </c>
      <c r="D206" s="34" t="s">
        <v>400</v>
      </c>
      <c r="E206" s="35" t="s">
        <v>27</v>
      </c>
      <c r="F206" s="34" t="s">
        <v>34</v>
      </c>
      <c r="G206" s="36" t="s">
        <v>317</v>
      </c>
      <c r="H206" s="36" t="s">
        <v>318</v>
      </c>
      <c r="I206" s="37" t="s">
        <v>401</v>
      </c>
      <c r="J206" s="38">
        <v>5999</v>
      </c>
      <c r="K206" s="38">
        <v>5999</v>
      </c>
      <c r="L206" s="35">
        <v>61034200</v>
      </c>
      <c r="M206" s="33">
        <v>18</v>
      </c>
      <c r="N206" s="33" t="s">
        <v>337</v>
      </c>
      <c r="O206" s="34" t="s">
        <v>44</v>
      </c>
      <c r="P206" s="34" t="s">
        <v>337</v>
      </c>
      <c r="Q206" s="33" t="s">
        <v>321</v>
      </c>
      <c r="R206" s="34"/>
      <c r="S206" s="39"/>
    </row>
    <row r="207" spans="1:19" ht="16" x14ac:dyDescent="0.2">
      <c r="A207" s="31" t="str">
        <f t="shared" si="6"/>
        <v>8905302263226_Gre</v>
      </c>
      <c r="B207" s="40">
        <v>8905302263226</v>
      </c>
      <c r="C207" s="33" t="str">
        <f t="shared" si="7"/>
        <v>8905302263226_Gre_XL</v>
      </c>
      <c r="D207" s="34" t="s">
        <v>400</v>
      </c>
      <c r="E207" s="35" t="s">
        <v>27</v>
      </c>
      <c r="F207" s="34" t="s">
        <v>34</v>
      </c>
      <c r="G207" s="36" t="s">
        <v>317</v>
      </c>
      <c r="H207" s="36" t="s">
        <v>318</v>
      </c>
      <c r="I207" s="37" t="s">
        <v>401</v>
      </c>
      <c r="J207" s="38">
        <v>5999</v>
      </c>
      <c r="K207" s="38">
        <v>5999</v>
      </c>
      <c r="L207" s="35">
        <v>61034200</v>
      </c>
      <c r="M207" s="33">
        <v>18</v>
      </c>
      <c r="N207" s="33" t="s">
        <v>337</v>
      </c>
      <c r="O207" s="34" t="s">
        <v>38</v>
      </c>
      <c r="P207" s="34" t="s">
        <v>337</v>
      </c>
      <c r="Q207" s="33" t="s">
        <v>321</v>
      </c>
      <c r="R207" s="34"/>
      <c r="S207" s="39"/>
    </row>
    <row r="208" spans="1:19" ht="16" x14ac:dyDescent="0.2">
      <c r="A208" s="31" t="str">
        <f t="shared" si="6"/>
        <v>8905302263227_Oli</v>
      </c>
      <c r="B208" s="40">
        <v>8905302263227</v>
      </c>
      <c r="C208" s="33" t="str">
        <f t="shared" si="7"/>
        <v>8905302263227_Oli_M</v>
      </c>
      <c r="D208" s="34" t="s">
        <v>402</v>
      </c>
      <c r="E208" s="35" t="s">
        <v>27</v>
      </c>
      <c r="F208" s="34" t="s">
        <v>34</v>
      </c>
      <c r="G208" s="36" t="s">
        <v>317</v>
      </c>
      <c r="H208" s="36" t="s">
        <v>318</v>
      </c>
      <c r="I208" s="37" t="s">
        <v>401</v>
      </c>
      <c r="J208" s="38">
        <v>5999</v>
      </c>
      <c r="K208" s="38">
        <v>5999</v>
      </c>
      <c r="L208" s="35">
        <v>61034200</v>
      </c>
      <c r="M208" s="33">
        <v>18</v>
      </c>
      <c r="N208" s="33" t="s">
        <v>403</v>
      </c>
      <c r="O208" s="34" t="s">
        <v>61</v>
      </c>
      <c r="P208" s="34" t="s">
        <v>403</v>
      </c>
      <c r="Q208" s="33" t="s">
        <v>321</v>
      </c>
      <c r="R208" s="34"/>
      <c r="S208" s="39"/>
    </row>
    <row r="209" spans="1:19" ht="16" x14ac:dyDescent="0.2">
      <c r="A209" s="31" t="str">
        <f t="shared" si="6"/>
        <v>8905302263228_Oli</v>
      </c>
      <c r="B209" s="40">
        <v>8905302263228</v>
      </c>
      <c r="C209" s="33" t="str">
        <f t="shared" si="7"/>
        <v>8905302263228_Oli_L</v>
      </c>
      <c r="D209" s="34" t="s">
        <v>402</v>
      </c>
      <c r="E209" s="35" t="s">
        <v>27</v>
      </c>
      <c r="F209" s="34" t="s">
        <v>34</v>
      </c>
      <c r="G209" s="36" t="s">
        <v>317</v>
      </c>
      <c r="H209" s="36" t="s">
        <v>318</v>
      </c>
      <c r="I209" s="37" t="s">
        <v>401</v>
      </c>
      <c r="J209" s="38">
        <v>5999</v>
      </c>
      <c r="K209" s="38">
        <v>5999</v>
      </c>
      <c r="L209" s="35">
        <v>61034200</v>
      </c>
      <c r="M209" s="33">
        <v>18</v>
      </c>
      <c r="N209" s="33" t="s">
        <v>403</v>
      </c>
      <c r="O209" s="34" t="s">
        <v>44</v>
      </c>
      <c r="P209" s="34" t="s">
        <v>403</v>
      </c>
      <c r="Q209" s="33" t="s">
        <v>321</v>
      </c>
      <c r="R209" s="34"/>
      <c r="S209" s="39"/>
    </row>
    <row r="210" spans="1:19" ht="16" x14ac:dyDescent="0.2">
      <c r="A210" s="31" t="str">
        <f t="shared" si="6"/>
        <v>8905302263229_Oli</v>
      </c>
      <c r="B210" s="40">
        <v>8905302263229</v>
      </c>
      <c r="C210" s="33" t="str">
        <f t="shared" si="7"/>
        <v>8905302263229_Oli_XL</v>
      </c>
      <c r="D210" s="34" t="s">
        <v>402</v>
      </c>
      <c r="E210" s="35" t="s">
        <v>27</v>
      </c>
      <c r="F210" s="34" t="s">
        <v>34</v>
      </c>
      <c r="G210" s="36" t="s">
        <v>317</v>
      </c>
      <c r="H210" s="36" t="s">
        <v>318</v>
      </c>
      <c r="I210" s="37" t="s">
        <v>401</v>
      </c>
      <c r="J210" s="38">
        <v>5999</v>
      </c>
      <c r="K210" s="38">
        <v>5999</v>
      </c>
      <c r="L210" s="35">
        <v>61034200</v>
      </c>
      <c r="M210" s="33">
        <v>18</v>
      </c>
      <c r="N210" s="33" t="s">
        <v>403</v>
      </c>
      <c r="O210" s="34" t="s">
        <v>38</v>
      </c>
      <c r="P210" s="34" t="s">
        <v>403</v>
      </c>
      <c r="Q210" s="33" t="s">
        <v>321</v>
      </c>
      <c r="R210" s="34"/>
      <c r="S210" s="39"/>
    </row>
    <row r="211" spans="1:19" ht="16" x14ac:dyDescent="0.2">
      <c r="A211" s="31" t="str">
        <f t="shared" si="6"/>
        <v>8905302263230_Bei</v>
      </c>
      <c r="B211" s="40">
        <v>8905302263230</v>
      </c>
      <c r="C211" s="33" t="str">
        <f t="shared" si="7"/>
        <v>8905302263230_Bei_M</v>
      </c>
      <c r="D211" s="34" t="s">
        <v>404</v>
      </c>
      <c r="E211" s="35" t="s">
        <v>27</v>
      </c>
      <c r="F211" s="34" t="s">
        <v>34</v>
      </c>
      <c r="G211" s="36" t="s">
        <v>317</v>
      </c>
      <c r="H211" s="36" t="s">
        <v>318</v>
      </c>
      <c r="I211" s="37" t="s">
        <v>401</v>
      </c>
      <c r="J211" s="38">
        <v>5999</v>
      </c>
      <c r="K211" s="38">
        <v>5999</v>
      </c>
      <c r="L211" s="35">
        <v>61034200</v>
      </c>
      <c r="M211" s="33">
        <v>18</v>
      </c>
      <c r="N211" s="33" t="s">
        <v>405</v>
      </c>
      <c r="O211" s="34" t="s">
        <v>61</v>
      </c>
      <c r="P211" s="34" t="s">
        <v>405</v>
      </c>
      <c r="Q211" s="33" t="s">
        <v>321</v>
      </c>
      <c r="R211" s="34"/>
      <c r="S211" s="39"/>
    </row>
    <row r="212" spans="1:19" ht="16" x14ac:dyDescent="0.2">
      <c r="A212" s="31" t="str">
        <f t="shared" si="6"/>
        <v>8905302263231_Bei</v>
      </c>
      <c r="B212" s="40">
        <v>8905302263231</v>
      </c>
      <c r="C212" s="33" t="str">
        <f t="shared" si="7"/>
        <v>8905302263231_Bei_L</v>
      </c>
      <c r="D212" s="34" t="s">
        <v>404</v>
      </c>
      <c r="E212" s="35" t="s">
        <v>27</v>
      </c>
      <c r="F212" s="34" t="s">
        <v>34</v>
      </c>
      <c r="G212" s="36" t="s">
        <v>317</v>
      </c>
      <c r="H212" s="36" t="s">
        <v>318</v>
      </c>
      <c r="I212" s="37" t="s">
        <v>401</v>
      </c>
      <c r="J212" s="38">
        <v>5999</v>
      </c>
      <c r="K212" s="38">
        <v>5999</v>
      </c>
      <c r="L212" s="35">
        <v>61034200</v>
      </c>
      <c r="M212" s="33">
        <v>18</v>
      </c>
      <c r="N212" s="33" t="s">
        <v>405</v>
      </c>
      <c r="O212" s="34" t="s">
        <v>44</v>
      </c>
      <c r="P212" s="34" t="s">
        <v>405</v>
      </c>
      <c r="Q212" s="33" t="s">
        <v>321</v>
      </c>
      <c r="R212" s="34"/>
      <c r="S212" s="39"/>
    </row>
    <row r="213" spans="1:19" ht="16" x14ac:dyDescent="0.2">
      <c r="A213" s="31" t="str">
        <f t="shared" si="6"/>
        <v>8905302263232_Bei</v>
      </c>
      <c r="B213" s="40">
        <v>8905302263232</v>
      </c>
      <c r="C213" s="33" t="str">
        <f t="shared" si="7"/>
        <v>8905302263232_Bei_XL</v>
      </c>
      <c r="D213" s="34" t="s">
        <v>404</v>
      </c>
      <c r="E213" s="35" t="s">
        <v>27</v>
      </c>
      <c r="F213" s="34" t="s">
        <v>34</v>
      </c>
      <c r="G213" s="36" t="s">
        <v>317</v>
      </c>
      <c r="H213" s="36" t="s">
        <v>318</v>
      </c>
      <c r="I213" s="37" t="s">
        <v>401</v>
      </c>
      <c r="J213" s="38">
        <v>5999</v>
      </c>
      <c r="K213" s="38">
        <v>5999</v>
      </c>
      <c r="L213" s="35">
        <v>61034200</v>
      </c>
      <c r="M213" s="33">
        <v>18</v>
      </c>
      <c r="N213" s="33" t="s">
        <v>405</v>
      </c>
      <c r="O213" s="34" t="s">
        <v>38</v>
      </c>
      <c r="P213" s="34" t="s">
        <v>405</v>
      </c>
      <c r="Q213" s="33" t="s">
        <v>321</v>
      </c>
      <c r="R213" s="34"/>
      <c r="S213" s="39"/>
    </row>
    <row r="214" spans="1:19" ht="16" x14ac:dyDescent="0.2">
      <c r="A214" s="31" t="str">
        <f t="shared" si="6"/>
        <v>8905302263233_Mus</v>
      </c>
      <c r="B214" s="40">
        <v>8905302263233</v>
      </c>
      <c r="C214" s="33" t="str">
        <f t="shared" si="7"/>
        <v>8905302263233_Mus_M</v>
      </c>
      <c r="D214" s="34" t="s">
        <v>406</v>
      </c>
      <c r="E214" s="35" t="s">
        <v>27</v>
      </c>
      <c r="F214" s="34" t="s">
        <v>34</v>
      </c>
      <c r="G214" s="36" t="s">
        <v>317</v>
      </c>
      <c r="H214" s="36" t="s">
        <v>318</v>
      </c>
      <c r="I214" s="37" t="s">
        <v>401</v>
      </c>
      <c r="J214" s="38">
        <v>5999</v>
      </c>
      <c r="K214" s="38">
        <v>5999</v>
      </c>
      <c r="L214" s="35">
        <v>61034200</v>
      </c>
      <c r="M214" s="33">
        <v>18</v>
      </c>
      <c r="N214" s="33" t="s">
        <v>150</v>
      </c>
      <c r="O214" s="34" t="s">
        <v>61</v>
      </c>
      <c r="P214" s="34" t="s">
        <v>150</v>
      </c>
      <c r="Q214" s="33" t="s">
        <v>321</v>
      </c>
      <c r="R214" s="34"/>
      <c r="S214" s="39"/>
    </row>
    <row r="215" spans="1:19" ht="16" x14ac:dyDescent="0.2">
      <c r="A215" s="31" t="str">
        <f t="shared" si="6"/>
        <v>8905302263234_Mus</v>
      </c>
      <c r="B215" s="40">
        <v>8905302263234</v>
      </c>
      <c r="C215" s="33" t="str">
        <f t="shared" si="7"/>
        <v>8905302263234_Mus_L</v>
      </c>
      <c r="D215" s="34" t="s">
        <v>406</v>
      </c>
      <c r="E215" s="35" t="s">
        <v>27</v>
      </c>
      <c r="F215" s="34" t="s">
        <v>34</v>
      </c>
      <c r="G215" s="36" t="s">
        <v>317</v>
      </c>
      <c r="H215" s="36" t="s">
        <v>318</v>
      </c>
      <c r="I215" s="37" t="s">
        <v>401</v>
      </c>
      <c r="J215" s="38">
        <v>5999</v>
      </c>
      <c r="K215" s="38">
        <v>5999</v>
      </c>
      <c r="L215" s="35">
        <v>61034200</v>
      </c>
      <c r="M215" s="33">
        <v>18</v>
      </c>
      <c r="N215" s="33" t="s">
        <v>150</v>
      </c>
      <c r="O215" s="34" t="s">
        <v>44</v>
      </c>
      <c r="P215" s="34" t="s">
        <v>150</v>
      </c>
      <c r="Q215" s="33" t="s">
        <v>321</v>
      </c>
      <c r="R215" s="34"/>
      <c r="S215" s="39"/>
    </row>
    <row r="216" spans="1:19" ht="16" x14ac:dyDescent="0.2">
      <c r="A216" s="31" t="str">
        <f t="shared" si="6"/>
        <v>8905302263235_Mus</v>
      </c>
      <c r="B216" s="40">
        <v>8905302263235</v>
      </c>
      <c r="C216" s="33" t="str">
        <f t="shared" si="7"/>
        <v>8905302263235_Mus_XL</v>
      </c>
      <c r="D216" s="34" t="s">
        <v>406</v>
      </c>
      <c r="E216" s="35" t="s">
        <v>27</v>
      </c>
      <c r="F216" s="34" t="s">
        <v>34</v>
      </c>
      <c r="G216" s="36" t="s">
        <v>317</v>
      </c>
      <c r="H216" s="36" t="s">
        <v>318</v>
      </c>
      <c r="I216" s="37" t="s">
        <v>401</v>
      </c>
      <c r="J216" s="38">
        <v>5999</v>
      </c>
      <c r="K216" s="38">
        <v>5999</v>
      </c>
      <c r="L216" s="35">
        <v>61034200</v>
      </c>
      <c r="M216" s="33">
        <v>18</v>
      </c>
      <c r="N216" s="33" t="s">
        <v>150</v>
      </c>
      <c r="O216" s="34" t="s">
        <v>38</v>
      </c>
      <c r="P216" s="34" t="s">
        <v>150</v>
      </c>
      <c r="Q216" s="33" t="s">
        <v>321</v>
      </c>
      <c r="R216" s="34"/>
      <c r="S216" s="39"/>
    </row>
    <row r="217" spans="1:19" ht="16" x14ac:dyDescent="0.2">
      <c r="A217" s="31" t="str">
        <f t="shared" si="6"/>
        <v>8905302263236_Cha</v>
      </c>
      <c r="B217" s="40">
        <v>8905302263236</v>
      </c>
      <c r="C217" s="33" t="str">
        <f t="shared" si="7"/>
        <v>8905302263236_Cha_S</v>
      </c>
      <c r="D217" s="34" t="s">
        <v>407</v>
      </c>
      <c r="E217" s="35" t="s">
        <v>27</v>
      </c>
      <c r="F217" s="34" t="s">
        <v>34</v>
      </c>
      <c r="G217" s="36" t="s">
        <v>317</v>
      </c>
      <c r="H217" s="36" t="s">
        <v>318</v>
      </c>
      <c r="I217" s="37" t="s">
        <v>401</v>
      </c>
      <c r="J217" s="38">
        <v>5999</v>
      </c>
      <c r="K217" s="38">
        <v>5999</v>
      </c>
      <c r="L217" s="35">
        <v>61034200</v>
      </c>
      <c r="M217" s="33">
        <v>18</v>
      </c>
      <c r="N217" s="33" t="s">
        <v>381</v>
      </c>
      <c r="O217" s="34" t="s">
        <v>54</v>
      </c>
      <c r="P217" s="34" t="s">
        <v>381</v>
      </c>
      <c r="Q217" s="33" t="s">
        <v>321</v>
      </c>
      <c r="R217" s="34">
        <v>4</v>
      </c>
      <c r="S217" s="39"/>
    </row>
    <row r="218" spans="1:19" ht="16" x14ac:dyDescent="0.2">
      <c r="A218" s="31" t="str">
        <f t="shared" si="6"/>
        <v>8905302263237_Cha</v>
      </c>
      <c r="B218" s="40">
        <v>8905302263237</v>
      </c>
      <c r="C218" s="33" t="str">
        <f t="shared" si="7"/>
        <v>8905302263237_Cha_M</v>
      </c>
      <c r="D218" s="34" t="s">
        <v>407</v>
      </c>
      <c r="E218" s="35" t="s">
        <v>27</v>
      </c>
      <c r="F218" s="34" t="s">
        <v>34</v>
      </c>
      <c r="G218" s="36" t="s">
        <v>317</v>
      </c>
      <c r="H218" s="36" t="s">
        <v>318</v>
      </c>
      <c r="I218" s="37" t="s">
        <v>401</v>
      </c>
      <c r="J218" s="38">
        <v>5999</v>
      </c>
      <c r="K218" s="38">
        <v>5999</v>
      </c>
      <c r="L218" s="35">
        <v>61034200</v>
      </c>
      <c r="M218" s="33">
        <v>18</v>
      </c>
      <c r="N218" s="33" t="s">
        <v>381</v>
      </c>
      <c r="O218" s="34" t="s">
        <v>61</v>
      </c>
      <c r="P218" s="34" t="s">
        <v>381</v>
      </c>
      <c r="Q218" s="33" t="s">
        <v>321</v>
      </c>
      <c r="R218" s="34">
        <v>4</v>
      </c>
      <c r="S218" s="39"/>
    </row>
    <row r="219" spans="1:19" ht="16" x14ac:dyDescent="0.2">
      <c r="A219" s="31" t="str">
        <f t="shared" si="6"/>
        <v>8905302263238_Cha</v>
      </c>
      <c r="B219" s="40">
        <v>8905302263238</v>
      </c>
      <c r="C219" s="33" t="str">
        <f t="shared" si="7"/>
        <v>8905302263238_Cha_L</v>
      </c>
      <c r="D219" s="34" t="s">
        <v>407</v>
      </c>
      <c r="E219" s="35" t="s">
        <v>27</v>
      </c>
      <c r="F219" s="34" t="s">
        <v>34</v>
      </c>
      <c r="G219" s="36" t="s">
        <v>317</v>
      </c>
      <c r="H219" s="36" t="s">
        <v>318</v>
      </c>
      <c r="I219" s="37" t="s">
        <v>401</v>
      </c>
      <c r="J219" s="38">
        <v>5999</v>
      </c>
      <c r="K219" s="38">
        <v>5999</v>
      </c>
      <c r="L219" s="35">
        <v>61034200</v>
      </c>
      <c r="M219" s="33">
        <v>18</v>
      </c>
      <c r="N219" s="33" t="s">
        <v>381</v>
      </c>
      <c r="O219" s="34" t="s">
        <v>44</v>
      </c>
      <c r="P219" s="34" t="s">
        <v>381</v>
      </c>
      <c r="Q219" s="33" t="s">
        <v>321</v>
      </c>
      <c r="R219" s="34">
        <v>2</v>
      </c>
      <c r="S219" s="39"/>
    </row>
    <row r="220" spans="1:19" ht="16" x14ac:dyDescent="0.2">
      <c r="A220" s="31" t="str">
        <f t="shared" si="6"/>
        <v>8905302263239_Cha</v>
      </c>
      <c r="B220" s="40">
        <v>8905302263239</v>
      </c>
      <c r="C220" s="33" t="str">
        <f t="shared" si="7"/>
        <v>8905302263239_Cha_XL</v>
      </c>
      <c r="D220" s="34" t="s">
        <v>407</v>
      </c>
      <c r="E220" s="35" t="s">
        <v>27</v>
      </c>
      <c r="F220" s="34" t="s">
        <v>34</v>
      </c>
      <c r="G220" s="36" t="s">
        <v>317</v>
      </c>
      <c r="H220" s="36" t="s">
        <v>318</v>
      </c>
      <c r="I220" s="37" t="s">
        <v>401</v>
      </c>
      <c r="J220" s="38">
        <v>5999</v>
      </c>
      <c r="K220" s="38">
        <v>5999</v>
      </c>
      <c r="L220" s="35">
        <v>61034200</v>
      </c>
      <c r="M220" s="33">
        <v>18</v>
      </c>
      <c r="N220" s="33" t="s">
        <v>381</v>
      </c>
      <c r="O220" s="34" t="s">
        <v>38</v>
      </c>
      <c r="P220" s="34" t="s">
        <v>381</v>
      </c>
      <c r="Q220" s="33" t="s">
        <v>321</v>
      </c>
      <c r="R220" s="34">
        <v>4</v>
      </c>
      <c r="S220" s="39"/>
    </row>
    <row r="221" spans="1:19" ht="16" x14ac:dyDescent="0.2">
      <c r="A221" s="31" t="str">
        <f t="shared" si="6"/>
        <v>8905302263240_Blu</v>
      </c>
      <c r="B221" s="40">
        <v>8905302263240</v>
      </c>
      <c r="C221" s="33" t="str">
        <f t="shared" si="7"/>
        <v>8905302263240_Blu_S</v>
      </c>
      <c r="D221" s="34" t="s">
        <v>408</v>
      </c>
      <c r="E221" s="35" t="s">
        <v>27</v>
      </c>
      <c r="F221" s="34" t="s">
        <v>34</v>
      </c>
      <c r="G221" s="36" t="s">
        <v>317</v>
      </c>
      <c r="H221" s="36" t="s">
        <v>318</v>
      </c>
      <c r="I221" s="37" t="s">
        <v>401</v>
      </c>
      <c r="J221" s="38">
        <v>5999</v>
      </c>
      <c r="K221" s="38">
        <v>5999</v>
      </c>
      <c r="L221" s="35">
        <v>61034200</v>
      </c>
      <c r="M221" s="33">
        <v>18</v>
      </c>
      <c r="N221" s="33" t="s">
        <v>328</v>
      </c>
      <c r="O221" s="34" t="s">
        <v>54</v>
      </c>
      <c r="P221" s="34" t="s">
        <v>328</v>
      </c>
      <c r="Q221" s="33" t="s">
        <v>321</v>
      </c>
      <c r="R221" s="34">
        <v>1</v>
      </c>
      <c r="S221" s="39"/>
    </row>
    <row r="222" spans="1:19" ht="16" x14ac:dyDescent="0.2">
      <c r="A222" s="31" t="str">
        <f t="shared" si="6"/>
        <v>8905302263241_Blu</v>
      </c>
      <c r="B222" s="40">
        <v>8905302263241</v>
      </c>
      <c r="C222" s="33" t="str">
        <f t="shared" si="7"/>
        <v>8905302263241_Blu_M</v>
      </c>
      <c r="D222" s="34" t="s">
        <v>408</v>
      </c>
      <c r="E222" s="35" t="s">
        <v>27</v>
      </c>
      <c r="F222" s="34" t="s">
        <v>34</v>
      </c>
      <c r="G222" s="36" t="s">
        <v>317</v>
      </c>
      <c r="H222" s="36" t="s">
        <v>318</v>
      </c>
      <c r="I222" s="37" t="s">
        <v>401</v>
      </c>
      <c r="J222" s="38">
        <v>5999</v>
      </c>
      <c r="K222" s="38">
        <v>5999</v>
      </c>
      <c r="L222" s="35">
        <v>61034200</v>
      </c>
      <c r="M222" s="33">
        <v>18</v>
      </c>
      <c r="N222" s="33" t="s">
        <v>328</v>
      </c>
      <c r="O222" s="34" t="s">
        <v>61</v>
      </c>
      <c r="P222" s="34" t="s">
        <v>328</v>
      </c>
      <c r="Q222" s="33" t="s">
        <v>321</v>
      </c>
      <c r="R222" s="34">
        <v>1</v>
      </c>
      <c r="S222" s="39"/>
    </row>
    <row r="223" spans="1:19" ht="16" x14ac:dyDescent="0.2">
      <c r="A223" s="31" t="str">
        <f t="shared" si="6"/>
        <v>8905302263242_Blu</v>
      </c>
      <c r="B223" s="40">
        <v>8905302263242</v>
      </c>
      <c r="C223" s="33" t="str">
        <f t="shared" si="7"/>
        <v>8905302263242_Blu_L</v>
      </c>
      <c r="D223" s="34" t="s">
        <v>408</v>
      </c>
      <c r="E223" s="35" t="s">
        <v>27</v>
      </c>
      <c r="F223" s="34" t="s">
        <v>34</v>
      </c>
      <c r="G223" s="36" t="s">
        <v>317</v>
      </c>
      <c r="H223" s="36" t="s">
        <v>318</v>
      </c>
      <c r="I223" s="37" t="s">
        <v>401</v>
      </c>
      <c r="J223" s="38">
        <v>5999</v>
      </c>
      <c r="K223" s="38">
        <v>5999</v>
      </c>
      <c r="L223" s="35">
        <v>61034200</v>
      </c>
      <c r="M223" s="33">
        <v>18</v>
      </c>
      <c r="N223" s="33" t="s">
        <v>328</v>
      </c>
      <c r="O223" s="34" t="s">
        <v>44</v>
      </c>
      <c r="P223" s="34" t="s">
        <v>328</v>
      </c>
      <c r="Q223" s="33" t="s">
        <v>321</v>
      </c>
      <c r="R223" s="34">
        <v>1</v>
      </c>
      <c r="S223" s="39"/>
    </row>
    <row r="224" spans="1:19" ht="16" x14ac:dyDescent="0.2">
      <c r="A224" s="31" t="str">
        <f t="shared" si="6"/>
        <v>8905302263243_Blu</v>
      </c>
      <c r="B224" s="40">
        <v>8905302263243</v>
      </c>
      <c r="C224" s="33" t="str">
        <f t="shared" si="7"/>
        <v>8905302263243_Blu_XL</v>
      </c>
      <c r="D224" s="34" t="s">
        <v>408</v>
      </c>
      <c r="E224" s="35" t="s">
        <v>27</v>
      </c>
      <c r="F224" s="34" t="s">
        <v>34</v>
      </c>
      <c r="G224" s="36" t="s">
        <v>317</v>
      </c>
      <c r="H224" s="36" t="s">
        <v>318</v>
      </c>
      <c r="I224" s="37" t="s">
        <v>401</v>
      </c>
      <c r="J224" s="38">
        <v>5999</v>
      </c>
      <c r="K224" s="38">
        <v>5999</v>
      </c>
      <c r="L224" s="35">
        <v>61034200</v>
      </c>
      <c r="M224" s="33">
        <v>18</v>
      </c>
      <c r="N224" s="33" t="s">
        <v>328</v>
      </c>
      <c r="O224" s="34" t="s">
        <v>38</v>
      </c>
      <c r="P224" s="34" t="s">
        <v>328</v>
      </c>
      <c r="Q224" s="33" t="s">
        <v>321</v>
      </c>
      <c r="R224" s="34">
        <v>1</v>
      </c>
      <c r="S224" s="39"/>
    </row>
    <row r="225" spans="1:19" ht="16" x14ac:dyDescent="0.2">
      <c r="A225" s="31" t="str">
        <f t="shared" si="6"/>
        <v>8905302263244_Blu</v>
      </c>
      <c r="B225" s="41">
        <v>8905302263244</v>
      </c>
      <c r="C225" s="33" t="str">
        <f t="shared" si="7"/>
        <v>8905302263244_Blu_S</v>
      </c>
      <c r="D225" s="34" t="s">
        <v>151</v>
      </c>
      <c r="E225" s="35" t="s">
        <v>27</v>
      </c>
      <c r="F225" s="31" t="s">
        <v>26</v>
      </c>
      <c r="G225" s="36" t="s">
        <v>317</v>
      </c>
      <c r="H225" s="36" t="s">
        <v>318</v>
      </c>
      <c r="I225" s="37" t="s">
        <v>401</v>
      </c>
      <c r="J225" s="42">
        <v>4495</v>
      </c>
      <c r="K225" s="42">
        <v>4495</v>
      </c>
      <c r="L225" s="35">
        <v>61034200</v>
      </c>
      <c r="M225" s="33">
        <v>18</v>
      </c>
      <c r="N225" s="34" t="s">
        <v>328</v>
      </c>
      <c r="O225" s="34" t="s">
        <v>54</v>
      </c>
      <c r="P225" s="34" t="s">
        <v>328</v>
      </c>
      <c r="Q225" s="43" t="s">
        <v>321</v>
      </c>
      <c r="R225" s="39"/>
      <c r="S225" s="37"/>
    </row>
    <row r="226" spans="1:19" ht="16" x14ac:dyDescent="0.2">
      <c r="A226" s="31" t="str">
        <f t="shared" si="6"/>
        <v>8905302263245_Blu</v>
      </c>
      <c r="B226" s="41">
        <v>8905302263245</v>
      </c>
      <c r="C226" s="33" t="str">
        <f t="shared" si="7"/>
        <v>8905302263245_Blu_L</v>
      </c>
      <c r="D226" s="34" t="s">
        <v>151</v>
      </c>
      <c r="E226" s="35" t="s">
        <v>27</v>
      </c>
      <c r="F226" s="31" t="s">
        <v>26</v>
      </c>
      <c r="G226" s="36" t="s">
        <v>317</v>
      </c>
      <c r="H226" s="36" t="s">
        <v>318</v>
      </c>
      <c r="I226" s="37" t="s">
        <v>401</v>
      </c>
      <c r="J226" s="42">
        <v>4495</v>
      </c>
      <c r="K226" s="42">
        <v>4495</v>
      </c>
      <c r="L226" s="35">
        <v>61034200</v>
      </c>
      <c r="M226" s="33">
        <v>18</v>
      </c>
      <c r="N226" s="34" t="s">
        <v>328</v>
      </c>
      <c r="O226" s="34" t="s">
        <v>44</v>
      </c>
      <c r="P226" s="34" t="s">
        <v>328</v>
      </c>
      <c r="Q226" s="43" t="s">
        <v>409</v>
      </c>
      <c r="R226" s="39"/>
      <c r="S226" s="37"/>
    </row>
    <row r="227" spans="1:19" ht="16" x14ac:dyDescent="0.2">
      <c r="A227" s="31" t="str">
        <f t="shared" si="6"/>
        <v>8905302263246_Blu</v>
      </c>
      <c r="B227" s="41">
        <v>8905302263246</v>
      </c>
      <c r="C227" s="33" t="str">
        <f t="shared" si="7"/>
        <v>8905302263246_Blu_XL</v>
      </c>
      <c r="D227" s="34" t="s">
        <v>151</v>
      </c>
      <c r="E227" s="35" t="s">
        <v>27</v>
      </c>
      <c r="F227" s="31" t="s">
        <v>26</v>
      </c>
      <c r="G227" s="36" t="s">
        <v>317</v>
      </c>
      <c r="H227" s="36" t="s">
        <v>318</v>
      </c>
      <c r="I227" s="37" t="s">
        <v>401</v>
      </c>
      <c r="J227" s="42">
        <v>4495</v>
      </c>
      <c r="K227" s="42">
        <v>4495</v>
      </c>
      <c r="L227" s="35">
        <v>61034200</v>
      </c>
      <c r="M227" s="33">
        <v>18</v>
      </c>
      <c r="N227" s="34" t="s">
        <v>328</v>
      </c>
      <c r="O227" s="34" t="s">
        <v>38</v>
      </c>
      <c r="P227" s="34" t="s">
        <v>328</v>
      </c>
      <c r="Q227" s="43" t="s">
        <v>409</v>
      </c>
      <c r="R227" s="39"/>
      <c r="S227" s="37"/>
    </row>
    <row r="228" spans="1:19" ht="16" x14ac:dyDescent="0.2">
      <c r="A228" s="31" t="str">
        <f t="shared" si="6"/>
        <v>8905302263247_Blu</v>
      </c>
      <c r="B228" s="41">
        <v>8905302263247</v>
      </c>
      <c r="C228" s="33" t="str">
        <f t="shared" si="7"/>
        <v>8905302263247_Blu_XXL</v>
      </c>
      <c r="D228" s="34" t="s">
        <v>151</v>
      </c>
      <c r="E228" s="35" t="s">
        <v>27</v>
      </c>
      <c r="F228" s="31" t="s">
        <v>26</v>
      </c>
      <c r="G228" s="36" t="s">
        <v>317</v>
      </c>
      <c r="H228" s="36" t="s">
        <v>318</v>
      </c>
      <c r="I228" s="37" t="s">
        <v>401</v>
      </c>
      <c r="J228" s="42">
        <v>4495</v>
      </c>
      <c r="K228" s="42">
        <v>4495</v>
      </c>
      <c r="L228" s="35">
        <v>61034200</v>
      </c>
      <c r="M228" s="33">
        <v>18</v>
      </c>
      <c r="N228" s="34" t="s">
        <v>328</v>
      </c>
      <c r="O228" s="34" t="s">
        <v>84</v>
      </c>
      <c r="P228" s="34" t="s">
        <v>328</v>
      </c>
      <c r="Q228" s="43" t="s">
        <v>409</v>
      </c>
      <c r="R228" s="39"/>
      <c r="S228" s="37"/>
    </row>
    <row r="229" spans="1:19" ht="16" x14ac:dyDescent="0.2">
      <c r="A229" s="31" t="str">
        <f t="shared" si="6"/>
        <v>8905302263248_Blu</v>
      </c>
      <c r="B229" s="41">
        <v>8905302263248</v>
      </c>
      <c r="C229" s="33" t="str">
        <f t="shared" si="7"/>
        <v>8905302263248_Blu_XL</v>
      </c>
      <c r="D229" s="34" t="s">
        <v>393</v>
      </c>
      <c r="E229" s="35" t="s">
        <v>27</v>
      </c>
      <c r="F229" s="34" t="s">
        <v>377</v>
      </c>
      <c r="G229" s="36" t="s">
        <v>317</v>
      </c>
      <c r="H229" s="36" t="s">
        <v>318</v>
      </c>
      <c r="I229" s="37" t="s">
        <v>401</v>
      </c>
      <c r="J229" s="42">
        <v>5999</v>
      </c>
      <c r="K229" s="42">
        <v>5999</v>
      </c>
      <c r="L229" s="35">
        <v>61034200</v>
      </c>
      <c r="M229" s="33">
        <v>18</v>
      </c>
      <c r="N229" s="34" t="s">
        <v>328</v>
      </c>
      <c r="O229" s="34" t="s">
        <v>38</v>
      </c>
      <c r="P229" s="34" t="s">
        <v>328</v>
      </c>
      <c r="Q229" s="43" t="s">
        <v>409</v>
      </c>
      <c r="R229" s="39"/>
      <c r="S229" s="37"/>
    </row>
    <row r="230" spans="1:19" ht="16" x14ac:dyDescent="0.2">
      <c r="A230" s="31" t="str">
        <f t="shared" si="6"/>
        <v>8905302263249_Blu</v>
      </c>
      <c r="B230" s="41">
        <v>8905302263249</v>
      </c>
      <c r="C230" s="33" t="str">
        <f t="shared" si="7"/>
        <v>8905302263249_Blu_XXL</v>
      </c>
      <c r="D230" s="34" t="s">
        <v>394</v>
      </c>
      <c r="E230" s="35" t="s">
        <v>27</v>
      </c>
      <c r="F230" s="34" t="s">
        <v>377</v>
      </c>
      <c r="G230" s="36" t="s">
        <v>317</v>
      </c>
      <c r="H230" s="36" t="s">
        <v>318</v>
      </c>
      <c r="I230" s="37" t="s">
        <v>401</v>
      </c>
      <c r="J230" s="42">
        <v>5999</v>
      </c>
      <c r="K230" s="42">
        <v>5999</v>
      </c>
      <c r="L230" s="35">
        <v>61034200</v>
      </c>
      <c r="M230" s="33">
        <v>18</v>
      </c>
      <c r="N230" s="34" t="s">
        <v>328</v>
      </c>
      <c r="O230" s="34" t="s">
        <v>84</v>
      </c>
      <c r="P230" s="34" t="s">
        <v>328</v>
      </c>
      <c r="Q230" s="43" t="s">
        <v>409</v>
      </c>
      <c r="R230" s="39"/>
      <c r="S230" s="37"/>
    </row>
    <row r="231" spans="1:19" ht="16" x14ac:dyDescent="0.2">
      <c r="A231" s="31" t="str">
        <f t="shared" si="6"/>
        <v>8905302263250_Bla</v>
      </c>
      <c r="B231" s="41">
        <v>8905302263250</v>
      </c>
      <c r="C231" s="33" t="str">
        <f t="shared" ref="C231:C294" si="8">B231 &amp; "_" &amp; LEFT(N231,3) &amp; "_" &amp; O231</f>
        <v>8905302263250_Bla_S</v>
      </c>
      <c r="D231" s="34" t="s">
        <v>490</v>
      </c>
      <c r="E231" s="35" t="s">
        <v>27</v>
      </c>
      <c r="F231" s="34" t="s">
        <v>34</v>
      </c>
      <c r="G231" s="36" t="s">
        <v>317</v>
      </c>
      <c r="H231" s="36" t="s">
        <v>318</v>
      </c>
      <c r="I231" s="37" t="s">
        <v>401</v>
      </c>
      <c r="J231" s="42">
        <v>4999</v>
      </c>
      <c r="K231" s="42">
        <v>4999</v>
      </c>
      <c r="L231" s="35">
        <v>61034200</v>
      </c>
      <c r="M231" s="33">
        <v>18</v>
      </c>
      <c r="N231" s="34" t="s">
        <v>326</v>
      </c>
      <c r="O231" s="34" t="s">
        <v>54</v>
      </c>
      <c r="P231" s="34" t="s">
        <v>326</v>
      </c>
      <c r="Q231" s="39" t="s">
        <v>321</v>
      </c>
      <c r="R231" s="44">
        <v>4</v>
      </c>
      <c r="S231" s="37"/>
    </row>
    <row r="232" spans="1:19" ht="16" x14ac:dyDescent="0.2">
      <c r="A232" s="31" t="str">
        <f t="shared" si="6"/>
        <v>8905302263251_Bla</v>
      </c>
      <c r="B232" s="41">
        <v>8905302263251</v>
      </c>
      <c r="C232" s="33" t="str">
        <f t="shared" si="8"/>
        <v>8905302263251_Bla_M</v>
      </c>
      <c r="D232" s="34" t="s">
        <v>490</v>
      </c>
      <c r="E232" s="35" t="s">
        <v>27</v>
      </c>
      <c r="F232" s="34" t="s">
        <v>34</v>
      </c>
      <c r="G232" s="36" t="s">
        <v>317</v>
      </c>
      <c r="H232" s="36" t="s">
        <v>318</v>
      </c>
      <c r="I232" s="37" t="s">
        <v>401</v>
      </c>
      <c r="J232" s="42">
        <v>4999</v>
      </c>
      <c r="K232" s="42">
        <v>4999</v>
      </c>
      <c r="L232" s="35">
        <v>61034200</v>
      </c>
      <c r="M232" s="33">
        <v>18</v>
      </c>
      <c r="N232" s="34" t="s">
        <v>326</v>
      </c>
      <c r="O232" s="34" t="s">
        <v>61</v>
      </c>
      <c r="P232" s="34" t="s">
        <v>326</v>
      </c>
      <c r="Q232" s="39" t="s">
        <v>321</v>
      </c>
      <c r="R232" s="44">
        <v>4</v>
      </c>
      <c r="S232" s="37"/>
    </row>
    <row r="233" spans="1:19" ht="16" x14ac:dyDescent="0.2">
      <c r="A233" s="31" t="str">
        <f t="shared" si="6"/>
        <v>8905302263252_Bla</v>
      </c>
      <c r="B233" s="41">
        <v>8905302263252</v>
      </c>
      <c r="C233" s="33" t="str">
        <f t="shared" si="8"/>
        <v>8905302263252_Bla_L</v>
      </c>
      <c r="D233" s="34" t="s">
        <v>490</v>
      </c>
      <c r="E233" s="35" t="s">
        <v>27</v>
      </c>
      <c r="F233" s="34" t="s">
        <v>34</v>
      </c>
      <c r="G233" s="36" t="s">
        <v>317</v>
      </c>
      <c r="H233" s="36" t="s">
        <v>318</v>
      </c>
      <c r="I233" s="37" t="s">
        <v>401</v>
      </c>
      <c r="J233" s="42">
        <v>4999</v>
      </c>
      <c r="K233" s="42">
        <v>4999</v>
      </c>
      <c r="L233" s="35">
        <v>61034200</v>
      </c>
      <c r="M233" s="33">
        <v>18</v>
      </c>
      <c r="N233" s="34" t="s">
        <v>326</v>
      </c>
      <c r="O233" s="34" t="s">
        <v>44</v>
      </c>
      <c r="P233" s="34" t="s">
        <v>326</v>
      </c>
      <c r="Q233" s="39" t="s">
        <v>321</v>
      </c>
      <c r="R233" s="44">
        <v>4</v>
      </c>
      <c r="S233" s="37"/>
    </row>
    <row r="234" spans="1:19" ht="16" x14ac:dyDescent="0.2">
      <c r="A234" s="31" t="str">
        <f t="shared" si="6"/>
        <v>8905302263253_Gre</v>
      </c>
      <c r="B234" s="41">
        <v>8905302263253</v>
      </c>
      <c r="C234" s="33" t="str">
        <f t="shared" si="8"/>
        <v>8905302263253_Gre_S</v>
      </c>
      <c r="D234" s="34" t="s">
        <v>491</v>
      </c>
      <c r="E234" s="35" t="s">
        <v>27</v>
      </c>
      <c r="F234" s="34" t="s">
        <v>34</v>
      </c>
      <c r="G234" s="36" t="s">
        <v>317</v>
      </c>
      <c r="H234" s="36" t="s">
        <v>318</v>
      </c>
      <c r="I234" s="37" t="s">
        <v>401</v>
      </c>
      <c r="J234" s="42">
        <v>4999</v>
      </c>
      <c r="K234" s="42">
        <v>4999</v>
      </c>
      <c r="L234" s="35">
        <v>61034200</v>
      </c>
      <c r="M234" s="33">
        <v>18</v>
      </c>
      <c r="N234" s="34" t="s">
        <v>492</v>
      </c>
      <c r="O234" s="34" t="s">
        <v>54</v>
      </c>
      <c r="P234" s="34" t="s">
        <v>492</v>
      </c>
      <c r="Q234" s="39" t="s">
        <v>321</v>
      </c>
      <c r="R234" s="44">
        <v>2</v>
      </c>
      <c r="S234" s="37"/>
    </row>
    <row r="235" spans="1:19" ht="16" x14ac:dyDescent="0.2">
      <c r="A235" s="31" t="str">
        <f t="shared" si="6"/>
        <v>8905302263254_Gre</v>
      </c>
      <c r="B235" s="41">
        <v>8905302263254</v>
      </c>
      <c r="C235" s="33" t="str">
        <f t="shared" si="8"/>
        <v>8905302263254_Gre_M</v>
      </c>
      <c r="D235" s="34" t="s">
        <v>491</v>
      </c>
      <c r="E235" s="35" t="s">
        <v>27</v>
      </c>
      <c r="F235" s="34" t="s">
        <v>34</v>
      </c>
      <c r="G235" s="36" t="s">
        <v>317</v>
      </c>
      <c r="H235" s="36" t="s">
        <v>318</v>
      </c>
      <c r="I235" s="37" t="s">
        <v>401</v>
      </c>
      <c r="J235" s="42">
        <v>4999</v>
      </c>
      <c r="K235" s="42">
        <v>4999</v>
      </c>
      <c r="L235" s="35">
        <v>61034200</v>
      </c>
      <c r="M235" s="33">
        <v>18</v>
      </c>
      <c r="N235" s="34" t="s">
        <v>492</v>
      </c>
      <c r="O235" s="34" t="s">
        <v>61</v>
      </c>
      <c r="P235" s="34" t="s">
        <v>492</v>
      </c>
      <c r="Q235" s="39" t="s">
        <v>321</v>
      </c>
      <c r="R235" s="44">
        <v>2</v>
      </c>
      <c r="S235" s="37"/>
    </row>
    <row r="236" spans="1:19" ht="16" x14ac:dyDescent="0.2">
      <c r="A236" s="31" t="str">
        <f t="shared" si="6"/>
        <v>8905302263255_Gre</v>
      </c>
      <c r="B236" s="41">
        <v>8905302263255</v>
      </c>
      <c r="C236" s="33" t="str">
        <f t="shared" si="8"/>
        <v>8905302263255_Gre_L</v>
      </c>
      <c r="D236" s="34" t="s">
        <v>491</v>
      </c>
      <c r="E236" s="35" t="s">
        <v>27</v>
      </c>
      <c r="F236" s="34" t="s">
        <v>34</v>
      </c>
      <c r="G236" s="36" t="s">
        <v>317</v>
      </c>
      <c r="H236" s="36" t="s">
        <v>318</v>
      </c>
      <c r="I236" s="37" t="s">
        <v>401</v>
      </c>
      <c r="J236" s="45">
        <v>4999</v>
      </c>
      <c r="K236" s="45">
        <v>4999</v>
      </c>
      <c r="L236" s="35">
        <v>61034200</v>
      </c>
      <c r="M236" s="33">
        <v>18</v>
      </c>
      <c r="N236" s="34" t="s">
        <v>492</v>
      </c>
      <c r="O236" s="34" t="s">
        <v>44</v>
      </c>
      <c r="P236" s="34" t="s">
        <v>492</v>
      </c>
      <c r="Q236" s="39" t="s">
        <v>321</v>
      </c>
      <c r="R236" s="44">
        <v>2</v>
      </c>
      <c r="S236" s="37"/>
    </row>
    <row r="237" spans="1:19" ht="16" x14ac:dyDescent="0.2">
      <c r="A237" s="31" t="str">
        <f t="shared" si="6"/>
        <v>8905302263256_Gre</v>
      </c>
      <c r="B237" s="41">
        <v>8905302263256</v>
      </c>
      <c r="C237" s="33" t="str">
        <f t="shared" si="8"/>
        <v>8905302263256_Gre_M</v>
      </c>
      <c r="D237" s="34" t="s">
        <v>493</v>
      </c>
      <c r="E237" s="35" t="s">
        <v>27</v>
      </c>
      <c r="F237" s="34" t="s">
        <v>34</v>
      </c>
      <c r="G237" s="36" t="s">
        <v>317</v>
      </c>
      <c r="H237" s="36" t="s">
        <v>318</v>
      </c>
      <c r="I237" s="37" t="s">
        <v>401</v>
      </c>
      <c r="J237" s="42">
        <v>5999</v>
      </c>
      <c r="K237" s="42">
        <v>5999</v>
      </c>
      <c r="L237" s="35">
        <v>61034200</v>
      </c>
      <c r="M237" s="33">
        <v>18</v>
      </c>
      <c r="N237" s="34" t="s">
        <v>337</v>
      </c>
      <c r="O237" s="34" t="s">
        <v>61</v>
      </c>
      <c r="P237" s="34" t="s">
        <v>337</v>
      </c>
      <c r="Q237" s="39" t="s">
        <v>321</v>
      </c>
      <c r="R237" s="44">
        <v>3</v>
      </c>
      <c r="S237" s="37"/>
    </row>
    <row r="238" spans="1:19" ht="16" x14ac:dyDescent="0.2">
      <c r="A238" s="31" t="str">
        <f t="shared" si="6"/>
        <v>8905302263257_Gre</v>
      </c>
      <c r="B238" s="41">
        <v>8905302263257</v>
      </c>
      <c r="C238" s="33" t="str">
        <f t="shared" si="8"/>
        <v>8905302263257_Gre_L</v>
      </c>
      <c r="D238" s="34" t="s">
        <v>493</v>
      </c>
      <c r="E238" s="35" t="s">
        <v>27</v>
      </c>
      <c r="F238" s="34" t="s">
        <v>34</v>
      </c>
      <c r="G238" s="36" t="s">
        <v>317</v>
      </c>
      <c r="H238" s="36" t="s">
        <v>318</v>
      </c>
      <c r="I238" s="37" t="s">
        <v>401</v>
      </c>
      <c r="J238" s="42">
        <v>5999</v>
      </c>
      <c r="K238" s="42">
        <v>5999</v>
      </c>
      <c r="L238" s="35">
        <v>61034200</v>
      </c>
      <c r="M238" s="33">
        <v>18</v>
      </c>
      <c r="N238" s="34" t="s">
        <v>337</v>
      </c>
      <c r="O238" s="34" t="s">
        <v>44</v>
      </c>
      <c r="P238" s="34" t="s">
        <v>337</v>
      </c>
      <c r="Q238" s="39" t="s">
        <v>321</v>
      </c>
      <c r="R238" s="44">
        <v>3</v>
      </c>
      <c r="S238" s="37"/>
    </row>
    <row r="239" spans="1:19" ht="16" x14ac:dyDescent="0.2">
      <c r="A239" s="31" t="str">
        <f t="shared" si="6"/>
        <v>8905302263258_Gre</v>
      </c>
      <c r="B239" s="41">
        <v>8905302263258</v>
      </c>
      <c r="C239" s="33" t="str">
        <f t="shared" si="8"/>
        <v>8905302263258_Gre_XL</v>
      </c>
      <c r="D239" s="34" t="s">
        <v>493</v>
      </c>
      <c r="E239" s="35" t="s">
        <v>27</v>
      </c>
      <c r="F239" s="34" t="s">
        <v>34</v>
      </c>
      <c r="G239" s="36" t="s">
        <v>317</v>
      </c>
      <c r="H239" s="36" t="s">
        <v>318</v>
      </c>
      <c r="I239" s="37" t="s">
        <v>401</v>
      </c>
      <c r="J239" s="42">
        <v>5999</v>
      </c>
      <c r="K239" s="42">
        <v>5999</v>
      </c>
      <c r="L239" s="35">
        <v>61034200</v>
      </c>
      <c r="M239" s="33">
        <v>18</v>
      </c>
      <c r="N239" s="34" t="s">
        <v>337</v>
      </c>
      <c r="O239" s="34" t="s">
        <v>38</v>
      </c>
      <c r="P239" s="34" t="s">
        <v>337</v>
      </c>
      <c r="Q239" s="39" t="s">
        <v>321</v>
      </c>
      <c r="R239" s="44">
        <v>3</v>
      </c>
      <c r="S239" s="37"/>
    </row>
    <row r="240" spans="1:19" x14ac:dyDescent="0.2">
      <c r="A240" s="31" t="str">
        <f t="shared" si="6"/>
        <v>8905302263259_Blu</v>
      </c>
      <c r="B240" s="41">
        <v>8905302263259</v>
      </c>
      <c r="C240" s="33" t="str">
        <f t="shared" si="8"/>
        <v>8905302263259_Blu_S</v>
      </c>
      <c r="D240" s="34" t="s">
        <v>494</v>
      </c>
      <c r="E240" s="35" t="s">
        <v>27</v>
      </c>
      <c r="F240" s="37" t="s">
        <v>34</v>
      </c>
      <c r="G240" s="36" t="s">
        <v>317</v>
      </c>
      <c r="H240" s="36" t="s">
        <v>318</v>
      </c>
      <c r="I240" s="37" t="s">
        <v>401</v>
      </c>
      <c r="J240" s="37">
        <v>5999</v>
      </c>
      <c r="K240" s="37">
        <v>5999</v>
      </c>
      <c r="L240" s="35">
        <v>61034200</v>
      </c>
      <c r="M240" s="33">
        <v>18</v>
      </c>
      <c r="N240" s="34" t="s">
        <v>328</v>
      </c>
      <c r="O240" s="34" t="s">
        <v>54</v>
      </c>
      <c r="P240" s="34" t="s">
        <v>328</v>
      </c>
      <c r="Q240" s="39" t="s">
        <v>321</v>
      </c>
      <c r="R240" s="44">
        <v>2</v>
      </c>
      <c r="S240" s="37"/>
    </row>
    <row r="241" spans="1:19" x14ac:dyDescent="0.2">
      <c r="A241" s="31" t="str">
        <f t="shared" si="6"/>
        <v>8905302263260_Blu</v>
      </c>
      <c r="B241" s="41">
        <v>8905302263260</v>
      </c>
      <c r="C241" s="33" t="str">
        <f t="shared" si="8"/>
        <v>8905302263260_Blu_M</v>
      </c>
      <c r="D241" s="34" t="s">
        <v>494</v>
      </c>
      <c r="E241" s="35" t="s">
        <v>27</v>
      </c>
      <c r="F241" s="37" t="s">
        <v>34</v>
      </c>
      <c r="G241" s="36" t="s">
        <v>317</v>
      </c>
      <c r="H241" s="36" t="s">
        <v>318</v>
      </c>
      <c r="I241" s="37" t="s">
        <v>401</v>
      </c>
      <c r="J241" s="37">
        <v>5999</v>
      </c>
      <c r="K241" s="37">
        <v>5999</v>
      </c>
      <c r="L241" s="35">
        <v>61034200</v>
      </c>
      <c r="M241" s="33">
        <v>18</v>
      </c>
      <c r="N241" s="34" t="s">
        <v>328</v>
      </c>
      <c r="O241" s="34" t="s">
        <v>61</v>
      </c>
      <c r="P241" s="34" t="s">
        <v>328</v>
      </c>
      <c r="Q241" s="39" t="s">
        <v>321</v>
      </c>
      <c r="R241" s="44">
        <v>2</v>
      </c>
      <c r="S241" s="37"/>
    </row>
    <row r="242" spans="1:19" x14ac:dyDescent="0.2">
      <c r="A242" s="31" t="str">
        <f t="shared" si="6"/>
        <v>8905302263261_Blu</v>
      </c>
      <c r="B242" s="41">
        <v>8905302263261</v>
      </c>
      <c r="C242" s="33" t="str">
        <f t="shared" si="8"/>
        <v>8905302263261_Blu_L</v>
      </c>
      <c r="D242" s="34" t="s">
        <v>494</v>
      </c>
      <c r="E242" s="35" t="s">
        <v>27</v>
      </c>
      <c r="F242" s="37" t="s">
        <v>34</v>
      </c>
      <c r="G242" s="36" t="s">
        <v>317</v>
      </c>
      <c r="H242" s="36" t="s">
        <v>318</v>
      </c>
      <c r="I242" s="37" t="s">
        <v>401</v>
      </c>
      <c r="J242" s="37">
        <v>5999</v>
      </c>
      <c r="K242" s="37">
        <v>5999</v>
      </c>
      <c r="L242" s="35">
        <v>61034200</v>
      </c>
      <c r="M242" s="33">
        <v>18</v>
      </c>
      <c r="N242" s="34" t="s">
        <v>328</v>
      </c>
      <c r="O242" s="34" t="s">
        <v>44</v>
      </c>
      <c r="P242" s="34" t="s">
        <v>328</v>
      </c>
      <c r="Q242" s="39" t="s">
        <v>321</v>
      </c>
      <c r="R242" s="44">
        <v>2</v>
      </c>
      <c r="S242" s="37"/>
    </row>
    <row r="243" spans="1:19" x14ac:dyDescent="0.2">
      <c r="A243" s="31" t="str">
        <f t="shared" si="6"/>
        <v>8905302263262_Blu</v>
      </c>
      <c r="B243" s="41">
        <v>8905302263262</v>
      </c>
      <c r="C243" s="33" t="str">
        <f t="shared" si="8"/>
        <v>8905302263262_Blu_S</v>
      </c>
      <c r="D243" s="34" t="s">
        <v>495</v>
      </c>
      <c r="E243" s="35" t="s">
        <v>27</v>
      </c>
      <c r="F243" s="37" t="s">
        <v>34</v>
      </c>
      <c r="G243" s="36" t="s">
        <v>317</v>
      </c>
      <c r="H243" s="36" t="s">
        <v>318</v>
      </c>
      <c r="I243" s="37" t="s">
        <v>401</v>
      </c>
      <c r="J243" s="37">
        <v>4999</v>
      </c>
      <c r="K243" s="37">
        <v>4999</v>
      </c>
      <c r="L243" s="35">
        <v>61034200</v>
      </c>
      <c r="M243" s="33">
        <v>18</v>
      </c>
      <c r="N243" s="34" t="s">
        <v>328</v>
      </c>
      <c r="O243" s="34" t="s">
        <v>54</v>
      </c>
      <c r="P243" s="34" t="s">
        <v>328</v>
      </c>
      <c r="Q243" s="39" t="s">
        <v>321</v>
      </c>
      <c r="R243" s="44">
        <v>4</v>
      </c>
      <c r="S243" s="37"/>
    </row>
    <row r="244" spans="1:19" x14ac:dyDescent="0.2">
      <c r="A244" s="31" t="str">
        <f t="shared" si="6"/>
        <v>8905302263263_Blu</v>
      </c>
      <c r="B244" s="41">
        <v>8905302263263</v>
      </c>
      <c r="C244" s="33" t="str">
        <f t="shared" si="8"/>
        <v>8905302263263_Blu_M</v>
      </c>
      <c r="D244" s="34" t="s">
        <v>495</v>
      </c>
      <c r="E244" s="35" t="s">
        <v>27</v>
      </c>
      <c r="F244" s="37" t="s">
        <v>34</v>
      </c>
      <c r="G244" s="36" t="s">
        <v>317</v>
      </c>
      <c r="H244" s="36" t="s">
        <v>318</v>
      </c>
      <c r="I244" s="37" t="s">
        <v>401</v>
      </c>
      <c r="J244" s="37">
        <v>4999</v>
      </c>
      <c r="K244" s="37">
        <v>4999</v>
      </c>
      <c r="L244" s="35">
        <v>61034200</v>
      </c>
      <c r="M244" s="33">
        <v>18</v>
      </c>
      <c r="N244" s="34" t="s">
        <v>328</v>
      </c>
      <c r="O244" s="34" t="s">
        <v>61</v>
      </c>
      <c r="P244" s="34" t="s">
        <v>328</v>
      </c>
      <c r="Q244" s="39" t="s">
        <v>321</v>
      </c>
      <c r="R244" s="44">
        <v>4</v>
      </c>
      <c r="S244" s="37"/>
    </row>
    <row r="245" spans="1:19" x14ac:dyDescent="0.2">
      <c r="A245" s="31" t="str">
        <f t="shared" si="6"/>
        <v>8905302263264_Blu</v>
      </c>
      <c r="B245" s="41">
        <v>8905302263264</v>
      </c>
      <c r="C245" s="33" t="str">
        <f t="shared" si="8"/>
        <v>8905302263264_Blu_L</v>
      </c>
      <c r="D245" s="34" t="s">
        <v>495</v>
      </c>
      <c r="E245" s="35" t="s">
        <v>27</v>
      </c>
      <c r="F245" s="37" t="s">
        <v>34</v>
      </c>
      <c r="G245" s="36" t="s">
        <v>317</v>
      </c>
      <c r="H245" s="36" t="s">
        <v>318</v>
      </c>
      <c r="I245" s="37" t="s">
        <v>401</v>
      </c>
      <c r="J245" s="37">
        <v>4999</v>
      </c>
      <c r="K245" s="37">
        <v>4999</v>
      </c>
      <c r="L245" s="35">
        <v>61034200</v>
      </c>
      <c r="M245" s="33">
        <v>18</v>
      </c>
      <c r="N245" s="34" t="s">
        <v>328</v>
      </c>
      <c r="O245" s="34" t="s">
        <v>44</v>
      </c>
      <c r="P245" s="34" t="s">
        <v>328</v>
      </c>
      <c r="Q245" s="39" t="s">
        <v>321</v>
      </c>
      <c r="R245" s="44">
        <v>4</v>
      </c>
      <c r="S245" s="37"/>
    </row>
    <row r="246" spans="1:19" x14ac:dyDescent="0.2">
      <c r="A246" s="31" t="str">
        <f t="shared" si="6"/>
        <v>8905302263265_</v>
      </c>
      <c r="B246" s="41">
        <v>8905302263265</v>
      </c>
      <c r="C246" s="33" t="str">
        <f t="shared" si="8"/>
        <v>8905302263265__</v>
      </c>
      <c r="D246" s="34"/>
      <c r="E246" s="35"/>
      <c r="F246" s="37"/>
      <c r="G246" s="36"/>
      <c r="H246" s="36"/>
      <c r="I246" s="37"/>
      <c r="J246" s="37"/>
      <c r="K246" s="37"/>
      <c r="L246" s="35"/>
      <c r="M246" s="33"/>
      <c r="N246" s="34"/>
      <c r="O246" s="34"/>
      <c r="P246" s="34"/>
      <c r="Q246" s="39"/>
      <c r="R246" s="44"/>
      <c r="S246" s="37"/>
    </row>
    <row r="247" spans="1:19" x14ac:dyDescent="0.2">
      <c r="A247" s="31" t="str">
        <f t="shared" si="6"/>
        <v>8905302263266_</v>
      </c>
      <c r="B247" s="41">
        <v>8905302263266</v>
      </c>
      <c r="C247" s="33" t="str">
        <f t="shared" si="8"/>
        <v>8905302263266__</v>
      </c>
      <c r="D247" s="34"/>
      <c r="E247" s="35"/>
      <c r="F247" s="37"/>
      <c r="G247" s="36"/>
      <c r="H247" s="36"/>
      <c r="I247" s="37"/>
      <c r="J247" s="37"/>
      <c r="K247" s="37"/>
      <c r="L247" s="35"/>
      <c r="M247" s="33"/>
      <c r="N247" s="34"/>
      <c r="O247" s="34"/>
      <c r="P247" s="34"/>
      <c r="Q247" s="39"/>
      <c r="R247" s="44"/>
      <c r="S247" s="37"/>
    </row>
    <row r="248" spans="1:19" x14ac:dyDescent="0.2">
      <c r="A248" s="31" t="str">
        <f t="shared" si="6"/>
        <v>8905302263267_</v>
      </c>
      <c r="B248" s="41">
        <v>8905302263267</v>
      </c>
      <c r="C248" s="33" t="str">
        <f t="shared" si="8"/>
        <v>8905302263267__</v>
      </c>
      <c r="D248" s="34"/>
      <c r="E248" s="35"/>
      <c r="F248" s="37"/>
      <c r="G248" s="36"/>
      <c r="H248" s="36"/>
      <c r="I248" s="37"/>
      <c r="J248" s="37"/>
      <c r="K248" s="37"/>
      <c r="L248" s="35"/>
      <c r="M248" s="33"/>
      <c r="N248" s="34"/>
      <c r="O248" s="34"/>
      <c r="P248" s="34"/>
      <c r="Q248" s="39"/>
      <c r="R248" s="44"/>
      <c r="S248" s="37"/>
    </row>
    <row r="249" spans="1:19" x14ac:dyDescent="0.2">
      <c r="A249" s="31" t="str">
        <f t="shared" si="6"/>
        <v>8905302263268_</v>
      </c>
      <c r="B249" s="41">
        <v>8905302263268</v>
      </c>
      <c r="C249" s="33" t="str">
        <f t="shared" si="8"/>
        <v>8905302263268__</v>
      </c>
      <c r="D249" s="34"/>
      <c r="E249" s="35"/>
      <c r="F249" s="37"/>
      <c r="G249" s="36"/>
      <c r="H249" s="36"/>
      <c r="I249" s="37"/>
      <c r="J249" s="37"/>
      <c r="K249" s="37"/>
      <c r="L249" s="35"/>
      <c r="M249" s="33"/>
      <c r="N249" s="34"/>
      <c r="O249" s="34"/>
      <c r="P249" s="34"/>
      <c r="Q249" s="39"/>
      <c r="R249" s="44"/>
      <c r="S249" s="37"/>
    </row>
    <row r="250" spans="1:19" x14ac:dyDescent="0.2">
      <c r="A250" s="31" t="str">
        <f t="shared" si="6"/>
        <v>8905302263269_</v>
      </c>
      <c r="B250" s="41">
        <v>8905302263269</v>
      </c>
      <c r="C250" s="33" t="str">
        <f t="shared" si="8"/>
        <v>8905302263269__</v>
      </c>
      <c r="D250" s="34"/>
      <c r="E250" s="35"/>
      <c r="F250" s="37"/>
      <c r="G250" s="36"/>
      <c r="H250" s="36"/>
      <c r="I250" s="37"/>
      <c r="J250" s="37"/>
      <c r="K250" s="37"/>
      <c r="L250" s="35"/>
      <c r="M250" s="33"/>
      <c r="N250" s="33"/>
      <c r="O250" s="34"/>
      <c r="P250" s="33"/>
      <c r="Q250" s="39"/>
      <c r="R250" s="44"/>
      <c r="S250" s="37"/>
    </row>
    <row r="251" spans="1:19" x14ac:dyDescent="0.2">
      <c r="A251" s="31" t="str">
        <f t="shared" si="6"/>
        <v>8905302263270_</v>
      </c>
      <c r="B251" s="41">
        <v>8905302263270</v>
      </c>
      <c r="C251" s="33" t="str">
        <f t="shared" si="8"/>
        <v>8905302263270__</v>
      </c>
      <c r="D251" s="34"/>
      <c r="E251" s="35"/>
      <c r="F251" s="37"/>
      <c r="G251" s="36"/>
      <c r="H251" s="36"/>
      <c r="I251" s="37"/>
      <c r="J251" s="37"/>
      <c r="K251" s="37"/>
      <c r="L251" s="35"/>
      <c r="M251" s="33"/>
      <c r="N251" s="33"/>
      <c r="O251" s="34"/>
      <c r="P251" s="33"/>
      <c r="Q251" s="39"/>
      <c r="R251" s="44"/>
      <c r="S251" s="37"/>
    </row>
    <row r="252" spans="1:19" x14ac:dyDescent="0.2">
      <c r="A252" s="31" t="str">
        <f t="shared" si="6"/>
        <v>8905302263271_</v>
      </c>
      <c r="B252" s="41">
        <v>8905302263271</v>
      </c>
      <c r="C252" s="33" t="str">
        <f t="shared" si="8"/>
        <v>8905302263271__</v>
      </c>
      <c r="D252" s="34"/>
      <c r="E252" s="35"/>
      <c r="F252" s="37"/>
      <c r="G252" s="36"/>
      <c r="H252" s="36"/>
      <c r="I252" s="37"/>
      <c r="J252" s="37"/>
      <c r="K252" s="37"/>
      <c r="L252" s="35"/>
      <c r="M252" s="33"/>
      <c r="N252" s="33"/>
      <c r="O252" s="34"/>
      <c r="P252" s="33"/>
      <c r="Q252" s="39"/>
      <c r="R252" s="44"/>
      <c r="S252" s="37"/>
    </row>
    <row r="253" spans="1:19" x14ac:dyDescent="0.2">
      <c r="A253" s="31" t="str">
        <f t="shared" si="6"/>
        <v>8905302263272_Blu</v>
      </c>
      <c r="B253" s="41">
        <v>8905302263272</v>
      </c>
      <c r="C253" s="33" t="str">
        <f t="shared" si="8"/>
        <v>8905302263272_Blu_S</v>
      </c>
      <c r="D253" s="34" t="s">
        <v>496</v>
      </c>
      <c r="E253" s="35" t="s">
        <v>27</v>
      </c>
      <c r="F253" s="37" t="s">
        <v>34</v>
      </c>
      <c r="G253" s="36" t="s">
        <v>317</v>
      </c>
      <c r="H253" s="36" t="s">
        <v>318</v>
      </c>
      <c r="I253" s="37" t="s">
        <v>401</v>
      </c>
      <c r="J253" s="37">
        <v>4999</v>
      </c>
      <c r="K253" s="37">
        <v>4999</v>
      </c>
      <c r="L253" s="35">
        <v>61034200</v>
      </c>
      <c r="M253" s="33">
        <v>18</v>
      </c>
      <c r="N253" s="33" t="s">
        <v>328</v>
      </c>
      <c r="O253" s="34" t="s">
        <v>54</v>
      </c>
      <c r="P253" s="33" t="s">
        <v>328</v>
      </c>
      <c r="Q253" s="39" t="s">
        <v>321</v>
      </c>
      <c r="R253" s="44">
        <v>2</v>
      </c>
      <c r="S253" s="37"/>
    </row>
    <row r="254" spans="1:19" x14ac:dyDescent="0.2">
      <c r="A254" s="31" t="str">
        <f t="shared" si="6"/>
        <v>8905302263273_Blu</v>
      </c>
      <c r="B254" s="41">
        <v>8905302263273</v>
      </c>
      <c r="C254" s="33" t="str">
        <f t="shared" si="8"/>
        <v>8905302263273_Blu_M</v>
      </c>
      <c r="D254" s="34" t="s">
        <v>496</v>
      </c>
      <c r="E254" s="35" t="s">
        <v>27</v>
      </c>
      <c r="F254" s="37" t="s">
        <v>34</v>
      </c>
      <c r="G254" s="36" t="s">
        <v>317</v>
      </c>
      <c r="H254" s="36" t="s">
        <v>318</v>
      </c>
      <c r="I254" s="37" t="s">
        <v>401</v>
      </c>
      <c r="J254" s="37">
        <v>4999</v>
      </c>
      <c r="K254" s="37">
        <v>4999</v>
      </c>
      <c r="L254" s="35">
        <v>61034200</v>
      </c>
      <c r="M254" s="33">
        <v>18</v>
      </c>
      <c r="N254" s="33" t="s">
        <v>328</v>
      </c>
      <c r="O254" s="34" t="s">
        <v>61</v>
      </c>
      <c r="P254" s="33" t="s">
        <v>328</v>
      </c>
      <c r="Q254" s="39" t="s">
        <v>321</v>
      </c>
      <c r="R254" s="44">
        <v>2</v>
      </c>
      <c r="S254" s="37"/>
    </row>
    <row r="255" spans="1:19" x14ac:dyDescent="0.2">
      <c r="A255" s="31" t="str">
        <f t="shared" si="6"/>
        <v>8905302263274_Blu</v>
      </c>
      <c r="B255" s="41">
        <v>8905302263274</v>
      </c>
      <c r="C255" s="33" t="str">
        <f t="shared" si="8"/>
        <v>8905302263274_Blu_L</v>
      </c>
      <c r="D255" s="34" t="s">
        <v>496</v>
      </c>
      <c r="E255" s="35" t="s">
        <v>27</v>
      </c>
      <c r="F255" s="37" t="s">
        <v>34</v>
      </c>
      <c r="G255" s="36" t="s">
        <v>317</v>
      </c>
      <c r="H255" s="36" t="s">
        <v>318</v>
      </c>
      <c r="I255" s="37" t="s">
        <v>401</v>
      </c>
      <c r="J255" s="37">
        <v>4999</v>
      </c>
      <c r="K255" s="37">
        <v>4999</v>
      </c>
      <c r="L255" s="35">
        <v>61034200</v>
      </c>
      <c r="M255" s="33">
        <v>18</v>
      </c>
      <c r="N255" s="33" t="s">
        <v>328</v>
      </c>
      <c r="O255" s="34" t="s">
        <v>44</v>
      </c>
      <c r="P255" s="33" t="s">
        <v>328</v>
      </c>
      <c r="Q255" s="39" t="s">
        <v>321</v>
      </c>
      <c r="R255" s="44">
        <v>2</v>
      </c>
      <c r="S255" s="37"/>
    </row>
    <row r="256" spans="1:19" x14ac:dyDescent="0.2">
      <c r="A256" s="31" t="str">
        <f t="shared" si="6"/>
        <v>8905302263275_Bla</v>
      </c>
      <c r="B256" s="41">
        <v>8905302263275</v>
      </c>
      <c r="C256" s="33" t="str">
        <f t="shared" si="8"/>
        <v>8905302263275_Bla_S</v>
      </c>
      <c r="D256" s="34" t="s">
        <v>497</v>
      </c>
      <c r="E256" s="35" t="s">
        <v>27</v>
      </c>
      <c r="F256" s="37" t="s">
        <v>34</v>
      </c>
      <c r="G256" s="36" t="s">
        <v>317</v>
      </c>
      <c r="H256" s="36" t="s">
        <v>318</v>
      </c>
      <c r="I256" s="37" t="s">
        <v>401</v>
      </c>
      <c r="J256" s="37">
        <v>4999</v>
      </c>
      <c r="K256" s="37">
        <v>4999</v>
      </c>
      <c r="L256" s="35">
        <v>61034200</v>
      </c>
      <c r="M256" s="33">
        <v>18</v>
      </c>
      <c r="N256" s="33" t="s">
        <v>326</v>
      </c>
      <c r="O256" s="34" t="s">
        <v>54</v>
      </c>
      <c r="P256" s="33" t="s">
        <v>326</v>
      </c>
      <c r="Q256" s="39" t="s">
        <v>321</v>
      </c>
      <c r="R256" s="44">
        <v>2</v>
      </c>
      <c r="S256" s="37"/>
    </row>
    <row r="257" spans="1:19" x14ac:dyDescent="0.2">
      <c r="A257" s="31" t="str">
        <f t="shared" si="6"/>
        <v>8905302263276_Bla</v>
      </c>
      <c r="B257" s="41">
        <v>8905302263276</v>
      </c>
      <c r="C257" s="33" t="str">
        <f t="shared" si="8"/>
        <v>8905302263276_Bla_M</v>
      </c>
      <c r="D257" s="34" t="s">
        <v>497</v>
      </c>
      <c r="E257" s="35" t="s">
        <v>27</v>
      </c>
      <c r="F257" s="37" t="s">
        <v>34</v>
      </c>
      <c r="G257" s="36" t="s">
        <v>317</v>
      </c>
      <c r="H257" s="36" t="s">
        <v>318</v>
      </c>
      <c r="I257" s="37" t="s">
        <v>401</v>
      </c>
      <c r="J257" s="37">
        <v>4999</v>
      </c>
      <c r="K257" s="37">
        <v>4999</v>
      </c>
      <c r="L257" s="35">
        <v>61034200</v>
      </c>
      <c r="M257" s="33">
        <v>18</v>
      </c>
      <c r="N257" s="33" t="s">
        <v>326</v>
      </c>
      <c r="O257" s="34" t="s">
        <v>61</v>
      </c>
      <c r="P257" s="33" t="s">
        <v>326</v>
      </c>
      <c r="Q257" s="39" t="s">
        <v>321</v>
      </c>
      <c r="R257" s="44">
        <v>2</v>
      </c>
      <c r="S257" s="37"/>
    </row>
    <row r="258" spans="1:19" x14ac:dyDescent="0.2">
      <c r="A258" s="31" t="str">
        <f t="shared" si="6"/>
        <v>8905302263277_Bla</v>
      </c>
      <c r="B258" s="41">
        <v>8905302263277</v>
      </c>
      <c r="C258" s="33" t="str">
        <f t="shared" si="8"/>
        <v>8905302263277_Bla_L</v>
      </c>
      <c r="D258" s="34" t="s">
        <v>497</v>
      </c>
      <c r="E258" s="35" t="s">
        <v>27</v>
      </c>
      <c r="F258" s="37" t="s">
        <v>34</v>
      </c>
      <c r="G258" s="36" t="s">
        <v>317</v>
      </c>
      <c r="H258" s="36" t="s">
        <v>318</v>
      </c>
      <c r="I258" s="37" t="s">
        <v>401</v>
      </c>
      <c r="J258" s="37">
        <v>4999</v>
      </c>
      <c r="K258" s="37">
        <v>4999</v>
      </c>
      <c r="L258" s="35">
        <v>61034200</v>
      </c>
      <c r="M258" s="33">
        <v>18</v>
      </c>
      <c r="N258" s="33" t="s">
        <v>326</v>
      </c>
      <c r="O258" s="34" t="s">
        <v>44</v>
      </c>
      <c r="P258" s="33" t="s">
        <v>326</v>
      </c>
      <c r="Q258" s="39" t="s">
        <v>321</v>
      </c>
      <c r="R258" s="44">
        <v>2</v>
      </c>
      <c r="S258" s="37"/>
    </row>
    <row r="259" spans="1:19" x14ac:dyDescent="0.2">
      <c r="A259" s="31" t="str">
        <f t="shared" ref="A259:A322" si="9" xml:space="preserve"> B259&amp; "_" &amp; LEFT(N259,3)</f>
        <v>8905302263278_Gre</v>
      </c>
      <c r="B259" s="41">
        <v>8905302263278</v>
      </c>
      <c r="C259" s="33" t="str">
        <f t="shared" si="8"/>
        <v>8905302263278_Gre_M</v>
      </c>
      <c r="D259" s="34" t="s">
        <v>498</v>
      </c>
      <c r="E259" s="35" t="s">
        <v>27</v>
      </c>
      <c r="F259" s="37" t="s">
        <v>34</v>
      </c>
      <c r="G259" s="36" t="s">
        <v>317</v>
      </c>
      <c r="H259" s="36" t="s">
        <v>318</v>
      </c>
      <c r="I259" s="37" t="s">
        <v>401</v>
      </c>
      <c r="J259" s="37">
        <v>4499</v>
      </c>
      <c r="K259" s="37">
        <v>4499</v>
      </c>
      <c r="L259" s="35">
        <v>61034200</v>
      </c>
      <c r="M259" s="33">
        <v>18</v>
      </c>
      <c r="N259" s="33" t="s">
        <v>492</v>
      </c>
      <c r="O259" s="34" t="s">
        <v>61</v>
      </c>
      <c r="P259" s="33" t="s">
        <v>492</v>
      </c>
      <c r="Q259" s="39" t="s">
        <v>321</v>
      </c>
      <c r="R259" s="44">
        <v>3</v>
      </c>
      <c r="S259" s="37"/>
    </row>
    <row r="260" spans="1:19" x14ac:dyDescent="0.2">
      <c r="A260" s="31" t="str">
        <f t="shared" si="9"/>
        <v>8905302263279_Gre</v>
      </c>
      <c r="B260" s="41">
        <v>8905302263279</v>
      </c>
      <c r="C260" s="33" t="str">
        <f t="shared" si="8"/>
        <v>8905302263279_Gre_L</v>
      </c>
      <c r="D260" s="34" t="s">
        <v>498</v>
      </c>
      <c r="E260" s="35" t="s">
        <v>27</v>
      </c>
      <c r="F260" s="37" t="s">
        <v>34</v>
      </c>
      <c r="G260" s="36" t="s">
        <v>317</v>
      </c>
      <c r="H260" s="36" t="s">
        <v>318</v>
      </c>
      <c r="I260" s="37" t="s">
        <v>401</v>
      </c>
      <c r="J260" s="37">
        <v>4499</v>
      </c>
      <c r="K260" s="37">
        <v>4499</v>
      </c>
      <c r="L260" s="35">
        <v>61034200</v>
      </c>
      <c r="M260" s="33">
        <v>18</v>
      </c>
      <c r="N260" s="33" t="s">
        <v>492</v>
      </c>
      <c r="O260" s="34" t="s">
        <v>44</v>
      </c>
      <c r="P260" s="33" t="s">
        <v>492</v>
      </c>
      <c r="Q260" s="39" t="s">
        <v>321</v>
      </c>
      <c r="R260" s="44">
        <v>3</v>
      </c>
      <c r="S260" s="37"/>
    </row>
    <row r="261" spans="1:19" x14ac:dyDescent="0.2">
      <c r="A261" s="31" t="str">
        <f t="shared" si="9"/>
        <v>8905302263280_Gre</v>
      </c>
      <c r="B261" s="41">
        <v>8905302263280</v>
      </c>
      <c r="C261" s="33" t="str">
        <f t="shared" si="8"/>
        <v>8905302263280_Gre_Xl</v>
      </c>
      <c r="D261" s="34" t="s">
        <v>498</v>
      </c>
      <c r="E261" s="35" t="s">
        <v>27</v>
      </c>
      <c r="F261" s="37" t="s">
        <v>34</v>
      </c>
      <c r="G261" s="36" t="s">
        <v>317</v>
      </c>
      <c r="H261" s="36" t="s">
        <v>318</v>
      </c>
      <c r="I261" s="37" t="s">
        <v>401</v>
      </c>
      <c r="J261" s="37">
        <v>4499</v>
      </c>
      <c r="K261" s="37">
        <v>4499</v>
      </c>
      <c r="L261" s="35">
        <v>61034200</v>
      </c>
      <c r="M261" s="33">
        <v>18</v>
      </c>
      <c r="N261" s="33" t="s">
        <v>492</v>
      </c>
      <c r="O261" s="34" t="s">
        <v>499</v>
      </c>
      <c r="P261" s="33" t="s">
        <v>492</v>
      </c>
      <c r="Q261" s="39" t="s">
        <v>321</v>
      </c>
      <c r="R261" s="44">
        <v>3</v>
      </c>
      <c r="S261" s="37"/>
    </row>
    <row r="262" spans="1:19" x14ac:dyDescent="0.2">
      <c r="A262" s="31" t="str">
        <f t="shared" si="9"/>
        <v>8905302263281_Blu</v>
      </c>
      <c r="B262" s="41">
        <v>8905302263281</v>
      </c>
      <c r="C262" s="33" t="str">
        <f t="shared" si="8"/>
        <v>8905302263281_Blu_S</v>
      </c>
      <c r="D262" s="34" t="s">
        <v>500</v>
      </c>
      <c r="E262" s="35" t="s">
        <v>27</v>
      </c>
      <c r="F262" s="37" t="s">
        <v>34</v>
      </c>
      <c r="G262" s="36" t="s">
        <v>317</v>
      </c>
      <c r="H262" s="36" t="s">
        <v>318</v>
      </c>
      <c r="I262" s="37" t="s">
        <v>401</v>
      </c>
      <c r="J262" s="37">
        <v>5999</v>
      </c>
      <c r="K262" s="37">
        <v>5999</v>
      </c>
      <c r="L262" s="35">
        <v>61034200</v>
      </c>
      <c r="M262" s="33">
        <v>18</v>
      </c>
      <c r="N262" s="33" t="s">
        <v>328</v>
      </c>
      <c r="O262" s="34" t="s">
        <v>54</v>
      </c>
      <c r="P262" s="33" t="s">
        <v>328</v>
      </c>
      <c r="Q262" s="39" t="s">
        <v>321</v>
      </c>
      <c r="R262" s="44">
        <v>2</v>
      </c>
      <c r="S262" s="37"/>
    </row>
    <row r="263" spans="1:19" x14ac:dyDescent="0.2">
      <c r="A263" s="31" t="str">
        <f t="shared" si="9"/>
        <v>8905302263282_Blu</v>
      </c>
      <c r="B263" s="41">
        <v>8905302263282</v>
      </c>
      <c r="C263" s="33" t="str">
        <f t="shared" si="8"/>
        <v>8905302263282_Blu_M</v>
      </c>
      <c r="D263" s="34" t="s">
        <v>500</v>
      </c>
      <c r="E263" s="35" t="s">
        <v>27</v>
      </c>
      <c r="F263" s="37" t="s">
        <v>34</v>
      </c>
      <c r="G263" s="36" t="s">
        <v>317</v>
      </c>
      <c r="H263" s="36" t="s">
        <v>318</v>
      </c>
      <c r="I263" s="37" t="s">
        <v>401</v>
      </c>
      <c r="J263" s="37">
        <v>5999</v>
      </c>
      <c r="K263" s="37">
        <v>5999</v>
      </c>
      <c r="L263" s="35">
        <v>61034200</v>
      </c>
      <c r="M263" s="33">
        <v>18</v>
      </c>
      <c r="N263" s="33" t="s">
        <v>328</v>
      </c>
      <c r="O263" s="34" t="s">
        <v>61</v>
      </c>
      <c r="P263" s="33" t="s">
        <v>328</v>
      </c>
      <c r="Q263" s="39" t="s">
        <v>321</v>
      </c>
      <c r="R263" s="44">
        <v>4</v>
      </c>
      <c r="S263" s="37"/>
    </row>
    <row r="264" spans="1:19" x14ac:dyDescent="0.2">
      <c r="A264" s="31" t="str">
        <f t="shared" si="9"/>
        <v>8905302263283_Blu</v>
      </c>
      <c r="B264" s="41">
        <v>8905302263283</v>
      </c>
      <c r="C264" s="33" t="str">
        <f t="shared" si="8"/>
        <v>8905302263283_Blu_L</v>
      </c>
      <c r="D264" s="34" t="s">
        <v>500</v>
      </c>
      <c r="E264" s="35" t="s">
        <v>27</v>
      </c>
      <c r="F264" s="37" t="s">
        <v>34</v>
      </c>
      <c r="G264" s="36" t="s">
        <v>317</v>
      </c>
      <c r="H264" s="36" t="s">
        <v>318</v>
      </c>
      <c r="I264" s="37" t="s">
        <v>401</v>
      </c>
      <c r="J264" s="37">
        <v>5999</v>
      </c>
      <c r="K264" s="37">
        <v>5999</v>
      </c>
      <c r="L264" s="35">
        <v>61034200</v>
      </c>
      <c r="M264" s="33">
        <v>18</v>
      </c>
      <c r="N264" s="33" t="s">
        <v>328</v>
      </c>
      <c r="O264" s="34" t="s">
        <v>44</v>
      </c>
      <c r="P264" s="33" t="s">
        <v>328</v>
      </c>
      <c r="Q264" s="39" t="s">
        <v>321</v>
      </c>
      <c r="R264" s="44">
        <v>2</v>
      </c>
      <c r="S264" s="37"/>
    </row>
    <row r="265" spans="1:19" x14ac:dyDescent="0.2">
      <c r="A265" s="31" t="str">
        <f t="shared" si="9"/>
        <v>8905302263284_Red</v>
      </c>
      <c r="B265" s="41">
        <v>8905302263284</v>
      </c>
      <c r="C265" s="33" t="str">
        <f t="shared" si="8"/>
        <v>8905302263284_Red_S</v>
      </c>
      <c r="D265" s="34" t="s">
        <v>501</v>
      </c>
      <c r="E265" s="35" t="s">
        <v>27</v>
      </c>
      <c r="F265" s="37" t="s">
        <v>34</v>
      </c>
      <c r="G265" s="36" t="s">
        <v>317</v>
      </c>
      <c r="H265" s="36" t="s">
        <v>318</v>
      </c>
      <c r="I265" s="37" t="s">
        <v>401</v>
      </c>
      <c r="J265" s="37">
        <v>5999</v>
      </c>
      <c r="K265" s="37">
        <v>5999</v>
      </c>
      <c r="L265" s="35">
        <v>61034200</v>
      </c>
      <c r="M265" s="33">
        <v>18</v>
      </c>
      <c r="N265" s="33" t="s">
        <v>323</v>
      </c>
      <c r="O265" s="34" t="s">
        <v>54</v>
      </c>
      <c r="P265" s="33" t="s">
        <v>323</v>
      </c>
      <c r="Q265" s="39" t="s">
        <v>321</v>
      </c>
      <c r="R265" s="44">
        <v>2</v>
      </c>
      <c r="S265" s="37"/>
    </row>
    <row r="266" spans="1:19" x14ac:dyDescent="0.2">
      <c r="A266" s="31" t="str">
        <f t="shared" si="9"/>
        <v>8905302263285_Red</v>
      </c>
      <c r="B266" s="41">
        <v>8905302263285</v>
      </c>
      <c r="C266" s="33" t="str">
        <f t="shared" si="8"/>
        <v>8905302263285_Red_M</v>
      </c>
      <c r="D266" s="34" t="s">
        <v>501</v>
      </c>
      <c r="E266" s="35" t="s">
        <v>27</v>
      </c>
      <c r="F266" s="37" t="s">
        <v>34</v>
      </c>
      <c r="G266" s="36" t="s">
        <v>317</v>
      </c>
      <c r="H266" s="36" t="s">
        <v>318</v>
      </c>
      <c r="I266" s="37" t="s">
        <v>401</v>
      </c>
      <c r="J266" s="37">
        <v>5999</v>
      </c>
      <c r="K266" s="37">
        <v>5999</v>
      </c>
      <c r="L266" s="35">
        <v>61034200</v>
      </c>
      <c r="M266" s="33">
        <v>18</v>
      </c>
      <c r="N266" s="33" t="s">
        <v>323</v>
      </c>
      <c r="O266" s="34" t="s">
        <v>61</v>
      </c>
      <c r="P266" s="33" t="s">
        <v>323</v>
      </c>
      <c r="Q266" s="39" t="s">
        <v>321</v>
      </c>
      <c r="R266" s="44">
        <v>4</v>
      </c>
      <c r="S266" s="37"/>
    </row>
    <row r="267" spans="1:19" x14ac:dyDescent="0.2">
      <c r="A267" s="31" t="str">
        <f t="shared" si="9"/>
        <v>8905302263286_Red</v>
      </c>
      <c r="B267" s="41">
        <v>8905302263286</v>
      </c>
      <c r="C267" s="33" t="str">
        <f t="shared" si="8"/>
        <v>8905302263286_Red_L</v>
      </c>
      <c r="D267" s="34" t="s">
        <v>501</v>
      </c>
      <c r="E267" s="35" t="s">
        <v>27</v>
      </c>
      <c r="F267" s="37" t="s">
        <v>34</v>
      </c>
      <c r="G267" s="36" t="s">
        <v>317</v>
      </c>
      <c r="H267" s="36" t="s">
        <v>318</v>
      </c>
      <c r="I267" s="37" t="s">
        <v>401</v>
      </c>
      <c r="J267" s="37">
        <v>5999</v>
      </c>
      <c r="K267" s="37">
        <v>5999</v>
      </c>
      <c r="L267" s="35">
        <v>61034200</v>
      </c>
      <c r="M267" s="33">
        <v>18</v>
      </c>
      <c r="N267" s="33" t="s">
        <v>323</v>
      </c>
      <c r="O267" s="34" t="s">
        <v>44</v>
      </c>
      <c r="P267" s="33" t="s">
        <v>323</v>
      </c>
      <c r="Q267" s="39" t="s">
        <v>321</v>
      </c>
      <c r="R267" s="44">
        <v>2</v>
      </c>
      <c r="S267" s="37"/>
    </row>
    <row r="268" spans="1:19" x14ac:dyDescent="0.2">
      <c r="A268" s="31" t="str">
        <f t="shared" si="9"/>
        <v>8905302263287_Blu</v>
      </c>
      <c r="B268" s="41">
        <v>8905302263287</v>
      </c>
      <c r="C268" s="33" t="str">
        <f t="shared" si="8"/>
        <v>8905302263287_Blu_S</v>
      </c>
      <c r="D268" s="34" t="s">
        <v>502</v>
      </c>
      <c r="E268" s="35" t="s">
        <v>27</v>
      </c>
      <c r="F268" s="37" t="s">
        <v>34</v>
      </c>
      <c r="G268" s="36" t="s">
        <v>317</v>
      </c>
      <c r="H268" s="36" t="s">
        <v>318</v>
      </c>
      <c r="I268" s="37" t="s">
        <v>401</v>
      </c>
      <c r="J268" s="37">
        <v>5999</v>
      </c>
      <c r="K268" s="37">
        <v>5999</v>
      </c>
      <c r="L268" s="35">
        <v>61034200</v>
      </c>
      <c r="M268" s="33">
        <v>18</v>
      </c>
      <c r="N268" s="33" t="s">
        <v>328</v>
      </c>
      <c r="O268" s="34" t="s">
        <v>54</v>
      </c>
      <c r="P268" s="33" t="s">
        <v>328</v>
      </c>
      <c r="Q268" s="39" t="s">
        <v>321</v>
      </c>
      <c r="R268" s="44">
        <v>1</v>
      </c>
      <c r="S268" s="37"/>
    </row>
    <row r="269" spans="1:19" x14ac:dyDescent="0.2">
      <c r="A269" s="31" t="str">
        <f t="shared" si="9"/>
        <v>8905302263288_Blu</v>
      </c>
      <c r="B269" s="41">
        <v>8905302263288</v>
      </c>
      <c r="C269" s="33" t="str">
        <f t="shared" si="8"/>
        <v>8905302263288_Blu_M</v>
      </c>
      <c r="D269" s="34" t="s">
        <v>502</v>
      </c>
      <c r="E269" s="35" t="s">
        <v>27</v>
      </c>
      <c r="F269" s="37" t="s">
        <v>34</v>
      </c>
      <c r="G269" s="36" t="s">
        <v>317</v>
      </c>
      <c r="H269" s="36" t="s">
        <v>318</v>
      </c>
      <c r="I269" s="37" t="s">
        <v>401</v>
      </c>
      <c r="J269" s="37">
        <v>5999</v>
      </c>
      <c r="K269" s="37">
        <v>5999</v>
      </c>
      <c r="L269" s="35">
        <v>61034200</v>
      </c>
      <c r="M269" s="33">
        <v>18</v>
      </c>
      <c r="N269" s="33" t="s">
        <v>328</v>
      </c>
      <c r="O269" s="34" t="s">
        <v>61</v>
      </c>
      <c r="P269" s="33" t="s">
        <v>328</v>
      </c>
      <c r="Q269" s="39" t="s">
        <v>321</v>
      </c>
      <c r="R269" s="44">
        <v>2</v>
      </c>
      <c r="S269" s="37"/>
    </row>
    <row r="270" spans="1:19" x14ac:dyDescent="0.2">
      <c r="A270" s="31" t="str">
        <f t="shared" si="9"/>
        <v>8905302263290_Blu</v>
      </c>
      <c r="B270" s="41">
        <v>8905302263290</v>
      </c>
      <c r="C270" s="33" t="str">
        <f t="shared" si="8"/>
        <v>8905302263290_Blu_L</v>
      </c>
      <c r="D270" s="34" t="s">
        <v>502</v>
      </c>
      <c r="E270" s="35" t="s">
        <v>27</v>
      </c>
      <c r="F270" s="37" t="s">
        <v>34</v>
      </c>
      <c r="G270" s="36" t="s">
        <v>317</v>
      </c>
      <c r="H270" s="36" t="s">
        <v>318</v>
      </c>
      <c r="I270" s="37" t="s">
        <v>401</v>
      </c>
      <c r="J270" s="37">
        <v>5999</v>
      </c>
      <c r="K270" s="37">
        <v>5999</v>
      </c>
      <c r="L270" s="35">
        <v>61034200</v>
      </c>
      <c r="M270" s="33">
        <v>18</v>
      </c>
      <c r="N270" s="33" t="s">
        <v>328</v>
      </c>
      <c r="O270" s="34" t="s">
        <v>44</v>
      </c>
      <c r="P270" s="33" t="s">
        <v>328</v>
      </c>
      <c r="Q270" s="39" t="s">
        <v>321</v>
      </c>
      <c r="R270" s="44">
        <v>1</v>
      </c>
      <c r="S270" s="37"/>
    </row>
    <row r="271" spans="1:19" x14ac:dyDescent="0.2">
      <c r="A271" s="31" t="str">
        <f t="shared" si="9"/>
        <v>8905302263291_Nav</v>
      </c>
      <c r="B271" s="41">
        <v>8905302263291</v>
      </c>
      <c r="C271" s="33" t="str">
        <f t="shared" si="8"/>
        <v>8905302263291_Nav_M</v>
      </c>
      <c r="D271" s="34" t="s">
        <v>503</v>
      </c>
      <c r="E271" s="35" t="s">
        <v>27</v>
      </c>
      <c r="F271" s="37" t="s">
        <v>34</v>
      </c>
      <c r="G271" s="36" t="s">
        <v>317</v>
      </c>
      <c r="H271" s="36" t="s">
        <v>318</v>
      </c>
      <c r="I271" s="37" t="s">
        <v>401</v>
      </c>
      <c r="J271" s="37">
        <v>6999</v>
      </c>
      <c r="K271" s="37">
        <v>6999</v>
      </c>
      <c r="L271" s="35">
        <v>61034200</v>
      </c>
      <c r="M271" s="33">
        <v>18</v>
      </c>
      <c r="N271" s="33" t="s">
        <v>348</v>
      </c>
      <c r="O271" s="34" t="s">
        <v>61</v>
      </c>
      <c r="P271" s="33" t="s">
        <v>348</v>
      </c>
      <c r="Q271" s="39" t="s">
        <v>321</v>
      </c>
      <c r="R271" s="44">
        <v>2</v>
      </c>
      <c r="S271" s="37"/>
    </row>
    <row r="272" spans="1:19" x14ac:dyDescent="0.2">
      <c r="A272" s="31" t="str">
        <f t="shared" si="9"/>
        <v>8905302263292_Nav</v>
      </c>
      <c r="B272" s="41">
        <v>8905302263292</v>
      </c>
      <c r="C272" s="33" t="str">
        <f t="shared" si="8"/>
        <v>8905302263292_Nav_L</v>
      </c>
      <c r="D272" s="34" t="s">
        <v>503</v>
      </c>
      <c r="E272" s="35" t="s">
        <v>27</v>
      </c>
      <c r="F272" s="37" t="s">
        <v>34</v>
      </c>
      <c r="G272" s="36" t="s">
        <v>317</v>
      </c>
      <c r="H272" s="36" t="s">
        <v>318</v>
      </c>
      <c r="I272" s="37" t="s">
        <v>401</v>
      </c>
      <c r="J272" s="37">
        <v>6999</v>
      </c>
      <c r="K272" s="37">
        <v>6999</v>
      </c>
      <c r="L272" s="35">
        <v>61034200</v>
      </c>
      <c r="M272" s="33">
        <v>18</v>
      </c>
      <c r="N272" s="33" t="s">
        <v>348</v>
      </c>
      <c r="O272" s="34" t="s">
        <v>44</v>
      </c>
      <c r="P272" s="33" t="s">
        <v>348</v>
      </c>
      <c r="Q272" s="39" t="s">
        <v>321</v>
      </c>
      <c r="R272" s="44">
        <v>2</v>
      </c>
      <c r="S272" s="37"/>
    </row>
    <row r="273" spans="1:19" x14ac:dyDescent="0.2">
      <c r="A273" s="31" t="str">
        <f t="shared" si="9"/>
        <v>8905302263293_Nav</v>
      </c>
      <c r="B273" s="41">
        <v>8905302263293</v>
      </c>
      <c r="C273" s="33" t="str">
        <f t="shared" si="8"/>
        <v>8905302263293_Nav_XL</v>
      </c>
      <c r="D273" s="34" t="s">
        <v>503</v>
      </c>
      <c r="E273" s="35" t="s">
        <v>27</v>
      </c>
      <c r="F273" s="37" t="s">
        <v>34</v>
      </c>
      <c r="G273" s="36" t="s">
        <v>317</v>
      </c>
      <c r="H273" s="36" t="s">
        <v>318</v>
      </c>
      <c r="I273" s="37" t="s">
        <v>401</v>
      </c>
      <c r="J273" s="37">
        <v>6999</v>
      </c>
      <c r="K273" s="37">
        <v>6999</v>
      </c>
      <c r="L273" s="35">
        <v>61034200</v>
      </c>
      <c r="M273" s="33">
        <v>18</v>
      </c>
      <c r="N273" s="33" t="s">
        <v>348</v>
      </c>
      <c r="O273" s="34" t="s">
        <v>38</v>
      </c>
      <c r="P273" s="33" t="s">
        <v>348</v>
      </c>
      <c r="Q273" s="39" t="s">
        <v>321</v>
      </c>
      <c r="R273" s="44">
        <v>2</v>
      </c>
      <c r="S273" s="37"/>
    </row>
    <row r="274" spans="1:19" x14ac:dyDescent="0.2">
      <c r="A274" s="31" t="str">
        <f t="shared" si="9"/>
        <v>8905302263294_Nav</v>
      </c>
      <c r="B274" s="41">
        <v>8905302263294</v>
      </c>
      <c r="C274" s="33" t="str">
        <f t="shared" si="8"/>
        <v>8905302263294_Nav_XXL</v>
      </c>
      <c r="D274" s="34" t="s">
        <v>503</v>
      </c>
      <c r="E274" s="35" t="s">
        <v>27</v>
      </c>
      <c r="F274" s="37" t="s">
        <v>34</v>
      </c>
      <c r="G274" s="36" t="s">
        <v>317</v>
      </c>
      <c r="H274" s="36" t="s">
        <v>318</v>
      </c>
      <c r="I274" s="37" t="s">
        <v>401</v>
      </c>
      <c r="J274" s="37">
        <v>6999</v>
      </c>
      <c r="K274" s="37">
        <v>6999</v>
      </c>
      <c r="L274" s="35">
        <v>61034200</v>
      </c>
      <c r="M274" s="33">
        <v>18</v>
      </c>
      <c r="N274" s="33" t="s">
        <v>348</v>
      </c>
      <c r="O274" s="34" t="s">
        <v>84</v>
      </c>
      <c r="P274" s="33" t="s">
        <v>348</v>
      </c>
      <c r="Q274" s="39" t="s">
        <v>321</v>
      </c>
      <c r="R274" s="44">
        <v>2</v>
      </c>
      <c r="S274" s="37"/>
    </row>
    <row r="275" spans="1:19" x14ac:dyDescent="0.2">
      <c r="A275" s="31" t="str">
        <f t="shared" si="9"/>
        <v>8905302263295_Blu</v>
      </c>
      <c r="B275" s="41">
        <v>8905302263295</v>
      </c>
      <c r="C275" s="33" t="str">
        <f t="shared" si="8"/>
        <v>8905302263295_Blu_M</v>
      </c>
      <c r="D275" s="34" t="s">
        <v>504</v>
      </c>
      <c r="E275" s="35" t="s">
        <v>27</v>
      </c>
      <c r="F275" s="37" t="s">
        <v>34</v>
      </c>
      <c r="G275" s="36" t="s">
        <v>317</v>
      </c>
      <c r="H275" s="36" t="s">
        <v>318</v>
      </c>
      <c r="I275" s="37" t="s">
        <v>401</v>
      </c>
      <c r="J275" s="37">
        <v>6999</v>
      </c>
      <c r="K275" s="37">
        <v>6999</v>
      </c>
      <c r="L275" s="35">
        <v>61034200</v>
      </c>
      <c r="M275" s="33">
        <v>18</v>
      </c>
      <c r="N275" s="33" t="s">
        <v>328</v>
      </c>
      <c r="O275" s="34" t="s">
        <v>61</v>
      </c>
      <c r="P275" s="33" t="s">
        <v>328</v>
      </c>
      <c r="Q275" s="39" t="s">
        <v>321</v>
      </c>
      <c r="R275" s="44">
        <v>1</v>
      </c>
      <c r="S275" s="37"/>
    </row>
    <row r="276" spans="1:19" x14ac:dyDescent="0.2">
      <c r="A276" s="31" t="str">
        <f t="shared" si="9"/>
        <v>8905302263296_Blu</v>
      </c>
      <c r="B276" s="41">
        <v>8905302263296</v>
      </c>
      <c r="C276" s="33" t="str">
        <f t="shared" si="8"/>
        <v>8905302263296_Blu_L</v>
      </c>
      <c r="D276" s="34" t="s">
        <v>504</v>
      </c>
      <c r="E276" s="35" t="s">
        <v>27</v>
      </c>
      <c r="F276" s="37" t="s">
        <v>34</v>
      </c>
      <c r="G276" s="36" t="s">
        <v>317</v>
      </c>
      <c r="H276" s="36" t="s">
        <v>318</v>
      </c>
      <c r="I276" s="37" t="s">
        <v>401</v>
      </c>
      <c r="J276" s="37">
        <v>6999</v>
      </c>
      <c r="K276" s="37">
        <v>6999</v>
      </c>
      <c r="L276" s="35">
        <v>61034200</v>
      </c>
      <c r="M276" s="33">
        <v>18</v>
      </c>
      <c r="N276" s="33" t="s">
        <v>328</v>
      </c>
      <c r="O276" s="34" t="s">
        <v>44</v>
      </c>
      <c r="P276" s="33" t="s">
        <v>328</v>
      </c>
      <c r="Q276" s="39" t="s">
        <v>321</v>
      </c>
      <c r="R276" s="44">
        <v>1</v>
      </c>
      <c r="S276" s="37"/>
    </row>
    <row r="277" spans="1:19" x14ac:dyDescent="0.2">
      <c r="A277" s="31" t="str">
        <f t="shared" si="9"/>
        <v>8905302263297_Blu</v>
      </c>
      <c r="B277" s="41">
        <v>8905302263297</v>
      </c>
      <c r="C277" s="33" t="str">
        <f t="shared" si="8"/>
        <v>8905302263297_Blu_XL</v>
      </c>
      <c r="D277" s="34" t="s">
        <v>504</v>
      </c>
      <c r="E277" s="35" t="s">
        <v>27</v>
      </c>
      <c r="F277" s="37" t="s">
        <v>34</v>
      </c>
      <c r="G277" s="36" t="s">
        <v>317</v>
      </c>
      <c r="H277" s="36" t="s">
        <v>318</v>
      </c>
      <c r="I277" s="37" t="s">
        <v>401</v>
      </c>
      <c r="J277" s="37">
        <v>6999</v>
      </c>
      <c r="K277" s="37">
        <v>6999</v>
      </c>
      <c r="L277" s="35">
        <v>61034200</v>
      </c>
      <c r="M277" s="33">
        <v>18</v>
      </c>
      <c r="N277" s="33" t="s">
        <v>328</v>
      </c>
      <c r="O277" s="34" t="s">
        <v>38</v>
      </c>
      <c r="P277" s="33" t="s">
        <v>328</v>
      </c>
      <c r="Q277" s="39" t="s">
        <v>321</v>
      </c>
      <c r="R277" s="44">
        <v>1</v>
      </c>
      <c r="S277" s="37"/>
    </row>
    <row r="278" spans="1:19" x14ac:dyDescent="0.2">
      <c r="A278" s="31" t="str">
        <f t="shared" si="9"/>
        <v>8905302263298_Blu</v>
      </c>
      <c r="B278" s="41">
        <v>8905302263298</v>
      </c>
      <c r="C278" s="33" t="str">
        <f t="shared" si="8"/>
        <v>8905302263298_Blu_XXL</v>
      </c>
      <c r="D278" s="34" t="s">
        <v>504</v>
      </c>
      <c r="E278" s="35" t="s">
        <v>27</v>
      </c>
      <c r="F278" s="37" t="s">
        <v>34</v>
      </c>
      <c r="G278" s="36" t="s">
        <v>317</v>
      </c>
      <c r="H278" s="36" t="s">
        <v>318</v>
      </c>
      <c r="I278" s="37" t="s">
        <v>401</v>
      </c>
      <c r="J278" s="37">
        <v>6999</v>
      </c>
      <c r="K278" s="37">
        <v>6999</v>
      </c>
      <c r="L278" s="35">
        <v>61034200</v>
      </c>
      <c r="M278" s="33">
        <v>18</v>
      </c>
      <c r="N278" s="33" t="s">
        <v>328</v>
      </c>
      <c r="O278" s="34" t="s">
        <v>84</v>
      </c>
      <c r="P278" s="33" t="s">
        <v>328</v>
      </c>
      <c r="Q278" s="39" t="s">
        <v>321</v>
      </c>
      <c r="R278" s="44">
        <v>1</v>
      </c>
      <c r="S278" s="37"/>
    </row>
    <row r="279" spans="1:19" x14ac:dyDescent="0.2">
      <c r="A279" s="31" t="str">
        <f t="shared" si="9"/>
        <v>8905302263299_Bro</v>
      </c>
      <c r="B279" s="41">
        <v>8905302263299</v>
      </c>
      <c r="C279" s="33" t="str">
        <f t="shared" si="8"/>
        <v>8905302263299_Bro_S</v>
      </c>
      <c r="D279" s="34" t="s">
        <v>505</v>
      </c>
      <c r="E279" s="35" t="s">
        <v>27</v>
      </c>
      <c r="F279" s="37" t="s">
        <v>34</v>
      </c>
      <c r="G279" s="36" t="s">
        <v>317</v>
      </c>
      <c r="H279" s="36" t="s">
        <v>318</v>
      </c>
      <c r="I279" s="37" t="s">
        <v>401</v>
      </c>
      <c r="J279" s="37">
        <v>6999</v>
      </c>
      <c r="K279" s="37">
        <v>6999</v>
      </c>
      <c r="L279" s="35">
        <v>61034200</v>
      </c>
      <c r="M279" s="33">
        <v>18</v>
      </c>
      <c r="N279" s="33" t="s">
        <v>506</v>
      </c>
      <c r="O279" s="34" t="s">
        <v>54</v>
      </c>
      <c r="P279" s="33" t="s">
        <v>506</v>
      </c>
      <c r="Q279" s="39" t="s">
        <v>321</v>
      </c>
      <c r="R279" s="44">
        <v>1</v>
      </c>
      <c r="S279" s="37"/>
    </row>
    <row r="280" spans="1:19" x14ac:dyDescent="0.2">
      <c r="A280" s="31" t="str">
        <f t="shared" si="9"/>
        <v>8905302263300_Bro</v>
      </c>
      <c r="B280" s="41">
        <v>8905302263300</v>
      </c>
      <c r="C280" s="33" t="str">
        <f t="shared" si="8"/>
        <v>8905302263300_Bro_M</v>
      </c>
      <c r="D280" s="34" t="s">
        <v>505</v>
      </c>
      <c r="E280" s="35" t="s">
        <v>27</v>
      </c>
      <c r="F280" s="37" t="s">
        <v>34</v>
      </c>
      <c r="G280" s="36" t="s">
        <v>317</v>
      </c>
      <c r="H280" s="36" t="s">
        <v>318</v>
      </c>
      <c r="I280" s="37" t="s">
        <v>401</v>
      </c>
      <c r="J280" s="37">
        <v>6999</v>
      </c>
      <c r="K280" s="37">
        <v>6999</v>
      </c>
      <c r="L280" s="35">
        <v>61034200</v>
      </c>
      <c r="M280" s="33">
        <v>18</v>
      </c>
      <c r="N280" s="33" t="s">
        <v>506</v>
      </c>
      <c r="O280" s="34" t="s">
        <v>61</v>
      </c>
      <c r="P280" s="33" t="s">
        <v>506</v>
      </c>
      <c r="Q280" s="39" t="s">
        <v>321</v>
      </c>
      <c r="R280" s="44">
        <v>2</v>
      </c>
      <c r="S280" s="37"/>
    </row>
    <row r="281" spans="1:19" x14ac:dyDescent="0.2">
      <c r="A281" s="31" t="str">
        <f t="shared" si="9"/>
        <v>8905302263301_Bro</v>
      </c>
      <c r="B281" s="41">
        <v>8905302263301</v>
      </c>
      <c r="C281" s="33" t="str">
        <f t="shared" si="8"/>
        <v>8905302263301_Bro_L</v>
      </c>
      <c r="D281" s="34" t="s">
        <v>505</v>
      </c>
      <c r="E281" s="35" t="s">
        <v>27</v>
      </c>
      <c r="F281" s="37" t="s">
        <v>34</v>
      </c>
      <c r="G281" s="36" t="s">
        <v>317</v>
      </c>
      <c r="H281" s="36" t="s">
        <v>318</v>
      </c>
      <c r="I281" s="37" t="s">
        <v>401</v>
      </c>
      <c r="J281" s="37">
        <v>6999</v>
      </c>
      <c r="K281" s="37">
        <v>6999</v>
      </c>
      <c r="L281" s="35">
        <v>61034200</v>
      </c>
      <c r="M281" s="33">
        <v>18</v>
      </c>
      <c r="N281" s="33" t="s">
        <v>506</v>
      </c>
      <c r="O281" s="34" t="s">
        <v>44</v>
      </c>
      <c r="P281" s="33" t="s">
        <v>506</v>
      </c>
      <c r="Q281" s="39" t="s">
        <v>321</v>
      </c>
      <c r="R281" s="44">
        <v>1</v>
      </c>
      <c r="S281" s="37"/>
    </row>
    <row r="282" spans="1:19" x14ac:dyDescent="0.2">
      <c r="A282" s="31" t="str">
        <f t="shared" si="9"/>
        <v>8905302263302_Bro</v>
      </c>
      <c r="B282" s="41">
        <v>8905302263302</v>
      </c>
      <c r="C282" s="33" t="str">
        <f t="shared" si="8"/>
        <v>8905302263302_Bro_XL</v>
      </c>
      <c r="D282" s="34" t="s">
        <v>505</v>
      </c>
      <c r="E282" s="35" t="s">
        <v>27</v>
      </c>
      <c r="F282" s="37" t="s">
        <v>34</v>
      </c>
      <c r="G282" s="36" t="s">
        <v>317</v>
      </c>
      <c r="H282" s="36" t="s">
        <v>318</v>
      </c>
      <c r="I282" s="37" t="s">
        <v>401</v>
      </c>
      <c r="J282" s="37">
        <v>6999</v>
      </c>
      <c r="K282" s="37">
        <v>6999</v>
      </c>
      <c r="L282" s="35">
        <v>61034200</v>
      </c>
      <c r="M282" s="33">
        <v>18</v>
      </c>
      <c r="N282" s="33" t="s">
        <v>506</v>
      </c>
      <c r="O282" s="34" t="s">
        <v>38</v>
      </c>
      <c r="P282" s="33" t="s">
        <v>506</v>
      </c>
      <c r="Q282" s="39" t="s">
        <v>321</v>
      </c>
      <c r="R282" s="44">
        <v>1</v>
      </c>
      <c r="S282" s="37"/>
    </row>
    <row r="283" spans="1:19" x14ac:dyDescent="0.2">
      <c r="A283" s="31" t="str">
        <f t="shared" si="9"/>
        <v>8905302263303_Blu</v>
      </c>
      <c r="B283" s="41">
        <v>8905302263303</v>
      </c>
      <c r="C283" s="33" t="str">
        <f t="shared" si="8"/>
        <v>8905302263303_Blu_S</v>
      </c>
      <c r="D283" s="34" t="s">
        <v>507</v>
      </c>
      <c r="E283" s="35" t="s">
        <v>27</v>
      </c>
      <c r="F283" s="37" t="s">
        <v>34</v>
      </c>
      <c r="G283" s="36" t="s">
        <v>317</v>
      </c>
      <c r="H283" s="36" t="s">
        <v>318</v>
      </c>
      <c r="I283" s="37" t="s">
        <v>401</v>
      </c>
      <c r="J283" s="37">
        <v>4999</v>
      </c>
      <c r="K283" s="37">
        <v>4999</v>
      </c>
      <c r="L283" s="35">
        <v>61034200</v>
      </c>
      <c r="M283" s="33">
        <v>18</v>
      </c>
      <c r="N283" s="33" t="s">
        <v>328</v>
      </c>
      <c r="O283" s="34" t="s">
        <v>54</v>
      </c>
      <c r="P283" s="33" t="s">
        <v>328</v>
      </c>
      <c r="Q283" s="39" t="s">
        <v>321</v>
      </c>
      <c r="R283" s="44">
        <v>6</v>
      </c>
      <c r="S283" s="37"/>
    </row>
    <row r="284" spans="1:19" x14ac:dyDescent="0.2">
      <c r="A284" s="31" t="str">
        <f t="shared" si="9"/>
        <v>8905302263304_Blu</v>
      </c>
      <c r="B284" s="41">
        <v>8905302263304</v>
      </c>
      <c r="C284" s="33" t="str">
        <f t="shared" si="8"/>
        <v>8905302263304_Blu_M</v>
      </c>
      <c r="D284" s="34" t="s">
        <v>507</v>
      </c>
      <c r="E284" s="35" t="s">
        <v>27</v>
      </c>
      <c r="F284" s="37" t="s">
        <v>34</v>
      </c>
      <c r="G284" s="36" t="s">
        <v>317</v>
      </c>
      <c r="H284" s="36" t="s">
        <v>318</v>
      </c>
      <c r="I284" s="37" t="s">
        <v>401</v>
      </c>
      <c r="J284" s="37">
        <v>4999</v>
      </c>
      <c r="K284" s="37">
        <v>4999</v>
      </c>
      <c r="L284" s="35">
        <v>61034200</v>
      </c>
      <c r="M284" s="33">
        <v>18</v>
      </c>
      <c r="N284" s="33" t="s">
        <v>328</v>
      </c>
      <c r="O284" s="34" t="s">
        <v>61</v>
      </c>
      <c r="P284" s="33" t="s">
        <v>328</v>
      </c>
      <c r="Q284" s="39" t="s">
        <v>321</v>
      </c>
      <c r="R284" s="44">
        <v>4</v>
      </c>
      <c r="S284" s="37"/>
    </row>
    <row r="285" spans="1:19" x14ac:dyDescent="0.2">
      <c r="A285" s="31" t="str">
        <f t="shared" si="9"/>
        <v>8905302263305_Blu</v>
      </c>
      <c r="B285" s="41">
        <v>8905302263305</v>
      </c>
      <c r="C285" s="33" t="str">
        <f t="shared" si="8"/>
        <v>8905302263305_Blu_L</v>
      </c>
      <c r="D285" s="34" t="s">
        <v>507</v>
      </c>
      <c r="E285" s="35" t="s">
        <v>27</v>
      </c>
      <c r="F285" s="37" t="s">
        <v>34</v>
      </c>
      <c r="G285" s="36" t="s">
        <v>317</v>
      </c>
      <c r="H285" s="36" t="s">
        <v>318</v>
      </c>
      <c r="I285" s="37" t="s">
        <v>401</v>
      </c>
      <c r="J285" s="37">
        <v>4999</v>
      </c>
      <c r="K285" s="37">
        <v>4999</v>
      </c>
      <c r="L285" s="35">
        <v>61034200</v>
      </c>
      <c r="M285" s="33">
        <v>18</v>
      </c>
      <c r="N285" s="33" t="s">
        <v>328</v>
      </c>
      <c r="O285" s="34" t="s">
        <v>44</v>
      </c>
      <c r="P285" s="33" t="s">
        <v>328</v>
      </c>
      <c r="Q285" s="39" t="s">
        <v>321</v>
      </c>
      <c r="R285" s="44">
        <v>5</v>
      </c>
      <c r="S285" s="37"/>
    </row>
    <row r="286" spans="1:19" x14ac:dyDescent="0.2">
      <c r="A286" s="31" t="str">
        <f t="shared" si="9"/>
        <v>8905302263306_Blu</v>
      </c>
      <c r="B286" s="41">
        <v>8905302263306</v>
      </c>
      <c r="C286" s="33" t="str">
        <f t="shared" si="8"/>
        <v>8905302263306_Blu_S</v>
      </c>
      <c r="D286" s="34" t="s">
        <v>508</v>
      </c>
      <c r="E286" s="35" t="s">
        <v>27</v>
      </c>
      <c r="F286" s="37" t="s">
        <v>34</v>
      </c>
      <c r="G286" s="36" t="s">
        <v>317</v>
      </c>
      <c r="H286" s="36" t="s">
        <v>318</v>
      </c>
      <c r="I286" s="37" t="s">
        <v>401</v>
      </c>
      <c r="J286" s="37">
        <v>5999</v>
      </c>
      <c r="K286" s="37">
        <v>5999</v>
      </c>
      <c r="L286" s="35">
        <v>61034200</v>
      </c>
      <c r="M286" s="33">
        <v>18</v>
      </c>
      <c r="N286" s="33" t="s">
        <v>328</v>
      </c>
      <c r="O286" s="34" t="s">
        <v>54</v>
      </c>
      <c r="P286" s="33" t="s">
        <v>328</v>
      </c>
      <c r="Q286" s="39" t="s">
        <v>321</v>
      </c>
      <c r="R286" s="44">
        <v>5</v>
      </c>
      <c r="S286" s="37"/>
    </row>
    <row r="287" spans="1:19" x14ac:dyDescent="0.2">
      <c r="A287" s="31" t="str">
        <f t="shared" si="9"/>
        <v>8905302263307_Blu</v>
      </c>
      <c r="B287" s="41">
        <v>8905302263307</v>
      </c>
      <c r="C287" s="33" t="str">
        <f t="shared" si="8"/>
        <v>8905302263307_Blu_M</v>
      </c>
      <c r="D287" s="34" t="s">
        <v>508</v>
      </c>
      <c r="E287" s="35" t="s">
        <v>27</v>
      </c>
      <c r="F287" s="37" t="s">
        <v>34</v>
      </c>
      <c r="G287" s="36" t="s">
        <v>317</v>
      </c>
      <c r="H287" s="36" t="s">
        <v>318</v>
      </c>
      <c r="I287" s="37" t="s">
        <v>401</v>
      </c>
      <c r="J287" s="37">
        <v>5999</v>
      </c>
      <c r="K287" s="37">
        <v>5999</v>
      </c>
      <c r="L287" s="35">
        <v>61034200</v>
      </c>
      <c r="M287" s="33">
        <v>18</v>
      </c>
      <c r="N287" s="33" t="s">
        <v>328</v>
      </c>
      <c r="O287" s="34" t="s">
        <v>61</v>
      </c>
      <c r="P287" s="33" t="s">
        <v>328</v>
      </c>
      <c r="Q287" s="39" t="s">
        <v>321</v>
      </c>
      <c r="R287" s="44">
        <v>5</v>
      </c>
      <c r="S287" s="37"/>
    </row>
    <row r="288" spans="1:19" x14ac:dyDescent="0.2">
      <c r="A288" s="31" t="str">
        <f t="shared" si="9"/>
        <v>8905302263308_Blu</v>
      </c>
      <c r="B288" s="41">
        <v>8905302263308</v>
      </c>
      <c r="C288" s="33" t="str">
        <f t="shared" si="8"/>
        <v>8905302263308_Blu_L</v>
      </c>
      <c r="D288" s="34" t="s">
        <v>508</v>
      </c>
      <c r="E288" s="35" t="s">
        <v>27</v>
      </c>
      <c r="F288" s="37" t="s">
        <v>34</v>
      </c>
      <c r="G288" s="36" t="s">
        <v>317</v>
      </c>
      <c r="H288" s="36" t="s">
        <v>318</v>
      </c>
      <c r="I288" s="37" t="s">
        <v>401</v>
      </c>
      <c r="J288" s="37">
        <v>5999</v>
      </c>
      <c r="K288" s="37">
        <v>5999</v>
      </c>
      <c r="L288" s="35">
        <v>61034200</v>
      </c>
      <c r="M288" s="33">
        <v>18</v>
      </c>
      <c r="N288" s="33" t="s">
        <v>328</v>
      </c>
      <c r="O288" s="34" t="s">
        <v>44</v>
      </c>
      <c r="P288" s="33" t="s">
        <v>328</v>
      </c>
      <c r="Q288" s="39" t="s">
        <v>321</v>
      </c>
      <c r="R288" s="44">
        <v>5</v>
      </c>
      <c r="S288" s="37"/>
    </row>
    <row r="289" spans="1:19" x14ac:dyDescent="0.2">
      <c r="A289" s="31" t="str">
        <f t="shared" si="9"/>
        <v>8905302263309_Blu</v>
      </c>
      <c r="B289" s="41">
        <v>8905302263309</v>
      </c>
      <c r="C289" s="33" t="str">
        <f t="shared" si="8"/>
        <v>8905302263309_Blu_M</v>
      </c>
      <c r="D289" s="34" t="s">
        <v>509</v>
      </c>
      <c r="E289" s="35" t="s">
        <v>27</v>
      </c>
      <c r="F289" s="37" t="s">
        <v>34</v>
      </c>
      <c r="G289" s="36" t="s">
        <v>317</v>
      </c>
      <c r="H289" s="36" t="s">
        <v>318</v>
      </c>
      <c r="I289" s="37" t="s">
        <v>401</v>
      </c>
      <c r="J289" s="37">
        <v>4999</v>
      </c>
      <c r="K289" s="37">
        <v>4999</v>
      </c>
      <c r="L289" s="35">
        <v>61034200</v>
      </c>
      <c r="M289" s="33">
        <v>18</v>
      </c>
      <c r="N289" s="33" t="s">
        <v>328</v>
      </c>
      <c r="O289" s="34" t="s">
        <v>61</v>
      </c>
      <c r="P289" s="33" t="s">
        <v>328</v>
      </c>
      <c r="Q289" s="39" t="s">
        <v>321</v>
      </c>
      <c r="R289" s="44">
        <v>1</v>
      </c>
      <c r="S289" s="37"/>
    </row>
    <row r="290" spans="1:19" x14ac:dyDescent="0.2">
      <c r="A290" s="31" t="str">
        <f t="shared" si="9"/>
        <v>8905302263310_Blu</v>
      </c>
      <c r="B290" s="41">
        <v>8905302263310</v>
      </c>
      <c r="C290" s="33" t="str">
        <f t="shared" si="8"/>
        <v>8905302263310_Blu_L</v>
      </c>
      <c r="D290" s="34" t="s">
        <v>509</v>
      </c>
      <c r="E290" s="35" t="s">
        <v>27</v>
      </c>
      <c r="F290" s="37" t="s">
        <v>34</v>
      </c>
      <c r="G290" s="36" t="s">
        <v>317</v>
      </c>
      <c r="H290" s="36" t="s">
        <v>318</v>
      </c>
      <c r="I290" s="37" t="s">
        <v>401</v>
      </c>
      <c r="J290" s="37">
        <v>4999</v>
      </c>
      <c r="K290" s="37">
        <v>4999</v>
      </c>
      <c r="L290" s="35">
        <v>61034200</v>
      </c>
      <c r="M290" s="33">
        <v>18</v>
      </c>
      <c r="N290" s="33" t="s">
        <v>328</v>
      </c>
      <c r="O290" s="34" t="s">
        <v>44</v>
      </c>
      <c r="P290" s="33" t="s">
        <v>328</v>
      </c>
      <c r="Q290" s="39" t="s">
        <v>321</v>
      </c>
      <c r="R290" s="44">
        <v>1</v>
      </c>
      <c r="S290" s="37"/>
    </row>
    <row r="291" spans="1:19" x14ac:dyDescent="0.2">
      <c r="A291" s="31" t="str">
        <f t="shared" si="9"/>
        <v>8905302263311_Blu</v>
      </c>
      <c r="B291" s="41">
        <v>8905302263311</v>
      </c>
      <c r="C291" s="33" t="str">
        <f t="shared" si="8"/>
        <v>8905302263311_Blu_XL</v>
      </c>
      <c r="D291" s="34" t="s">
        <v>509</v>
      </c>
      <c r="E291" s="35" t="s">
        <v>27</v>
      </c>
      <c r="F291" s="37" t="s">
        <v>34</v>
      </c>
      <c r="G291" s="36" t="s">
        <v>317</v>
      </c>
      <c r="H291" s="36" t="s">
        <v>318</v>
      </c>
      <c r="I291" s="37" t="s">
        <v>401</v>
      </c>
      <c r="J291" s="37">
        <v>4999</v>
      </c>
      <c r="K291" s="37">
        <v>4999</v>
      </c>
      <c r="L291" s="35">
        <v>61034200</v>
      </c>
      <c r="M291" s="33">
        <v>18</v>
      </c>
      <c r="N291" s="33" t="s">
        <v>328</v>
      </c>
      <c r="O291" s="34" t="s">
        <v>38</v>
      </c>
      <c r="P291" s="33" t="s">
        <v>328</v>
      </c>
      <c r="Q291" s="39" t="s">
        <v>321</v>
      </c>
      <c r="R291" s="44">
        <v>1</v>
      </c>
      <c r="S291" s="37"/>
    </row>
    <row r="292" spans="1:19" x14ac:dyDescent="0.2">
      <c r="A292" s="31" t="str">
        <f t="shared" si="9"/>
        <v>8905302263312_Blu</v>
      </c>
      <c r="B292" s="41">
        <v>8905302263312</v>
      </c>
      <c r="C292" s="33" t="str">
        <f t="shared" si="8"/>
        <v>8905302263312_Blu_XXL</v>
      </c>
      <c r="D292" s="34" t="s">
        <v>509</v>
      </c>
      <c r="E292" s="35" t="s">
        <v>27</v>
      </c>
      <c r="F292" s="37" t="s">
        <v>34</v>
      </c>
      <c r="G292" s="36" t="s">
        <v>317</v>
      </c>
      <c r="H292" s="36" t="s">
        <v>318</v>
      </c>
      <c r="I292" s="37" t="s">
        <v>401</v>
      </c>
      <c r="J292" s="37">
        <v>4999</v>
      </c>
      <c r="K292" s="37">
        <v>4999</v>
      </c>
      <c r="L292" s="35">
        <v>61034200</v>
      </c>
      <c r="M292" s="33">
        <v>18</v>
      </c>
      <c r="N292" s="33" t="s">
        <v>328</v>
      </c>
      <c r="O292" s="34" t="s">
        <v>84</v>
      </c>
      <c r="P292" s="33" t="s">
        <v>328</v>
      </c>
      <c r="Q292" s="39" t="s">
        <v>321</v>
      </c>
      <c r="R292" s="44"/>
      <c r="S292" s="37"/>
    </row>
    <row r="293" spans="1:19" ht="16" x14ac:dyDescent="0.2">
      <c r="A293" s="31" t="str">
        <f t="shared" si="9"/>
        <v>8905302263313_Blu</v>
      </c>
      <c r="B293" s="41">
        <v>8905302263313</v>
      </c>
      <c r="C293" s="33" t="str">
        <f t="shared" si="8"/>
        <v>8905302263313_Blu_S</v>
      </c>
      <c r="D293" s="34" t="s">
        <v>510</v>
      </c>
      <c r="E293" s="35" t="s">
        <v>27</v>
      </c>
      <c r="F293" s="37" t="s">
        <v>377</v>
      </c>
      <c r="G293" s="36" t="s">
        <v>317</v>
      </c>
      <c r="H293" s="36" t="s">
        <v>318</v>
      </c>
      <c r="I293" s="37" t="s">
        <v>378</v>
      </c>
      <c r="J293" s="38">
        <v>6999</v>
      </c>
      <c r="K293" s="38">
        <v>6999</v>
      </c>
      <c r="L293" s="35">
        <v>61034200</v>
      </c>
      <c r="M293" s="33">
        <v>18</v>
      </c>
      <c r="N293" s="33" t="s">
        <v>328</v>
      </c>
      <c r="O293" s="34" t="s">
        <v>54</v>
      </c>
      <c r="P293" s="33" t="s">
        <v>328</v>
      </c>
      <c r="Q293" s="39" t="s">
        <v>321</v>
      </c>
      <c r="R293" s="44">
        <v>2</v>
      </c>
      <c r="S293" s="37"/>
    </row>
    <row r="294" spans="1:19" ht="16" x14ac:dyDescent="0.2">
      <c r="A294" s="31" t="str">
        <f t="shared" si="9"/>
        <v>8905302263314_Blu</v>
      </c>
      <c r="B294" s="41">
        <v>8905302263314</v>
      </c>
      <c r="C294" s="33" t="str">
        <f t="shared" si="8"/>
        <v>8905302263314_Blu_M</v>
      </c>
      <c r="D294" s="34" t="s">
        <v>510</v>
      </c>
      <c r="E294" s="35" t="s">
        <v>27</v>
      </c>
      <c r="F294" s="37" t="s">
        <v>377</v>
      </c>
      <c r="G294" s="36" t="s">
        <v>317</v>
      </c>
      <c r="H294" s="36" t="s">
        <v>318</v>
      </c>
      <c r="I294" s="37" t="s">
        <v>378</v>
      </c>
      <c r="J294" s="38">
        <v>6999</v>
      </c>
      <c r="K294" s="38">
        <v>6999</v>
      </c>
      <c r="L294" s="35">
        <v>61034200</v>
      </c>
      <c r="M294" s="33">
        <v>18</v>
      </c>
      <c r="N294" s="33" t="s">
        <v>328</v>
      </c>
      <c r="O294" s="34" t="s">
        <v>61</v>
      </c>
      <c r="P294" s="33" t="s">
        <v>328</v>
      </c>
      <c r="Q294" s="39" t="s">
        <v>321</v>
      </c>
      <c r="R294" s="44">
        <v>2</v>
      </c>
      <c r="S294" s="37"/>
    </row>
    <row r="295" spans="1:19" ht="16" x14ac:dyDescent="0.2">
      <c r="A295" s="31" t="str">
        <f t="shared" si="9"/>
        <v>8905302263315_Blu</v>
      </c>
      <c r="B295" s="41">
        <v>8905302263315</v>
      </c>
      <c r="C295" s="33" t="str">
        <f t="shared" ref="C295:C358" si="10">B295 &amp; "_" &amp; LEFT(N295,3) &amp; "_" &amp; O295</f>
        <v>8905302263315_Blu_L</v>
      </c>
      <c r="D295" s="34" t="s">
        <v>510</v>
      </c>
      <c r="E295" s="35" t="s">
        <v>27</v>
      </c>
      <c r="F295" s="37" t="s">
        <v>377</v>
      </c>
      <c r="G295" s="36" t="s">
        <v>317</v>
      </c>
      <c r="H295" s="36" t="s">
        <v>318</v>
      </c>
      <c r="I295" s="37" t="s">
        <v>378</v>
      </c>
      <c r="J295" s="38">
        <v>6999</v>
      </c>
      <c r="K295" s="38">
        <v>6999</v>
      </c>
      <c r="L295" s="35">
        <v>61034200</v>
      </c>
      <c r="M295" s="33">
        <v>18</v>
      </c>
      <c r="N295" s="33" t="s">
        <v>328</v>
      </c>
      <c r="O295" s="34" t="s">
        <v>44</v>
      </c>
      <c r="P295" s="33" t="s">
        <v>328</v>
      </c>
      <c r="Q295" s="39" t="s">
        <v>321</v>
      </c>
      <c r="R295" s="44">
        <v>2</v>
      </c>
      <c r="S295" s="37"/>
    </row>
    <row r="296" spans="1:19" ht="16" x14ac:dyDescent="0.2">
      <c r="A296" s="31" t="str">
        <f t="shared" si="9"/>
        <v>8905302263316_Blu</v>
      </c>
      <c r="B296" s="41">
        <v>8905302263316</v>
      </c>
      <c r="C296" s="33" t="str">
        <f t="shared" si="10"/>
        <v>8905302263316_Blu_XL</v>
      </c>
      <c r="D296" s="34" t="s">
        <v>510</v>
      </c>
      <c r="E296" s="35" t="s">
        <v>27</v>
      </c>
      <c r="F296" s="37" t="s">
        <v>377</v>
      </c>
      <c r="G296" s="36" t="s">
        <v>317</v>
      </c>
      <c r="H296" s="36" t="s">
        <v>318</v>
      </c>
      <c r="I296" s="37" t="s">
        <v>378</v>
      </c>
      <c r="J296" s="38">
        <v>6999</v>
      </c>
      <c r="K296" s="38">
        <v>6999</v>
      </c>
      <c r="L296" s="35">
        <v>61034200</v>
      </c>
      <c r="M296" s="33">
        <v>18</v>
      </c>
      <c r="N296" s="33" t="s">
        <v>328</v>
      </c>
      <c r="O296" s="34" t="s">
        <v>38</v>
      </c>
      <c r="P296" s="33" t="s">
        <v>328</v>
      </c>
      <c r="Q296" s="39" t="s">
        <v>321</v>
      </c>
      <c r="R296" s="44">
        <v>2</v>
      </c>
      <c r="S296" s="37"/>
    </row>
    <row r="297" spans="1:19" ht="16" x14ac:dyDescent="0.2">
      <c r="A297" s="31" t="str">
        <f t="shared" si="9"/>
        <v>8905302263317_Bla</v>
      </c>
      <c r="B297" s="41">
        <v>8905302263317</v>
      </c>
      <c r="C297" s="33" t="str">
        <f t="shared" si="10"/>
        <v>8905302263317_Bla_S</v>
      </c>
      <c r="D297" s="37" t="s">
        <v>511</v>
      </c>
      <c r="E297" s="35" t="s">
        <v>27</v>
      </c>
      <c r="F297" s="37" t="s">
        <v>377</v>
      </c>
      <c r="G297" s="36" t="s">
        <v>317</v>
      </c>
      <c r="H297" s="36" t="s">
        <v>318</v>
      </c>
      <c r="I297" s="37" t="s">
        <v>378</v>
      </c>
      <c r="J297" s="38">
        <v>6999</v>
      </c>
      <c r="K297" s="38">
        <v>6999</v>
      </c>
      <c r="L297" s="35">
        <v>61034200</v>
      </c>
      <c r="M297" s="33">
        <v>18</v>
      </c>
      <c r="N297" s="33" t="s">
        <v>326</v>
      </c>
      <c r="O297" s="34" t="s">
        <v>54</v>
      </c>
      <c r="P297" s="33" t="s">
        <v>326</v>
      </c>
      <c r="Q297" s="39" t="s">
        <v>321</v>
      </c>
      <c r="R297" s="44">
        <v>5</v>
      </c>
      <c r="S297" s="37"/>
    </row>
    <row r="298" spans="1:19" ht="16" x14ac:dyDescent="0.2">
      <c r="A298" s="31" t="str">
        <f t="shared" si="9"/>
        <v>8905302263318_Bla</v>
      </c>
      <c r="B298" s="41">
        <v>8905302263318</v>
      </c>
      <c r="C298" s="33" t="str">
        <f t="shared" si="10"/>
        <v>8905302263318_Bla_M</v>
      </c>
      <c r="D298" s="37" t="s">
        <v>511</v>
      </c>
      <c r="E298" s="35" t="s">
        <v>27</v>
      </c>
      <c r="F298" s="37" t="s">
        <v>377</v>
      </c>
      <c r="G298" s="36" t="s">
        <v>317</v>
      </c>
      <c r="H298" s="36" t="s">
        <v>318</v>
      </c>
      <c r="I298" s="37" t="s">
        <v>378</v>
      </c>
      <c r="J298" s="38">
        <v>6999</v>
      </c>
      <c r="K298" s="38">
        <v>6999</v>
      </c>
      <c r="L298" s="35">
        <v>61034200</v>
      </c>
      <c r="M298" s="33">
        <v>18</v>
      </c>
      <c r="N298" s="33" t="s">
        <v>326</v>
      </c>
      <c r="O298" s="34" t="s">
        <v>61</v>
      </c>
      <c r="P298" s="33" t="s">
        <v>326</v>
      </c>
      <c r="Q298" s="39" t="s">
        <v>321</v>
      </c>
      <c r="R298" s="44">
        <v>3</v>
      </c>
      <c r="S298" s="37"/>
    </row>
    <row r="299" spans="1:19" ht="16" x14ac:dyDescent="0.2">
      <c r="A299" s="31" t="str">
        <f t="shared" si="9"/>
        <v>8905302263319_Bla</v>
      </c>
      <c r="B299" s="41">
        <v>8905302263319</v>
      </c>
      <c r="C299" s="33" t="str">
        <f t="shared" si="10"/>
        <v>8905302263319_Bla_L</v>
      </c>
      <c r="D299" s="37" t="s">
        <v>511</v>
      </c>
      <c r="E299" s="35" t="s">
        <v>27</v>
      </c>
      <c r="F299" s="37" t="s">
        <v>377</v>
      </c>
      <c r="G299" s="36" t="s">
        <v>317</v>
      </c>
      <c r="H299" s="36" t="s">
        <v>318</v>
      </c>
      <c r="I299" s="37" t="s">
        <v>378</v>
      </c>
      <c r="J299" s="38">
        <v>6999</v>
      </c>
      <c r="K299" s="38">
        <v>6999</v>
      </c>
      <c r="L299" s="35">
        <v>61034200</v>
      </c>
      <c r="M299" s="33">
        <v>18</v>
      </c>
      <c r="N299" s="33" t="s">
        <v>326</v>
      </c>
      <c r="O299" s="34" t="s">
        <v>44</v>
      </c>
      <c r="P299" s="33" t="s">
        <v>326</v>
      </c>
      <c r="Q299" s="39" t="s">
        <v>321</v>
      </c>
      <c r="R299" s="44">
        <v>4</v>
      </c>
      <c r="S299" s="37"/>
    </row>
    <row r="300" spans="1:19" ht="16" x14ac:dyDescent="0.2">
      <c r="A300" s="31" t="str">
        <f t="shared" si="9"/>
        <v>8905302263320_Bla</v>
      </c>
      <c r="B300" s="41">
        <v>8905302263320</v>
      </c>
      <c r="C300" s="33" t="str">
        <f t="shared" si="10"/>
        <v>8905302263320_Bla_XL</v>
      </c>
      <c r="D300" s="37" t="s">
        <v>511</v>
      </c>
      <c r="E300" s="35" t="s">
        <v>27</v>
      </c>
      <c r="F300" s="37" t="s">
        <v>377</v>
      </c>
      <c r="G300" s="36" t="s">
        <v>317</v>
      </c>
      <c r="H300" s="36" t="s">
        <v>318</v>
      </c>
      <c r="I300" s="37" t="s">
        <v>378</v>
      </c>
      <c r="J300" s="38">
        <v>6999</v>
      </c>
      <c r="K300" s="38">
        <v>6999</v>
      </c>
      <c r="L300" s="35">
        <v>61034200</v>
      </c>
      <c r="M300" s="33">
        <v>18</v>
      </c>
      <c r="N300" s="33" t="s">
        <v>326</v>
      </c>
      <c r="O300" s="34" t="s">
        <v>38</v>
      </c>
      <c r="P300" s="33" t="s">
        <v>326</v>
      </c>
      <c r="Q300" s="39" t="s">
        <v>321</v>
      </c>
      <c r="R300" s="44">
        <v>4</v>
      </c>
      <c r="S300" s="37"/>
    </row>
    <row r="301" spans="1:19" x14ac:dyDescent="0.2">
      <c r="A301" s="31" t="str">
        <f t="shared" si="9"/>
        <v>8905302263321_Gre</v>
      </c>
      <c r="B301" s="41">
        <v>8905302263321</v>
      </c>
      <c r="C301" s="33" t="str">
        <f t="shared" si="10"/>
        <v>8905302263321_Gre_S</v>
      </c>
      <c r="D301" s="43" t="s">
        <v>512</v>
      </c>
      <c r="E301" s="35" t="s">
        <v>27</v>
      </c>
      <c r="F301" s="43" t="s">
        <v>34</v>
      </c>
      <c r="G301" s="36" t="s">
        <v>317</v>
      </c>
      <c r="H301" s="36" t="s">
        <v>318</v>
      </c>
      <c r="I301" s="37" t="s">
        <v>401</v>
      </c>
      <c r="J301" s="39">
        <v>6999</v>
      </c>
      <c r="K301" s="39">
        <v>6999</v>
      </c>
      <c r="L301" s="35">
        <v>61034200</v>
      </c>
      <c r="M301" s="33">
        <v>18</v>
      </c>
      <c r="N301" s="33" t="s">
        <v>492</v>
      </c>
      <c r="O301" s="36" t="s">
        <v>54</v>
      </c>
      <c r="P301" s="33" t="s">
        <v>492</v>
      </c>
      <c r="Q301" s="39" t="s">
        <v>321</v>
      </c>
      <c r="R301" s="44">
        <v>2</v>
      </c>
      <c r="S301" s="37"/>
    </row>
    <row r="302" spans="1:19" x14ac:dyDescent="0.2">
      <c r="A302" s="31" t="str">
        <f t="shared" si="9"/>
        <v>8905302263322_Gre</v>
      </c>
      <c r="B302" s="41">
        <v>8905302263322</v>
      </c>
      <c r="C302" s="33" t="str">
        <f t="shared" si="10"/>
        <v>8905302263322_Gre_M</v>
      </c>
      <c r="D302" s="43" t="s">
        <v>512</v>
      </c>
      <c r="E302" s="35" t="s">
        <v>27</v>
      </c>
      <c r="F302" s="43" t="s">
        <v>34</v>
      </c>
      <c r="G302" s="36" t="s">
        <v>317</v>
      </c>
      <c r="H302" s="36" t="s">
        <v>318</v>
      </c>
      <c r="I302" s="37" t="s">
        <v>401</v>
      </c>
      <c r="J302" s="39">
        <v>6999</v>
      </c>
      <c r="K302" s="39">
        <v>6999</v>
      </c>
      <c r="L302" s="35">
        <v>61034200</v>
      </c>
      <c r="M302" s="33">
        <v>18</v>
      </c>
      <c r="N302" s="33" t="s">
        <v>492</v>
      </c>
      <c r="O302" s="36" t="s">
        <v>61</v>
      </c>
      <c r="P302" s="33" t="s">
        <v>492</v>
      </c>
      <c r="Q302" s="39" t="s">
        <v>321</v>
      </c>
      <c r="R302" s="44">
        <v>2</v>
      </c>
      <c r="S302" s="37"/>
    </row>
    <row r="303" spans="1:19" x14ac:dyDescent="0.2">
      <c r="A303" s="31" t="str">
        <f t="shared" si="9"/>
        <v>8905302263323_Gre</v>
      </c>
      <c r="B303" s="41">
        <v>8905302263323</v>
      </c>
      <c r="C303" s="33" t="str">
        <f t="shared" si="10"/>
        <v>8905302263323_Gre_L</v>
      </c>
      <c r="D303" s="43" t="s">
        <v>512</v>
      </c>
      <c r="E303" s="35" t="s">
        <v>27</v>
      </c>
      <c r="F303" s="43" t="s">
        <v>34</v>
      </c>
      <c r="G303" s="36" t="s">
        <v>317</v>
      </c>
      <c r="H303" s="36" t="s">
        <v>318</v>
      </c>
      <c r="I303" s="37" t="s">
        <v>401</v>
      </c>
      <c r="J303" s="39">
        <v>6999</v>
      </c>
      <c r="K303" s="39">
        <v>6999</v>
      </c>
      <c r="L303" s="35">
        <v>61034200</v>
      </c>
      <c r="M303" s="33">
        <v>18</v>
      </c>
      <c r="N303" s="33" t="s">
        <v>492</v>
      </c>
      <c r="O303" s="36" t="s">
        <v>44</v>
      </c>
      <c r="P303" s="33" t="s">
        <v>492</v>
      </c>
      <c r="Q303" s="39" t="s">
        <v>321</v>
      </c>
      <c r="R303" s="44">
        <v>2</v>
      </c>
      <c r="S303" s="37"/>
    </row>
    <row r="304" spans="1:19" ht="16" x14ac:dyDescent="0.2">
      <c r="A304" s="31" t="str">
        <f t="shared" si="9"/>
        <v>8905302263324_Cha</v>
      </c>
      <c r="B304" s="41">
        <v>8905302263324</v>
      </c>
      <c r="C304" s="33" t="str">
        <f t="shared" si="10"/>
        <v>8905302263324_Cha_S</v>
      </c>
      <c r="D304" s="34" t="s">
        <v>513</v>
      </c>
      <c r="E304" s="35" t="s">
        <v>27</v>
      </c>
      <c r="F304" s="34" t="s">
        <v>34</v>
      </c>
      <c r="G304" s="36" t="s">
        <v>317</v>
      </c>
      <c r="H304" s="36" t="s">
        <v>318</v>
      </c>
      <c r="I304" s="37" t="s">
        <v>401</v>
      </c>
      <c r="J304" s="38">
        <v>5999</v>
      </c>
      <c r="K304" s="38">
        <v>5999</v>
      </c>
      <c r="L304" s="35">
        <v>61034200</v>
      </c>
      <c r="M304" s="33">
        <v>18</v>
      </c>
      <c r="N304" s="33" t="s">
        <v>381</v>
      </c>
      <c r="O304" s="34" t="s">
        <v>54</v>
      </c>
      <c r="P304" s="34" t="s">
        <v>337</v>
      </c>
      <c r="Q304" s="39" t="s">
        <v>321</v>
      </c>
      <c r="R304" s="44">
        <v>4</v>
      </c>
      <c r="S304" s="37"/>
    </row>
    <row r="305" spans="1:23" ht="16" x14ac:dyDescent="0.2">
      <c r="A305" s="31" t="str">
        <f t="shared" si="9"/>
        <v>8905302263325_Cha</v>
      </c>
      <c r="B305" s="41">
        <v>8905302263325</v>
      </c>
      <c r="C305" s="33" t="str">
        <f t="shared" si="10"/>
        <v>8905302263325_Cha_M</v>
      </c>
      <c r="D305" s="34" t="s">
        <v>513</v>
      </c>
      <c r="E305" s="35" t="s">
        <v>27</v>
      </c>
      <c r="F305" s="34" t="s">
        <v>34</v>
      </c>
      <c r="G305" s="36" t="s">
        <v>317</v>
      </c>
      <c r="H305" s="36" t="s">
        <v>318</v>
      </c>
      <c r="I305" s="37" t="s">
        <v>401</v>
      </c>
      <c r="J305" s="38">
        <v>5999</v>
      </c>
      <c r="K305" s="38">
        <v>5999</v>
      </c>
      <c r="L305" s="35">
        <v>61034200</v>
      </c>
      <c r="M305" s="33">
        <v>18</v>
      </c>
      <c r="N305" s="33" t="s">
        <v>381</v>
      </c>
      <c r="O305" s="34" t="s">
        <v>61</v>
      </c>
      <c r="P305" s="34" t="s">
        <v>337</v>
      </c>
      <c r="Q305" s="39" t="s">
        <v>321</v>
      </c>
      <c r="R305" s="44">
        <v>4</v>
      </c>
      <c r="S305" s="37"/>
    </row>
    <row r="306" spans="1:23" ht="16" x14ac:dyDescent="0.2">
      <c r="A306" s="31" t="str">
        <f t="shared" si="9"/>
        <v>8905302263326_Cha</v>
      </c>
      <c r="B306" s="41">
        <v>8905302263326</v>
      </c>
      <c r="C306" s="33" t="str">
        <f t="shared" si="10"/>
        <v>8905302263326_Cha_L</v>
      </c>
      <c r="D306" s="34" t="s">
        <v>513</v>
      </c>
      <c r="E306" s="35" t="s">
        <v>27</v>
      </c>
      <c r="F306" s="34" t="s">
        <v>34</v>
      </c>
      <c r="G306" s="36" t="s">
        <v>317</v>
      </c>
      <c r="H306" s="36" t="s">
        <v>318</v>
      </c>
      <c r="I306" s="37" t="s">
        <v>401</v>
      </c>
      <c r="J306" s="38">
        <v>5999</v>
      </c>
      <c r="K306" s="38">
        <v>5999</v>
      </c>
      <c r="L306" s="35">
        <v>61034200</v>
      </c>
      <c r="M306" s="33">
        <v>18</v>
      </c>
      <c r="N306" s="33" t="s">
        <v>381</v>
      </c>
      <c r="O306" s="34" t="s">
        <v>44</v>
      </c>
      <c r="P306" s="34" t="s">
        <v>337</v>
      </c>
      <c r="Q306" s="39" t="s">
        <v>321</v>
      </c>
      <c r="R306" s="44">
        <v>2</v>
      </c>
      <c r="S306" s="37"/>
    </row>
    <row r="307" spans="1:23" ht="16" x14ac:dyDescent="0.2">
      <c r="A307" s="31" t="str">
        <f t="shared" si="9"/>
        <v>8905302263327_Cha</v>
      </c>
      <c r="B307" s="41">
        <v>8905302263327</v>
      </c>
      <c r="C307" s="33" t="str">
        <f t="shared" si="10"/>
        <v>8905302263327_Cha_XL</v>
      </c>
      <c r="D307" s="34" t="s">
        <v>513</v>
      </c>
      <c r="E307" s="35" t="s">
        <v>27</v>
      </c>
      <c r="F307" s="34" t="s">
        <v>34</v>
      </c>
      <c r="G307" s="36" t="s">
        <v>317</v>
      </c>
      <c r="H307" s="36" t="s">
        <v>318</v>
      </c>
      <c r="I307" s="37" t="s">
        <v>401</v>
      </c>
      <c r="J307" s="38">
        <v>5999</v>
      </c>
      <c r="K307" s="38">
        <v>5999</v>
      </c>
      <c r="L307" s="35">
        <v>61034200</v>
      </c>
      <c r="M307" s="33">
        <v>18</v>
      </c>
      <c r="N307" s="33" t="s">
        <v>381</v>
      </c>
      <c r="O307" s="34" t="s">
        <v>38</v>
      </c>
      <c r="P307" s="34" t="s">
        <v>337</v>
      </c>
      <c r="Q307" s="39" t="s">
        <v>321</v>
      </c>
      <c r="R307" s="44">
        <v>4</v>
      </c>
      <c r="S307" s="37"/>
    </row>
    <row r="308" spans="1:23" x14ac:dyDescent="0.2">
      <c r="A308" s="31" t="str">
        <f t="shared" si="9"/>
        <v>8905302263328_Ora</v>
      </c>
      <c r="B308" s="41">
        <v>8905302263328</v>
      </c>
      <c r="C308" s="33" t="str">
        <f t="shared" si="10"/>
        <v>8905302263328_Ora_S</v>
      </c>
      <c r="D308" s="43" t="s">
        <v>514</v>
      </c>
      <c r="E308" s="35" t="s">
        <v>27</v>
      </c>
      <c r="F308" s="34" t="s">
        <v>34</v>
      </c>
      <c r="G308" s="36" t="s">
        <v>317</v>
      </c>
      <c r="H308" s="36" t="s">
        <v>318</v>
      </c>
      <c r="I308" s="37" t="s">
        <v>401</v>
      </c>
      <c r="J308" s="39">
        <v>4999</v>
      </c>
      <c r="K308" s="39">
        <v>4999</v>
      </c>
      <c r="L308" s="35">
        <v>61034200</v>
      </c>
      <c r="M308" s="33">
        <v>18</v>
      </c>
      <c r="N308" s="33" t="s">
        <v>515</v>
      </c>
      <c r="O308" s="34" t="s">
        <v>54</v>
      </c>
      <c r="P308" s="33" t="s">
        <v>515</v>
      </c>
      <c r="Q308" s="39" t="s">
        <v>321</v>
      </c>
      <c r="R308" s="44">
        <v>4</v>
      </c>
      <c r="S308" s="37"/>
    </row>
    <row r="309" spans="1:23" x14ac:dyDescent="0.2">
      <c r="A309" s="31" t="str">
        <f t="shared" si="9"/>
        <v>8905302263329_Ora</v>
      </c>
      <c r="B309" s="41">
        <v>8905302263329</v>
      </c>
      <c r="C309" s="33" t="str">
        <f t="shared" si="10"/>
        <v>8905302263329_Ora_M</v>
      </c>
      <c r="D309" s="43" t="s">
        <v>514</v>
      </c>
      <c r="E309" s="35" t="s">
        <v>27</v>
      </c>
      <c r="F309" s="34" t="s">
        <v>34</v>
      </c>
      <c r="G309" s="36" t="s">
        <v>317</v>
      </c>
      <c r="H309" s="36" t="s">
        <v>318</v>
      </c>
      <c r="I309" s="37" t="s">
        <v>401</v>
      </c>
      <c r="J309" s="39">
        <v>4999</v>
      </c>
      <c r="K309" s="39">
        <v>4999</v>
      </c>
      <c r="L309" s="35">
        <v>61034200</v>
      </c>
      <c r="M309" s="33">
        <v>18</v>
      </c>
      <c r="N309" s="33" t="s">
        <v>515</v>
      </c>
      <c r="O309" s="34" t="s">
        <v>61</v>
      </c>
      <c r="P309" s="33" t="s">
        <v>515</v>
      </c>
      <c r="Q309" s="39" t="s">
        <v>321</v>
      </c>
      <c r="R309" s="44">
        <v>4</v>
      </c>
      <c r="S309" s="37"/>
    </row>
    <row r="310" spans="1:23" x14ac:dyDescent="0.2">
      <c r="A310" s="31" t="str">
        <f t="shared" si="9"/>
        <v>8905302263330_Ora</v>
      </c>
      <c r="B310" s="41">
        <v>8905302263330</v>
      </c>
      <c r="C310" s="33" t="str">
        <f t="shared" si="10"/>
        <v>8905302263330_Ora_L</v>
      </c>
      <c r="D310" s="43" t="s">
        <v>514</v>
      </c>
      <c r="E310" s="35" t="s">
        <v>27</v>
      </c>
      <c r="F310" s="34" t="s">
        <v>34</v>
      </c>
      <c r="G310" s="36" t="s">
        <v>317</v>
      </c>
      <c r="H310" s="36" t="s">
        <v>318</v>
      </c>
      <c r="I310" s="37" t="s">
        <v>401</v>
      </c>
      <c r="J310" s="39">
        <v>4999</v>
      </c>
      <c r="K310" s="39">
        <v>4999</v>
      </c>
      <c r="L310" s="35">
        <v>61034200</v>
      </c>
      <c r="M310" s="33">
        <v>18</v>
      </c>
      <c r="N310" s="33" t="s">
        <v>515</v>
      </c>
      <c r="O310" s="34" t="s">
        <v>44</v>
      </c>
      <c r="P310" s="33" t="s">
        <v>515</v>
      </c>
      <c r="Q310" s="39" t="s">
        <v>321</v>
      </c>
      <c r="R310" s="44">
        <v>4</v>
      </c>
      <c r="S310" s="37"/>
    </row>
    <row r="311" spans="1:23" x14ac:dyDescent="0.2">
      <c r="A311" s="31" t="str">
        <f t="shared" si="9"/>
        <v>8905302263331_Nav</v>
      </c>
      <c r="B311" s="41">
        <v>8905302263331</v>
      </c>
      <c r="C311" s="33" t="str">
        <f t="shared" si="10"/>
        <v>8905302263331_Nav_M</v>
      </c>
      <c r="D311" s="34" t="s">
        <v>516</v>
      </c>
      <c r="E311" s="35" t="s">
        <v>27</v>
      </c>
      <c r="F311" s="34" t="s">
        <v>34</v>
      </c>
      <c r="G311" s="36" t="s">
        <v>317</v>
      </c>
      <c r="H311" s="36" t="s">
        <v>318</v>
      </c>
      <c r="I311" s="37" t="s">
        <v>401</v>
      </c>
      <c r="J311" s="39">
        <v>4999</v>
      </c>
      <c r="K311" s="39">
        <v>4999</v>
      </c>
      <c r="L311" s="35">
        <v>61034200</v>
      </c>
      <c r="M311" s="33">
        <v>18</v>
      </c>
      <c r="N311" s="33" t="s">
        <v>348</v>
      </c>
      <c r="O311" s="34" t="s">
        <v>61</v>
      </c>
      <c r="P311" s="33" t="s">
        <v>348</v>
      </c>
      <c r="Q311" s="39" t="s">
        <v>321</v>
      </c>
      <c r="R311" s="44">
        <v>3</v>
      </c>
      <c r="S311" s="37"/>
    </row>
    <row r="312" spans="1:23" x14ac:dyDescent="0.2">
      <c r="A312" s="31" t="str">
        <f t="shared" si="9"/>
        <v>8905302263332_Nav</v>
      </c>
      <c r="B312" s="41">
        <v>8905302263332</v>
      </c>
      <c r="C312" s="33" t="str">
        <f t="shared" si="10"/>
        <v>8905302263332_Nav_L</v>
      </c>
      <c r="D312" s="34" t="s">
        <v>516</v>
      </c>
      <c r="E312" s="35" t="s">
        <v>27</v>
      </c>
      <c r="F312" s="34" t="s">
        <v>34</v>
      </c>
      <c r="G312" s="36" t="s">
        <v>317</v>
      </c>
      <c r="H312" s="36" t="s">
        <v>318</v>
      </c>
      <c r="I312" s="37" t="s">
        <v>401</v>
      </c>
      <c r="J312" s="39">
        <v>4999</v>
      </c>
      <c r="K312" s="39">
        <v>4999</v>
      </c>
      <c r="L312" s="35">
        <v>61034200</v>
      </c>
      <c r="M312" s="33">
        <v>18</v>
      </c>
      <c r="N312" s="33" t="s">
        <v>348</v>
      </c>
      <c r="O312" s="34" t="s">
        <v>44</v>
      </c>
      <c r="P312" s="33" t="s">
        <v>348</v>
      </c>
      <c r="Q312" s="39" t="s">
        <v>321</v>
      </c>
      <c r="R312" s="44">
        <v>3</v>
      </c>
      <c r="S312" s="37"/>
    </row>
    <row r="313" spans="1:23" x14ac:dyDescent="0.2">
      <c r="A313" s="31" t="str">
        <f t="shared" si="9"/>
        <v>8905302263333_Nav</v>
      </c>
      <c r="B313" s="41">
        <v>8905302263333</v>
      </c>
      <c r="C313" s="33" t="str">
        <f t="shared" si="10"/>
        <v>8905302263333_Nav_XL</v>
      </c>
      <c r="D313" s="34" t="s">
        <v>516</v>
      </c>
      <c r="E313" s="35" t="s">
        <v>27</v>
      </c>
      <c r="F313" s="34" t="s">
        <v>34</v>
      </c>
      <c r="G313" s="36" t="s">
        <v>317</v>
      </c>
      <c r="H313" s="36" t="s">
        <v>318</v>
      </c>
      <c r="I313" s="37" t="s">
        <v>401</v>
      </c>
      <c r="J313" s="39">
        <v>4999</v>
      </c>
      <c r="K313" s="39">
        <v>4999</v>
      </c>
      <c r="L313" s="35">
        <v>61034200</v>
      </c>
      <c r="M313" s="33">
        <v>18</v>
      </c>
      <c r="N313" s="33" t="s">
        <v>348</v>
      </c>
      <c r="O313" s="34" t="s">
        <v>38</v>
      </c>
      <c r="P313" s="33" t="s">
        <v>348</v>
      </c>
      <c r="Q313" s="39" t="s">
        <v>321</v>
      </c>
      <c r="R313" s="44">
        <v>3</v>
      </c>
      <c r="S313" s="37"/>
    </row>
    <row r="314" spans="1:23" x14ac:dyDescent="0.2">
      <c r="A314" s="31" t="str">
        <f t="shared" si="9"/>
        <v>8905302263334_Nav</v>
      </c>
      <c r="B314" s="41">
        <v>8905302263334</v>
      </c>
      <c r="C314" s="33" t="str">
        <f t="shared" si="10"/>
        <v>8905302263334_Nav_M</v>
      </c>
      <c r="D314" s="34" t="s">
        <v>517</v>
      </c>
      <c r="E314" s="35" t="s">
        <v>27</v>
      </c>
      <c r="F314" s="34" t="s">
        <v>34</v>
      </c>
      <c r="G314" s="36" t="s">
        <v>317</v>
      </c>
      <c r="H314" s="36" t="s">
        <v>318</v>
      </c>
      <c r="I314" s="37" t="s">
        <v>401</v>
      </c>
      <c r="J314" s="39">
        <v>4999</v>
      </c>
      <c r="K314" s="39">
        <v>4999</v>
      </c>
      <c r="L314" s="35">
        <v>61034200</v>
      </c>
      <c r="M314" s="33">
        <v>18</v>
      </c>
      <c r="N314" s="33" t="s">
        <v>348</v>
      </c>
      <c r="O314" s="34" t="s">
        <v>61</v>
      </c>
      <c r="P314" s="33" t="s">
        <v>348</v>
      </c>
      <c r="Q314" s="39" t="s">
        <v>321</v>
      </c>
      <c r="R314" s="44">
        <v>5</v>
      </c>
      <c r="S314" s="37"/>
    </row>
    <row r="315" spans="1:23" x14ac:dyDescent="0.2">
      <c r="A315" s="31" t="str">
        <f t="shared" si="9"/>
        <v>8905302263335_Gre</v>
      </c>
      <c r="B315" s="41">
        <v>8905302263335</v>
      </c>
      <c r="C315" s="33" t="str">
        <f t="shared" si="10"/>
        <v>8905302263335_Gre_L</v>
      </c>
      <c r="D315" s="34" t="s">
        <v>517</v>
      </c>
      <c r="E315" s="35" t="s">
        <v>27</v>
      </c>
      <c r="F315" s="34" t="s">
        <v>34</v>
      </c>
      <c r="G315" s="36" t="s">
        <v>317</v>
      </c>
      <c r="H315" s="36" t="s">
        <v>318</v>
      </c>
      <c r="I315" s="37" t="s">
        <v>401</v>
      </c>
      <c r="J315" s="39">
        <v>7999</v>
      </c>
      <c r="K315" s="39">
        <v>7999</v>
      </c>
      <c r="L315" s="35">
        <v>61034200</v>
      </c>
      <c r="M315" s="33">
        <v>18</v>
      </c>
      <c r="N315" s="33" t="s">
        <v>492</v>
      </c>
      <c r="O315" s="34" t="s">
        <v>44</v>
      </c>
      <c r="P315" s="33" t="s">
        <v>492</v>
      </c>
      <c r="Q315" s="39" t="s">
        <v>321</v>
      </c>
      <c r="R315" s="44">
        <v>4</v>
      </c>
      <c r="S315" s="37"/>
    </row>
    <row r="316" spans="1:23" x14ac:dyDescent="0.2">
      <c r="A316" s="31" t="str">
        <f t="shared" si="9"/>
        <v>8905302263336_Gre</v>
      </c>
      <c r="B316" s="41">
        <v>8905302263336</v>
      </c>
      <c r="C316" s="33" t="str">
        <f t="shared" si="10"/>
        <v>8905302263336_Gre_XL</v>
      </c>
      <c r="D316" s="34" t="s">
        <v>517</v>
      </c>
      <c r="E316" s="35" t="s">
        <v>27</v>
      </c>
      <c r="F316" s="34" t="s">
        <v>34</v>
      </c>
      <c r="G316" s="36" t="s">
        <v>317</v>
      </c>
      <c r="H316" s="36" t="s">
        <v>318</v>
      </c>
      <c r="I316" s="37" t="s">
        <v>401</v>
      </c>
      <c r="J316" s="39">
        <v>7999</v>
      </c>
      <c r="K316" s="39">
        <v>7999</v>
      </c>
      <c r="L316" s="35">
        <v>61034200</v>
      </c>
      <c r="M316" s="33">
        <v>18</v>
      </c>
      <c r="N316" s="33" t="s">
        <v>492</v>
      </c>
      <c r="O316" s="34" t="s">
        <v>38</v>
      </c>
      <c r="P316" s="33" t="s">
        <v>492</v>
      </c>
      <c r="Q316" s="39" t="s">
        <v>321</v>
      </c>
      <c r="R316" s="44">
        <v>6</v>
      </c>
      <c r="S316" s="37"/>
    </row>
    <row r="317" spans="1:23" x14ac:dyDescent="0.2">
      <c r="A317" s="31" t="str">
        <f t="shared" si="9"/>
        <v>8905302263337_Gre</v>
      </c>
      <c r="B317" s="41">
        <v>8905302263337</v>
      </c>
      <c r="C317" s="33" t="str">
        <f t="shared" si="10"/>
        <v>8905302263337_Gre_XXL</v>
      </c>
      <c r="D317" s="34" t="s">
        <v>517</v>
      </c>
      <c r="E317" s="35" t="s">
        <v>27</v>
      </c>
      <c r="F317" s="34" t="s">
        <v>34</v>
      </c>
      <c r="G317" s="36" t="s">
        <v>317</v>
      </c>
      <c r="H317" s="36" t="s">
        <v>318</v>
      </c>
      <c r="I317" s="37" t="s">
        <v>401</v>
      </c>
      <c r="J317" s="39">
        <v>7999</v>
      </c>
      <c r="K317" s="39">
        <v>7999</v>
      </c>
      <c r="L317" s="35">
        <v>61034200</v>
      </c>
      <c r="M317" s="33">
        <v>18</v>
      </c>
      <c r="N317" s="33" t="s">
        <v>492</v>
      </c>
      <c r="O317" s="34" t="s">
        <v>84</v>
      </c>
      <c r="P317" s="33" t="s">
        <v>492</v>
      </c>
      <c r="Q317" s="39" t="s">
        <v>321</v>
      </c>
      <c r="R317" s="44">
        <v>2</v>
      </c>
      <c r="S317" s="37"/>
    </row>
    <row r="318" spans="1:23" x14ac:dyDescent="0.2">
      <c r="A318" s="113" t="str">
        <f t="shared" si="9"/>
        <v>8905302263338_Nav</v>
      </c>
      <c r="B318" s="114">
        <v>8905302263338</v>
      </c>
      <c r="C318" s="115" t="str">
        <f t="shared" si="10"/>
        <v>8905302263338_Nav_s</v>
      </c>
      <c r="D318" s="151" t="s">
        <v>503</v>
      </c>
      <c r="E318" s="116" t="s">
        <v>27</v>
      </c>
      <c r="F318" s="47" t="s">
        <v>34</v>
      </c>
      <c r="G318" s="117" t="s">
        <v>317</v>
      </c>
      <c r="H318" s="117" t="s">
        <v>318</v>
      </c>
      <c r="I318" s="47" t="s">
        <v>401</v>
      </c>
      <c r="J318" s="118">
        <v>6999</v>
      </c>
      <c r="K318" s="118">
        <v>6999</v>
      </c>
      <c r="L318" s="116">
        <v>61034200</v>
      </c>
      <c r="M318" s="115">
        <v>18</v>
      </c>
      <c r="N318" s="115" t="s">
        <v>348</v>
      </c>
      <c r="O318" s="119" t="s">
        <v>1191</v>
      </c>
      <c r="P318" s="115" t="s">
        <v>348</v>
      </c>
      <c r="Q318" s="118" t="s">
        <v>321</v>
      </c>
      <c r="R318" s="120"/>
      <c r="S318" s="47">
        <v>2</v>
      </c>
      <c r="T318" s="47"/>
      <c r="U318" s="47"/>
      <c r="V318" s="47"/>
      <c r="W318" s="47">
        <v>1</v>
      </c>
    </row>
    <row r="319" spans="1:23" ht="16" x14ac:dyDescent="0.2">
      <c r="A319" s="31" t="str">
        <f t="shared" si="9"/>
        <v>8905302263339_Blu</v>
      </c>
      <c r="B319" s="121">
        <v>8905302263339</v>
      </c>
      <c r="C319" s="33" t="str">
        <f t="shared" si="10"/>
        <v>8905302263339_Blu_L</v>
      </c>
      <c r="D319" s="34" t="s">
        <v>385</v>
      </c>
      <c r="E319" s="35" t="s">
        <v>27</v>
      </c>
      <c r="F319" s="34" t="s">
        <v>377</v>
      </c>
      <c r="G319" s="36" t="s">
        <v>317</v>
      </c>
      <c r="H319" s="36" t="s">
        <v>318</v>
      </c>
      <c r="I319" s="37" t="s">
        <v>378</v>
      </c>
      <c r="J319" s="152">
        <v>7999</v>
      </c>
      <c r="K319" s="152">
        <v>7999</v>
      </c>
      <c r="L319" s="35">
        <v>61034200</v>
      </c>
      <c r="M319" s="33">
        <v>18</v>
      </c>
      <c r="N319" s="33" t="s">
        <v>328</v>
      </c>
      <c r="O319" s="34" t="s">
        <v>44</v>
      </c>
      <c r="P319" s="153" t="s">
        <v>386</v>
      </c>
      <c r="Q319" s="33" t="s">
        <v>321</v>
      </c>
      <c r="R319" s="154">
        <v>6</v>
      </c>
      <c r="S319" s="37"/>
      <c r="T319" s="34"/>
      <c r="W319">
        <v>6</v>
      </c>
    </row>
    <row r="320" spans="1:23" ht="16" x14ac:dyDescent="0.2">
      <c r="A320" s="31" t="str">
        <f t="shared" si="9"/>
        <v>8905302263340_Blu</v>
      </c>
      <c r="B320" s="121">
        <v>8905302263340</v>
      </c>
      <c r="C320" s="33" t="str">
        <f t="shared" si="10"/>
        <v>8905302263340_Blu_S</v>
      </c>
      <c r="D320" s="34" t="s">
        <v>387</v>
      </c>
      <c r="E320" s="35" t="s">
        <v>27</v>
      </c>
      <c r="F320" s="34" t="s">
        <v>377</v>
      </c>
      <c r="G320" s="36" t="s">
        <v>317</v>
      </c>
      <c r="H320" s="36" t="s">
        <v>318</v>
      </c>
      <c r="I320" s="37" t="s">
        <v>378</v>
      </c>
      <c r="J320" s="152">
        <v>7999</v>
      </c>
      <c r="K320" s="152">
        <v>7999</v>
      </c>
      <c r="L320" s="35">
        <v>61034200</v>
      </c>
      <c r="M320" s="33">
        <v>18</v>
      </c>
      <c r="N320" s="33" t="s">
        <v>328</v>
      </c>
      <c r="O320" s="34" t="s">
        <v>54</v>
      </c>
      <c r="P320" s="153" t="s">
        <v>388</v>
      </c>
      <c r="Q320" s="33" t="s">
        <v>321</v>
      </c>
      <c r="R320" s="154">
        <v>2</v>
      </c>
      <c r="S320" s="37"/>
      <c r="T320" s="34"/>
      <c r="W320">
        <v>2</v>
      </c>
    </row>
    <row r="321" spans="1:18" x14ac:dyDescent="0.2">
      <c r="A321" s="5" t="str">
        <f t="shared" si="9"/>
        <v>8905302263341_Mar</v>
      </c>
      <c r="B321" s="11">
        <v>8905302263341</v>
      </c>
      <c r="C321" s="6" t="str">
        <f t="shared" si="10"/>
        <v>8905302263341_Mar_M</v>
      </c>
      <c r="D321" s="7" t="s">
        <v>519</v>
      </c>
      <c r="E321" s="8" t="s">
        <v>27</v>
      </c>
      <c r="F321" s="7" t="s">
        <v>34</v>
      </c>
      <c r="G321" s="9" t="s">
        <v>317</v>
      </c>
      <c r="H321" s="9" t="s">
        <v>318</v>
      </c>
      <c r="I321" t="s">
        <v>401</v>
      </c>
      <c r="J321" s="10">
        <v>7999</v>
      </c>
      <c r="K321" s="10">
        <v>7999</v>
      </c>
      <c r="L321" s="8">
        <v>61034200</v>
      </c>
      <c r="M321" s="6">
        <v>18</v>
      </c>
      <c r="N321" s="6" t="s">
        <v>520</v>
      </c>
      <c r="O321" s="7" t="s">
        <v>61</v>
      </c>
      <c r="P321" s="6" t="s">
        <v>520</v>
      </c>
      <c r="Q321" s="10" t="s">
        <v>321</v>
      </c>
      <c r="R321" s="16">
        <v>2</v>
      </c>
    </row>
    <row r="322" spans="1:18" x14ac:dyDescent="0.2">
      <c r="A322" s="5" t="str">
        <f t="shared" si="9"/>
        <v>8905302263342_Mar</v>
      </c>
      <c r="B322" s="11">
        <v>8905302263342</v>
      </c>
      <c r="C322" s="6" t="str">
        <f t="shared" si="10"/>
        <v>8905302263342_Mar_L</v>
      </c>
      <c r="D322" s="7" t="s">
        <v>519</v>
      </c>
      <c r="E322" s="8" t="s">
        <v>27</v>
      </c>
      <c r="F322" s="7" t="s">
        <v>34</v>
      </c>
      <c r="G322" s="9" t="s">
        <v>317</v>
      </c>
      <c r="H322" s="9" t="s">
        <v>318</v>
      </c>
      <c r="I322" t="s">
        <v>401</v>
      </c>
      <c r="J322" s="10">
        <v>7999</v>
      </c>
      <c r="K322" s="10">
        <v>7999</v>
      </c>
      <c r="L322" s="8">
        <v>61034200</v>
      </c>
      <c r="M322" s="6">
        <v>18</v>
      </c>
      <c r="N322" s="6" t="s">
        <v>520</v>
      </c>
      <c r="O322" s="7" t="s">
        <v>44</v>
      </c>
      <c r="P322" s="6" t="s">
        <v>520</v>
      </c>
      <c r="Q322" s="10" t="s">
        <v>321</v>
      </c>
      <c r="R322" s="16">
        <v>2</v>
      </c>
    </row>
    <row r="323" spans="1:18" x14ac:dyDescent="0.2">
      <c r="A323" s="5" t="str">
        <f t="shared" ref="A323:A386" si="11" xml:space="preserve"> B323&amp; "_" &amp; LEFT(N323,3)</f>
        <v>8905302263343_Mar</v>
      </c>
      <c r="B323" s="11">
        <v>8905302263343</v>
      </c>
      <c r="C323" s="6" t="str">
        <f t="shared" si="10"/>
        <v>8905302263343_Mar_XL</v>
      </c>
      <c r="D323" s="7" t="s">
        <v>519</v>
      </c>
      <c r="E323" s="8" t="s">
        <v>27</v>
      </c>
      <c r="F323" s="7" t="s">
        <v>34</v>
      </c>
      <c r="G323" s="9" t="s">
        <v>317</v>
      </c>
      <c r="H323" s="9" t="s">
        <v>318</v>
      </c>
      <c r="I323" t="s">
        <v>401</v>
      </c>
      <c r="J323" s="10">
        <v>7999</v>
      </c>
      <c r="K323" s="10">
        <v>7999</v>
      </c>
      <c r="L323" s="8">
        <v>61034200</v>
      </c>
      <c r="M323" s="6">
        <v>18</v>
      </c>
      <c r="N323" s="6" t="s">
        <v>520</v>
      </c>
      <c r="O323" s="7" t="s">
        <v>38</v>
      </c>
      <c r="P323" s="6" t="s">
        <v>520</v>
      </c>
      <c r="Q323" s="10" t="s">
        <v>321</v>
      </c>
      <c r="R323" s="16">
        <v>3</v>
      </c>
    </row>
    <row r="324" spans="1:18" x14ac:dyDescent="0.2">
      <c r="A324" s="5" t="str">
        <f t="shared" si="11"/>
        <v>8905302263344_Whi</v>
      </c>
      <c r="B324" s="11">
        <v>8905302263344</v>
      </c>
      <c r="C324" s="6" t="str">
        <f t="shared" si="10"/>
        <v>8905302263344_Whi_S</v>
      </c>
      <c r="D324" s="7" t="s">
        <v>521</v>
      </c>
      <c r="E324" s="8" t="s">
        <v>27</v>
      </c>
      <c r="F324" t="s">
        <v>34</v>
      </c>
      <c r="G324" s="9" t="s">
        <v>317</v>
      </c>
      <c r="H324" s="9" t="s">
        <v>318</v>
      </c>
      <c r="I324" t="s">
        <v>401</v>
      </c>
      <c r="J324">
        <v>5999</v>
      </c>
      <c r="K324">
        <v>5999</v>
      </c>
      <c r="L324" s="8">
        <v>61034200</v>
      </c>
      <c r="M324" s="6">
        <v>18</v>
      </c>
      <c r="N324" s="6" t="s">
        <v>320</v>
      </c>
      <c r="O324" s="7" t="s">
        <v>54</v>
      </c>
      <c r="P324" s="6" t="s">
        <v>320</v>
      </c>
      <c r="Q324" s="10" t="s">
        <v>321</v>
      </c>
      <c r="R324" s="16">
        <v>6</v>
      </c>
    </row>
    <row r="325" spans="1:18" x14ac:dyDescent="0.2">
      <c r="A325" s="5" t="str">
        <f t="shared" si="11"/>
        <v>8905302263345_Whi</v>
      </c>
      <c r="B325" s="11">
        <v>8905302263345</v>
      </c>
      <c r="C325" s="6" t="str">
        <f t="shared" si="10"/>
        <v>8905302263345_Whi_M</v>
      </c>
      <c r="D325" s="7" t="s">
        <v>521</v>
      </c>
      <c r="E325" s="8" t="s">
        <v>27</v>
      </c>
      <c r="F325" t="s">
        <v>34</v>
      </c>
      <c r="G325" s="9" t="s">
        <v>317</v>
      </c>
      <c r="H325" s="9" t="s">
        <v>318</v>
      </c>
      <c r="I325" t="s">
        <v>401</v>
      </c>
      <c r="J325">
        <v>5999</v>
      </c>
      <c r="K325">
        <v>5999</v>
      </c>
      <c r="L325" s="8">
        <v>61034200</v>
      </c>
      <c r="M325" s="6">
        <v>18</v>
      </c>
      <c r="N325" s="6" t="s">
        <v>320</v>
      </c>
      <c r="O325" s="7" t="s">
        <v>61</v>
      </c>
      <c r="P325" s="6" t="s">
        <v>320</v>
      </c>
      <c r="Q325" s="10" t="s">
        <v>321</v>
      </c>
      <c r="R325" s="16">
        <v>6</v>
      </c>
    </row>
    <row r="326" spans="1:18" x14ac:dyDescent="0.2">
      <c r="A326" s="5" t="str">
        <f t="shared" si="11"/>
        <v>8905302263346_Whi</v>
      </c>
      <c r="B326" s="11">
        <v>8905302263346</v>
      </c>
      <c r="C326" s="6" t="str">
        <f t="shared" si="10"/>
        <v>8905302263346_Whi_L</v>
      </c>
      <c r="D326" s="7" t="s">
        <v>521</v>
      </c>
      <c r="E326" s="8" t="s">
        <v>27</v>
      </c>
      <c r="F326" t="s">
        <v>34</v>
      </c>
      <c r="G326" s="9" t="s">
        <v>317</v>
      </c>
      <c r="H326" s="9" t="s">
        <v>318</v>
      </c>
      <c r="I326" t="s">
        <v>401</v>
      </c>
      <c r="J326">
        <v>5999</v>
      </c>
      <c r="K326">
        <v>5999</v>
      </c>
      <c r="L326" s="8">
        <v>61034200</v>
      </c>
      <c r="M326" s="6">
        <v>18</v>
      </c>
      <c r="N326" s="6" t="s">
        <v>320</v>
      </c>
      <c r="O326" s="7" t="s">
        <v>44</v>
      </c>
      <c r="P326" s="6" t="s">
        <v>320</v>
      </c>
      <c r="Q326" s="10" t="s">
        <v>321</v>
      </c>
      <c r="R326" s="16">
        <v>6</v>
      </c>
    </row>
    <row r="327" spans="1:18" x14ac:dyDescent="0.2">
      <c r="A327" s="5" t="str">
        <f t="shared" si="11"/>
        <v>8905302263347_Blu</v>
      </c>
      <c r="B327" s="11">
        <v>8905302263347</v>
      </c>
      <c r="C327" s="6" t="str">
        <f t="shared" si="10"/>
        <v>8905302263347_Blu_S</v>
      </c>
      <c r="D327" s="12" t="s">
        <v>522</v>
      </c>
      <c r="E327" s="8" t="s">
        <v>27</v>
      </c>
      <c r="F327" t="s">
        <v>34</v>
      </c>
      <c r="G327" s="9" t="s">
        <v>317</v>
      </c>
      <c r="H327" s="9" t="s">
        <v>318</v>
      </c>
      <c r="I327" t="s">
        <v>401</v>
      </c>
      <c r="J327" s="10">
        <v>6999</v>
      </c>
      <c r="K327" s="10">
        <v>6999</v>
      </c>
      <c r="L327" s="8">
        <v>61034200</v>
      </c>
      <c r="M327" s="6">
        <v>18</v>
      </c>
      <c r="N327" s="6" t="s">
        <v>328</v>
      </c>
      <c r="O327" s="7" t="s">
        <v>54</v>
      </c>
      <c r="P327" s="6" t="s">
        <v>328</v>
      </c>
      <c r="Q327" s="10" t="s">
        <v>321</v>
      </c>
      <c r="R327" s="16">
        <v>2</v>
      </c>
    </row>
    <row r="328" spans="1:18" x14ac:dyDescent="0.2">
      <c r="A328" s="5" t="str">
        <f t="shared" si="11"/>
        <v>8905302263348_Blu</v>
      </c>
      <c r="B328" s="11">
        <v>8905302263348</v>
      </c>
      <c r="C328" s="6" t="str">
        <f t="shared" si="10"/>
        <v>8905302263348_Blu_M</v>
      </c>
      <c r="D328" s="12" t="s">
        <v>522</v>
      </c>
      <c r="E328" s="8" t="s">
        <v>27</v>
      </c>
      <c r="F328" t="s">
        <v>34</v>
      </c>
      <c r="G328" s="9" t="s">
        <v>317</v>
      </c>
      <c r="H328" s="9" t="s">
        <v>318</v>
      </c>
      <c r="I328" t="s">
        <v>401</v>
      </c>
      <c r="J328" s="10">
        <v>6999</v>
      </c>
      <c r="K328" s="10">
        <v>6999</v>
      </c>
      <c r="L328" s="8">
        <v>61034200</v>
      </c>
      <c r="M328" s="6">
        <v>18</v>
      </c>
      <c r="N328" s="6" t="s">
        <v>328</v>
      </c>
      <c r="O328" s="7" t="s">
        <v>61</v>
      </c>
      <c r="P328" s="6" t="s">
        <v>328</v>
      </c>
      <c r="Q328" s="10" t="s">
        <v>321</v>
      </c>
      <c r="R328" s="16">
        <v>2</v>
      </c>
    </row>
    <row r="329" spans="1:18" x14ac:dyDescent="0.2">
      <c r="A329" s="5" t="str">
        <f t="shared" si="11"/>
        <v>8905302263349_Blu</v>
      </c>
      <c r="B329" s="11">
        <v>8905302263349</v>
      </c>
      <c r="C329" s="6" t="str">
        <f t="shared" si="10"/>
        <v>8905302263349_Blu_L</v>
      </c>
      <c r="D329" s="12" t="s">
        <v>522</v>
      </c>
      <c r="E329" s="8" t="s">
        <v>27</v>
      </c>
      <c r="F329" t="s">
        <v>34</v>
      </c>
      <c r="G329" s="9" t="s">
        <v>317</v>
      </c>
      <c r="H329" s="9" t="s">
        <v>318</v>
      </c>
      <c r="I329" t="s">
        <v>401</v>
      </c>
      <c r="J329" s="10">
        <v>6999</v>
      </c>
      <c r="K329" s="10">
        <v>6999</v>
      </c>
      <c r="L329" s="8">
        <v>61034200</v>
      </c>
      <c r="M329" s="6">
        <v>18</v>
      </c>
      <c r="N329" s="6" t="s">
        <v>328</v>
      </c>
      <c r="O329" s="7" t="s">
        <v>44</v>
      </c>
      <c r="P329" s="6" t="s">
        <v>328</v>
      </c>
      <c r="Q329" s="10" t="s">
        <v>321</v>
      </c>
      <c r="R329" s="16">
        <v>2</v>
      </c>
    </row>
    <row r="330" spans="1:18" x14ac:dyDescent="0.2">
      <c r="A330" s="5" t="str">
        <f t="shared" si="11"/>
        <v>8905302263350_Whi</v>
      </c>
      <c r="B330" s="11">
        <v>8905302263350</v>
      </c>
      <c r="C330" s="6" t="str">
        <f t="shared" si="10"/>
        <v>8905302263350_Whi_S</v>
      </c>
      <c r="D330" s="12" t="s">
        <v>523</v>
      </c>
      <c r="E330" s="8" t="s">
        <v>27</v>
      </c>
      <c r="F330" t="s">
        <v>34</v>
      </c>
      <c r="G330" s="9" t="s">
        <v>317</v>
      </c>
      <c r="H330" s="9" t="s">
        <v>318</v>
      </c>
      <c r="I330" t="s">
        <v>401</v>
      </c>
      <c r="J330" s="10">
        <v>5999</v>
      </c>
      <c r="K330" s="10">
        <v>5999</v>
      </c>
      <c r="L330" s="8">
        <v>61034200</v>
      </c>
      <c r="M330" s="6">
        <v>18</v>
      </c>
      <c r="N330" s="6" t="s">
        <v>320</v>
      </c>
      <c r="O330" s="7" t="s">
        <v>54</v>
      </c>
      <c r="P330" s="6" t="s">
        <v>320</v>
      </c>
      <c r="Q330" s="10" t="s">
        <v>321</v>
      </c>
      <c r="R330" s="16">
        <v>3</v>
      </c>
    </row>
    <row r="331" spans="1:18" x14ac:dyDescent="0.2">
      <c r="A331" s="5" t="str">
        <f t="shared" si="11"/>
        <v>8905302263351_Whi</v>
      </c>
      <c r="B331" s="11">
        <v>8905302263351</v>
      </c>
      <c r="C331" s="6" t="str">
        <f t="shared" si="10"/>
        <v>8905302263351_Whi_M</v>
      </c>
      <c r="D331" s="12" t="s">
        <v>523</v>
      </c>
      <c r="E331" s="8" t="s">
        <v>27</v>
      </c>
      <c r="F331" t="s">
        <v>34</v>
      </c>
      <c r="G331" s="9" t="s">
        <v>317</v>
      </c>
      <c r="H331" s="9" t="s">
        <v>318</v>
      </c>
      <c r="I331" t="s">
        <v>401</v>
      </c>
      <c r="J331" s="10">
        <v>5999</v>
      </c>
      <c r="K331" s="10">
        <v>5999</v>
      </c>
      <c r="L331" s="8">
        <v>61034200</v>
      </c>
      <c r="M331" s="6">
        <v>18</v>
      </c>
      <c r="N331" s="6" t="s">
        <v>320</v>
      </c>
      <c r="O331" s="7" t="s">
        <v>61</v>
      </c>
      <c r="P331" s="6" t="s">
        <v>320</v>
      </c>
      <c r="Q331" s="10" t="s">
        <v>321</v>
      </c>
      <c r="R331" s="16">
        <v>3</v>
      </c>
    </row>
    <row r="332" spans="1:18" x14ac:dyDescent="0.2">
      <c r="A332" s="5" t="str">
        <f t="shared" si="11"/>
        <v>8905302263352_Whi</v>
      </c>
      <c r="B332" s="11">
        <v>8905302263352</v>
      </c>
      <c r="C332" s="6" t="str">
        <f t="shared" si="10"/>
        <v>8905302263352_Whi_L</v>
      </c>
      <c r="D332" s="12" t="s">
        <v>523</v>
      </c>
      <c r="E332" s="8" t="s">
        <v>27</v>
      </c>
      <c r="F332" t="s">
        <v>34</v>
      </c>
      <c r="G332" s="9" t="s">
        <v>317</v>
      </c>
      <c r="H332" s="9" t="s">
        <v>318</v>
      </c>
      <c r="I332" t="s">
        <v>401</v>
      </c>
      <c r="J332" s="10">
        <v>5999</v>
      </c>
      <c r="K332" s="10">
        <v>5999</v>
      </c>
      <c r="L332" s="8">
        <v>61034200</v>
      </c>
      <c r="M332" s="6">
        <v>18</v>
      </c>
      <c r="N332" s="6" t="s">
        <v>320</v>
      </c>
      <c r="O332" s="7" t="s">
        <v>44</v>
      </c>
      <c r="P332" s="6" t="s">
        <v>320</v>
      </c>
      <c r="Q332" s="10" t="s">
        <v>321</v>
      </c>
      <c r="R332" s="16">
        <v>3</v>
      </c>
    </row>
    <row r="333" spans="1:18" x14ac:dyDescent="0.2">
      <c r="A333" s="5" t="str">
        <f t="shared" si="11"/>
        <v>8905302263353_Blu</v>
      </c>
      <c r="B333" s="11">
        <v>8905302263353</v>
      </c>
      <c r="C333" s="6" t="str">
        <f t="shared" si="10"/>
        <v>8905302263353_Blu_S</v>
      </c>
      <c r="D333" s="12" t="s">
        <v>524</v>
      </c>
      <c r="E333" s="8" t="s">
        <v>27</v>
      </c>
      <c r="F333" t="s">
        <v>34</v>
      </c>
      <c r="G333" s="9" t="s">
        <v>317</v>
      </c>
      <c r="H333" s="9" t="s">
        <v>318</v>
      </c>
      <c r="I333" t="s">
        <v>401</v>
      </c>
      <c r="J333" s="10">
        <v>6999</v>
      </c>
      <c r="K333" s="10">
        <v>6999</v>
      </c>
      <c r="L333" s="8">
        <v>61034200</v>
      </c>
      <c r="M333" s="6">
        <v>18</v>
      </c>
      <c r="N333" s="6" t="s">
        <v>328</v>
      </c>
      <c r="O333" s="7" t="s">
        <v>54</v>
      </c>
      <c r="P333" s="6" t="s">
        <v>328</v>
      </c>
      <c r="Q333" s="10" t="s">
        <v>321</v>
      </c>
      <c r="R333" s="16">
        <v>3</v>
      </c>
    </row>
    <row r="334" spans="1:18" x14ac:dyDescent="0.2">
      <c r="A334" s="5" t="str">
        <f t="shared" si="11"/>
        <v>8905302263354_Blu</v>
      </c>
      <c r="B334" s="11">
        <v>8905302263354</v>
      </c>
      <c r="C334" s="6" t="str">
        <f t="shared" si="10"/>
        <v>8905302263354_Blu_M</v>
      </c>
      <c r="D334" s="12" t="s">
        <v>524</v>
      </c>
      <c r="E334" s="8" t="s">
        <v>27</v>
      </c>
      <c r="F334" t="s">
        <v>34</v>
      </c>
      <c r="G334" s="9" t="s">
        <v>317</v>
      </c>
      <c r="H334" s="9" t="s">
        <v>318</v>
      </c>
      <c r="I334" t="s">
        <v>401</v>
      </c>
      <c r="J334" s="10">
        <v>6999</v>
      </c>
      <c r="K334" s="10">
        <v>6999</v>
      </c>
      <c r="L334" s="8">
        <v>61034200</v>
      </c>
      <c r="M334" s="6">
        <v>18</v>
      </c>
      <c r="N334" s="6" t="s">
        <v>328</v>
      </c>
      <c r="O334" s="7" t="s">
        <v>61</v>
      </c>
      <c r="P334" s="6" t="s">
        <v>328</v>
      </c>
      <c r="Q334" s="10" t="s">
        <v>321</v>
      </c>
      <c r="R334" s="16">
        <v>3</v>
      </c>
    </row>
    <row r="335" spans="1:18" x14ac:dyDescent="0.2">
      <c r="A335" s="5" t="str">
        <f t="shared" si="11"/>
        <v>8905302263355_Blu</v>
      </c>
      <c r="B335" s="11">
        <v>8905302263355</v>
      </c>
      <c r="C335" s="6" t="str">
        <f t="shared" si="10"/>
        <v>8905302263355_Blu_L</v>
      </c>
      <c r="D335" s="12" t="s">
        <v>524</v>
      </c>
      <c r="E335" s="8" t="s">
        <v>27</v>
      </c>
      <c r="F335" t="s">
        <v>34</v>
      </c>
      <c r="G335" s="9" t="s">
        <v>317</v>
      </c>
      <c r="H335" s="9" t="s">
        <v>318</v>
      </c>
      <c r="I335" t="s">
        <v>401</v>
      </c>
      <c r="J335" s="10">
        <v>6999</v>
      </c>
      <c r="K335" s="10">
        <v>6999</v>
      </c>
      <c r="L335" s="8">
        <v>61034200</v>
      </c>
      <c r="M335" s="6">
        <v>18</v>
      </c>
      <c r="N335" s="6" t="s">
        <v>328</v>
      </c>
      <c r="O335" s="7" t="s">
        <v>44</v>
      </c>
      <c r="P335" s="6" t="s">
        <v>328</v>
      </c>
      <c r="Q335" s="10" t="s">
        <v>321</v>
      </c>
      <c r="R335" s="16">
        <v>4</v>
      </c>
    </row>
    <row r="336" spans="1:18" x14ac:dyDescent="0.2">
      <c r="A336" s="5" t="str">
        <f t="shared" si="11"/>
        <v>8905302263356_Blu</v>
      </c>
      <c r="B336" s="11">
        <v>8905302263356</v>
      </c>
      <c r="C336" s="6" t="str">
        <f t="shared" si="10"/>
        <v>8905302263356_Blu_XL</v>
      </c>
      <c r="D336" s="12" t="s">
        <v>524</v>
      </c>
      <c r="E336" s="8" t="s">
        <v>27</v>
      </c>
      <c r="F336" t="s">
        <v>34</v>
      </c>
      <c r="G336" s="9" t="s">
        <v>317</v>
      </c>
      <c r="H336" s="9" t="s">
        <v>318</v>
      </c>
      <c r="I336" t="s">
        <v>401</v>
      </c>
      <c r="J336" s="10">
        <v>6999</v>
      </c>
      <c r="K336" s="10">
        <v>6999</v>
      </c>
      <c r="L336" s="8">
        <v>61034200</v>
      </c>
      <c r="M336" s="6">
        <v>18</v>
      </c>
      <c r="N336" s="6" t="s">
        <v>328</v>
      </c>
      <c r="O336" s="9" t="s">
        <v>38</v>
      </c>
      <c r="P336" s="6" t="s">
        <v>328</v>
      </c>
      <c r="Q336" s="10" t="s">
        <v>321</v>
      </c>
      <c r="R336" s="16">
        <v>2</v>
      </c>
    </row>
    <row r="337" spans="1:18" ht="16" x14ac:dyDescent="0.2">
      <c r="A337" s="5" t="str">
        <f t="shared" si="11"/>
        <v>8905302263357_Blu</v>
      </c>
      <c r="B337" s="11">
        <v>8905302263357</v>
      </c>
      <c r="C337" s="6" t="str">
        <f t="shared" si="10"/>
        <v>8905302263357_Blu_S</v>
      </c>
      <c r="D337" s="12" t="s">
        <v>525</v>
      </c>
      <c r="E337" s="8" t="s">
        <v>27</v>
      </c>
      <c r="F337" t="s">
        <v>377</v>
      </c>
      <c r="G337" s="9" t="s">
        <v>317</v>
      </c>
      <c r="H337" s="9" t="s">
        <v>318</v>
      </c>
      <c r="I337" t="s">
        <v>378</v>
      </c>
      <c r="J337" s="13">
        <v>7999</v>
      </c>
      <c r="K337" s="13">
        <v>7999</v>
      </c>
      <c r="L337" s="8">
        <v>61034200</v>
      </c>
      <c r="M337" s="6">
        <v>18</v>
      </c>
      <c r="N337" s="6" t="s">
        <v>328</v>
      </c>
      <c r="O337" s="7" t="s">
        <v>54</v>
      </c>
      <c r="P337" s="6" t="s">
        <v>328</v>
      </c>
      <c r="Q337" s="10" t="s">
        <v>321</v>
      </c>
      <c r="R337" s="16">
        <v>3</v>
      </c>
    </row>
    <row r="338" spans="1:18" ht="16" x14ac:dyDescent="0.2">
      <c r="A338" s="5" t="str">
        <f t="shared" si="11"/>
        <v>8905302263358_Blu</v>
      </c>
      <c r="B338" s="11">
        <v>8905302263358</v>
      </c>
      <c r="C338" s="6" t="str">
        <f t="shared" si="10"/>
        <v>8905302263358_Blu_M</v>
      </c>
      <c r="D338" s="12" t="s">
        <v>525</v>
      </c>
      <c r="E338" s="8" t="s">
        <v>27</v>
      </c>
      <c r="F338" t="s">
        <v>377</v>
      </c>
      <c r="G338" s="9" t="s">
        <v>317</v>
      </c>
      <c r="H338" s="9" t="s">
        <v>318</v>
      </c>
      <c r="I338" t="s">
        <v>378</v>
      </c>
      <c r="J338" s="13">
        <v>7999</v>
      </c>
      <c r="K338" s="13">
        <v>7999</v>
      </c>
      <c r="L338" s="8">
        <v>61034200</v>
      </c>
      <c r="M338" s="6">
        <v>18</v>
      </c>
      <c r="N338" s="6" t="s">
        <v>328</v>
      </c>
      <c r="O338" s="7" t="s">
        <v>61</v>
      </c>
      <c r="P338" s="6" t="s">
        <v>328</v>
      </c>
      <c r="Q338" s="10" t="s">
        <v>321</v>
      </c>
      <c r="R338" s="16">
        <v>6</v>
      </c>
    </row>
    <row r="339" spans="1:18" ht="16" x14ac:dyDescent="0.2">
      <c r="A339" s="5" t="str">
        <f t="shared" si="11"/>
        <v>8905302263359_Blu</v>
      </c>
      <c r="B339" s="11">
        <v>8905302263359</v>
      </c>
      <c r="C339" s="6" t="str">
        <f t="shared" si="10"/>
        <v>8905302263359_Blu_L</v>
      </c>
      <c r="D339" s="12" t="s">
        <v>525</v>
      </c>
      <c r="E339" s="8" t="s">
        <v>27</v>
      </c>
      <c r="F339" t="s">
        <v>377</v>
      </c>
      <c r="G339" s="9" t="s">
        <v>317</v>
      </c>
      <c r="H339" s="9" t="s">
        <v>318</v>
      </c>
      <c r="I339" t="s">
        <v>378</v>
      </c>
      <c r="J339" s="13">
        <v>7999</v>
      </c>
      <c r="K339" s="13">
        <v>7999</v>
      </c>
      <c r="L339" s="8">
        <v>61034200</v>
      </c>
      <c r="M339" s="6">
        <v>18</v>
      </c>
      <c r="N339" s="6" t="s">
        <v>328</v>
      </c>
      <c r="O339" s="7" t="s">
        <v>44</v>
      </c>
      <c r="P339" s="6" t="s">
        <v>328</v>
      </c>
      <c r="Q339" s="10" t="s">
        <v>321</v>
      </c>
      <c r="R339" s="16">
        <v>8</v>
      </c>
    </row>
    <row r="340" spans="1:18" ht="16" x14ac:dyDescent="0.2">
      <c r="A340" s="5" t="str">
        <f t="shared" si="11"/>
        <v>8905302263360_Blu</v>
      </c>
      <c r="B340" s="11">
        <v>8905302263360</v>
      </c>
      <c r="C340" s="6" t="str">
        <f t="shared" si="10"/>
        <v>8905302263360_Blu_XL</v>
      </c>
      <c r="D340" s="12" t="s">
        <v>525</v>
      </c>
      <c r="E340" s="8" t="s">
        <v>27</v>
      </c>
      <c r="F340" t="s">
        <v>377</v>
      </c>
      <c r="G340" s="9" t="s">
        <v>317</v>
      </c>
      <c r="H340" s="9" t="s">
        <v>318</v>
      </c>
      <c r="I340" t="s">
        <v>378</v>
      </c>
      <c r="J340" s="13">
        <v>7999</v>
      </c>
      <c r="K340" s="13">
        <v>7999</v>
      </c>
      <c r="L340" s="8">
        <v>61034200</v>
      </c>
      <c r="M340" s="6">
        <v>18</v>
      </c>
      <c r="N340" s="6" t="s">
        <v>328</v>
      </c>
      <c r="O340" s="7" t="s">
        <v>38</v>
      </c>
      <c r="P340" s="6" t="s">
        <v>328</v>
      </c>
      <c r="Q340" s="10" t="s">
        <v>321</v>
      </c>
      <c r="R340" s="16">
        <v>7</v>
      </c>
    </row>
    <row r="341" spans="1:18" ht="16" x14ac:dyDescent="0.2">
      <c r="A341" s="5" t="str">
        <f t="shared" si="11"/>
        <v>8905302263361_Bla</v>
      </c>
      <c r="B341" s="11">
        <v>8905302263361</v>
      </c>
      <c r="C341" s="6" t="str">
        <f t="shared" si="10"/>
        <v>8905302263361_Bla_S</v>
      </c>
      <c r="D341" s="12" t="s">
        <v>526</v>
      </c>
      <c r="E341" s="8" t="s">
        <v>27</v>
      </c>
      <c r="F341" t="s">
        <v>377</v>
      </c>
      <c r="G341" s="9" t="s">
        <v>317</v>
      </c>
      <c r="H341" s="9" t="s">
        <v>318</v>
      </c>
      <c r="I341" t="s">
        <v>378</v>
      </c>
      <c r="J341" s="13">
        <v>7999</v>
      </c>
      <c r="K341" s="13">
        <v>7999</v>
      </c>
      <c r="L341" s="8">
        <v>61034200</v>
      </c>
      <c r="M341" s="6">
        <v>18</v>
      </c>
      <c r="N341" s="6" t="s">
        <v>326</v>
      </c>
      <c r="O341" s="7" t="s">
        <v>54</v>
      </c>
      <c r="P341" s="6" t="s">
        <v>326</v>
      </c>
      <c r="Q341" s="10" t="s">
        <v>321</v>
      </c>
      <c r="R341" s="16"/>
    </row>
    <row r="342" spans="1:18" ht="16" x14ac:dyDescent="0.2">
      <c r="A342" s="5" t="str">
        <f t="shared" si="11"/>
        <v>8905302263362_Bla</v>
      </c>
      <c r="B342" s="11">
        <v>8905302263362</v>
      </c>
      <c r="C342" s="6" t="str">
        <f t="shared" si="10"/>
        <v>8905302263362_Bla_M</v>
      </c>
      <c r="D342" s="12" t="s">
        <v>526</v>
      </c>
      <c r="E342" s="8" t="s">
        <v>27</v>
      </c>
      <c r="F342" t="s">
        <v>377</v>
      </c>
      <c r="G342" s="9" t="s">
        <v>317</v>
      </c>
      <c r="H342" s="9" t="s">
        <v>318</v>
      </c>
      <c r="I342" t="s">
        <v>378</v>
      </c>
      <c r="J342" s="13">
        <v>7999</v>
      </c>
      <c r="K342" s="13">
        <v>7999</v>
      </c>
      <c r="L342" s="8">
        <v>61034200</v>
      </c>
      <c r="M342" s="6">
        <v>18</v>
      </c>
      <c r="N342" s="6" t="s">
        <v>326</v>
      </c>
      <c r="O342" s="7" t="s">
        <v>61</v>
      </c>
      <c r="P342" s="6" t="s">
        <v>326</v>
      </c>
      <c r="Q342" s="10" t="s">
        <v>321</v>
      </c>
      <c r="R342" s="16">
        <v>4</v>
      </c>
    </row>
    <row r="343" spans="1:18" ht="16" x14ac:dyDescent="0.2">
      <c r="A343" s="5" t="str">
        <f t="shared" si="11"/>
        <v>8905302263363_Bla</v>
      </c>
      <c r="B343" s="11">
        <v>8905302263363</v>
      </c>
      <c r="C343" s="6" t="str">
        <f t="shared" si="10"/>
        <v>8905302263363_Bla_L</v>
      </c>
      <c r="D343" s="12" t="s">
        <v>526</v>
      </c>
      <c r="E343" s="8" t="s">
        <v>27</v>
      </c>
      <c r="F343" t="s">
        <v>377</v>
      </c>
      <c r="G343" s="9" t="s">
        <v>317</v>
      </c>
      <c r="H343" s="9" t="s">
        <v>318</v>
      </c>
      <c r="I343" t="s">
        <v>378</v>
      </c>
      <c r="J343" s="13">
        <v>7999</v>
      </c>
      <c r="K343" s="13">
        <v>7999</v>
      </c>
      <c r="L343" s="8">
        <v>61034200</v>
      </c>
      <c r="M343" s="6">
        <v>18</v>
      </c>
      <c r="N343" s="6" t="s">
        <v>326</v>
      </c>
      <c r="O343" s="7" t="s">
        <v>44</v>
      </c>
      <c r="P343" s="6" t="s">
        <v>326</v>
      </c>
      <c r="Q343" s="10" t="s">
        <v>321</v>
      </c>
      <c r="R343" s="16">
        <v>6</v>
      </c>
    </row>
    <row r="344" spans="1:18" ht="16" x14ac:dyDescent="0.2">
      <c r="A344" s="5" t="str">
        <f t="shared" si="11"/>
        <v>8905302263364_Bla</v>
      </c>
      <c r="B344" s="11">
        <v>8905302263364</v>
      </c>
      <c r="C344" s="6" t="str">
        <f t="shared" si="10"/>
        <v>8905302263364_Bla_XL</v>
      </c>
      <c r="D344" s="12" t="s">
        <v>526</v>
      </c>
      <c r="E344" s="8" t="s">
        <v>27</v>
      </c>
      <c r="F344" t="s">
        <v>377</v>
      </c>
      <c r="G344" s="9" t="s">
        <v>317</v>
      </c>
      <c r="H344" s="9" t="s">
        <v>318</v>
      </c>
      <c r="I344" t="s">
        <v>378</v>
      </c>
      <c r="J344" s="13">
        <v>7999</v>
      </c>
      <c r="K344" s="13">
        <v>7999</v>
      </c>
      <c r="L344" s="8">
        <v>61034200</v>
      </c>
      <c r="M344" s="6">
        <v>18</v>
      </c>
      <c r="N344" s="6" t="s">
        <v>326</v>
      </c>
      <c r="O344" s="7" t="s">
        <v>38</v>
      </c>
      <c r="P344" s="6" t="s">
        <v>326</v>
      </c>
      <c r="Q344" s="10" t="s">
        <v>321</v>
      </c>
      <c r="R344" s="16">
        <v>6</v>
      </c>
    </row>
    <row r="345" spans="1:18" x14ac:dyDescent="0.2">
      <c r="A345" s="5" t="str">
        <f t="shared" si="11"/>
        <v>8905302263365_Bla</v>
      </c>
      <c r="B345" s="11">
        <v>8905302263365</v>
      </c>
      <c r="C345" s="6" t="str">
        <f t="shared" si="10"/>
        <v>8905302263365_Bla_S</v>
      </c>
      <c r="D345" s="12" t="s">
        <v>533</v>
      </c>
      <c r="E345" s="8" t="s">
        <v>27</v>
      </c>
      <c r="F345" s="12" t="s">
        <v>359</v>
      </c>
      <c r="G345" s="9" t="s">
        <v>317</v>
      </c>
      <c r="H345" s="9" t="s">
        <v>318</v>
      </c>
      <c r="I345" t="s">
        <v>378</v>
      </c>
      <c r="J345" s="10">
        <v>6999</v>
      </c>
      <c r="K345" s="10">
        <v>6999</v>
      </c>
      <c r="L345" s="8">
        <v>61034200</v>
      </c>
      <c r="M345" s="6">
        <v>18</v>
      </c>
      <c r="N345" s="6" t="s">
        <v>326</v>
      </c>
      <c r="O345" s="7" t="s">
        <v>54</v>
      </c>
      <c r="P345" s="6" t="s">
        <v>326</v>
      </c>
      <c r="Q345" s="10" t="s">
        <v>321</v>
      </c>
      <c r="R345" s="16">
        <v>2</v>
      </c>
    </row>
    <row r="346" spans="1:18" x14ac:dyDescent="0.2">
      <c r="A346" s="5" t="str">
        <f t="shared" si="11"/>
        <v>8905302263366_Bla</v>
      </c>
      <c r="B346" s="11">
        <v>8905302263366</v>
      </c>
      <c r="C346" s="6" t="str">
        <f t="shared" si="10"/>
        <v>8905302263366_Bla_M</v>
      </c>
      <c r="D346" s="12" t="s">
        <v>533</v>
      </c>
      <c r="E346" s="8" t="s">
        <v>27</v>
      </c>
      <c r="F346" s="12" t="s">
        <v>359</v>
      </c>
      <c r="G346" s="9" t="s">
        <v>317</v>
      </c>
      <c r="H346" s="9" t="s">
        <v>318</v>
      </c>
      <c r="I346" t="s">
        <v>378</v>
      </c>
      <c r="J346" s="10">
        <v>6999</v>
      </c>
      <c r="K346" s="10">
        <v>6999</v>
      </c>
      <c r="L346" s="8">
        <v>61034200</v>
      </c>
      <c r="M346" s="6">
        <v>18</v>
      </c>
      <c r="N346" s="6" t="s">
        <v>326</v>
      </c>
      <c r="O346" s="7" t="s">
        <v>61</v>
      </c>
      <c r="P346" s="6" t="s">
        <v>326</v>
      </c>
      <c r="Q346" s="10" t="s">
        <v>321</v>
      </c>
      <c r="R346" s="16">
        <v>1</v>
      </c>
    </row>
    <row r="347" spans="1:18" x14ac:dyDescent="0.2">
      <c r="A347" s="5" t="str">
        <f t="shared" si="11"/>
        <v>8905302263367_Bla</v>
      </c>
      <c r="B347" s="11">
        <v>8905302263367</v>
      </c>
      <c r="C347" s="6" t="str">
        <f t="shared" si="10"/>
        <v>8905302263367_Bla_L</v>
      </c>
      <c r="D347" s="12" t="s">
        <v>533</v>
      </c>
      <c r="E347" s="8" t="s">
        <v>27</v>
      </c>
      <c r="F347" s="12" t="s">
        <v>359</v>
      </c>
      <c r="G347" s="9" t="s">
        <v>317</v>
      </c>
      <c r="H347" s="9" t="s">
        <v>318</v>
      </c>
      <c r="I347" t="s">
        <v>378</v>
      </c>
      <c r="J347" s="10">
        <v>6999</v>
      </c>
      <c r="K347" s="10">
        <v>6999</v>
      </c>
      <c r="L347" s="8">
        <v>61034200</v>
      </c>
      <c r="M347" s="6">
        <v>18</v>
      </c>
      <c r="N347" s="6" t="s">
        <v>326</v>
      </c>
      <c r="O347" s="7" t="s">
        <v>44</v>
      </c>
      <c r="P347" s="6" t="s">
        <v>326</v>
      </c>
      <c r="Q347" s="10" t="s">
        <v>321</v>
      </c>
      <c r="R347" s="16">
        <v>3</v>
      </c>
    </row>
    <row r="348" spans="1:18" x14ac:dyDescent="0.2">
      <c r="A348" s="5" t="str">
        <f t="shared" si="11"/>
        <v>8905302263368_Bla</v>
      </c>
      <c r="B348" s="11">
        <v>8905302263368</v>
      </c>
      <c r="C348" s="6" t="str">
        <f t="shared" si="10"/>
        <v>8905302263368_Bla_XL</v>
      </c>
      <c r="D348" s="12" t="s">
        <v>533</v>
      </c>
      <c r="E348" s="8" t="s">
        <v>27</v>
      </c>
      <c r="F348" s="12" t="s">
        <v>359</v>
      </c>
      <c r="G348" s="9" t="s">
        <v>317</v>
      </c>
      <c r="H348" s="9" t="s">
        <v>318</v>
      </c>
      <c r="I348" t="s">
        <v>378</v>
      </c>
      <c r="J348" s="10">
        <v>6999</v>
      </c>
      <c r="K348" s="10">
        <v>6999</v>
      </c>
      <c r="L348" s="8">
        <v>61034200</v>
      </c>
      <c r="M348" s="6">
        <v>18</v>
      </c>
      <c r="N348" s="6" t="s">
        <v>326</v>
      </c>
      <c r="O348" s="7" t="s">
        <v>38</v>
      </c>
      <c r="P348" s="6" t="s">
        <v>326</v>
      </c>
      <c r="Q348" s="10" t="s">
        <v>321</v>
      </c>
      <c r="R348" s="16">
        <v>2</v>
      </c>
    </row>
    <row r="349" spans="1:18" x14ac:dyDescent="0.2">
      <c r="A349" s="5" t="str">
        <f t="shared" si="11"/>
        <v>8905302263369_Bie</v>
      </c>
      <c r="B349" s="11">
        <v>8905302263369</v>
      </c>
      <c r="C349" s="6" t="str">
        <f t="shared" si="10"/>
        <v>8905302263369_Bie_S</v>
      </c>
      <c r="D349" s="7" t="s">
        <v>518</v>
      </c>
      <c r="E349" s="8" t="s">
        <v>27</v>
      </c>
      <c r="F349" t="s">
        <v>34</v>
      </c>
      <c r="G349" s="9" t="s">
        <v>317</v>
      </c>
      <c r="H349" s="9" t="s">
        <v>318</v>
      </c>
      <c r="I349" t="s">
        <v>401</v>
      </c>
      <c r="J349" s="10">
        <v>7999</v>
      </c>
      <c r="K349" s="10">
        <v>7999</v>
      </c>
      <c r="L349" s="8">
        <v>61034200</v>
      </c>
      <c r="M349" s="6">
        <v>18</v>
      </c>
      <c r="N349" s="6" t="s">
        <v>535</v>
      </c>
      <c r="O349" s="7" t="s">
        <v>54</v>
      </c>
      <c r="P349" s="6" t="s">
        <v>535</v>
      </c>
      <c r="Q349" s="10" t="s">
        <v>321</v>
      </c>
      <c r="R349" s="16">
        <v>1</v>
      </c>
    </row>
    <row r="350" spans="1:18" x14ac:dyDescent="0.2">
      <c r="A350" s="5" t="str">
        <f t="shared" si="11"/>
        <v>8905302263370_Bie</v>
      </c>
      <c r="B350" s="11">
        <v>8905302263370</v>
      </c>
      <c r="C350" s="6" t="str">
        <f t="shared" si="10"/>
        <v>8905302263370_Bie_M</v>
      </c>
      <c r="D350" s="7" t="s">
        <v>518</v>
      </c>
      <c r="E350" s="8" t="s">
        <v>27</v>
      </c>
      <c r="F350" t="s">
        <v>34</v>
      </c>
      <c r="G350" s="9" t="s">
        <v>317</v>
      </c>
      <c r="H350" s="9" t="s">
        <v>318</v>
      </c>
      <c r="I350" t="s">
        <v>401</v>
      </c>
      <c r="J350" s="10">
        <v>7999</v>
      </c>
      <c r="K350" s="10">
        <v>7999</v>
      </c>
      <c r="L350" s="8">
        <v>61034200</v>
      </c>
      <c r="M350" s="6">
        <v>18</v>
      </c>
      <c r="N350" s="6" t="s">
        <v>535</v>
      </c>
      <c r="O350" s="7" t="s">
        <v>61</v>
      </c>
      <c r="P350" s="6" t="s">
        <v>535</v>
      </c>
      <c r="Q350" s="10" t="s">
        <v>321</v>
      </c>
      <c r="R350" s="16">
        <v>2</v>
      </c>
    </row>
    <row r="351" spans="1:18" x14ac:dyDescent="0.2">
      <c r="A351" s="5" t="str">
        <f t="shared" si="11"/>
        <v>8905302263371_Bie</v>
      </c>
      <c r="B351" s="11">
        <v>8905302263371</v>
      </c>
      <c r="C351" s="6" t="str">
        <f t="shared" si="10"/>
        <v>8905302263371_Bie_L</v>
      </c>
      <c r="D351" s="7" t="s">
        <v>518</v>
      </c>
      <c r="E351" s="8" t="s">
        <v>27</v>
      </c>
      <c r="F351" t="s">
        <v>34</v>
      </c>
      <c r="G351" s="9" t="s">
        <v>317</v>
      </c>
      <c r="H351" s="9" t="s">
        <v>318</v>
      </c>
      <c r="I351" t="s">
        <v>401</v>
      </c>
      <c r="J351" s="10">
        <v>7999</v>
      </c>
      <c r="K351" s="10">
        <v>7999</v>
      </c>
      <c r="L351" s="8">
        <v>61034200</v>
      </c>
      <c r="M351" s="6">
        <v>18</v>
      </c>
      <c r="N351" s="6" t="s">
        <v>535</v>
      </c>
      <c r="O351" s="7" t="s">
        <v>44</v>
      </c>
      <c r="P351" s="6" t="s">
        <v>535</v>
      </c>
      <c r="Q351" s="10" t="s">
        <v>321</v>
      </c>
      <c r="R351" s="16">
        <v>2</v>
      </c>
    </row>
    <row r="352" spans="1:18" x14ac:dyDescent="0.2">
      <c r="A352" s="5" t="str">
        <f t="shared" si="11"/>
        <v>8905302263372_Bie</v>
      </c>
      <c r="B352" s="11">
        <v>8905302263372</v>
      </c>
      <c r="C352" s="6" t="str">
        <f t="shared" si="10"/>
        <v>8905302263372_Bie_XL</v>
      </c>
      <c r="D352" s="7" t="s">
        <v>518</v>
      </c>
      <c r="E352" s="8" t="s">
        <v>27</v>
      </c>
      <c r="F352" t="s">
        <v>34</v>
      </c>
      <c r="G352" s="9" t="s">
        <v>317</v>
      </c>
      <c r="H352" s="9" t="s">
        <v>318</v>
      </c>
      <c r="I352" t="s">
        <v>401</v>
      </c>
      <c r="J352" s="10">
        <v>7999</v>
      </c>
      <c r="K352" s="10">
        <v>7999</v>
      </c>
      <c r="L352" s="8">
        <v>61034200</v>
      </c>
      <c r="M352" s="6">
        <v>18</v>
      </c>
      <c r="N352" s="6" t="s">
        <v>535</v>
      </c>
      <c r="O352" s="7" t="s">
        <v>38</v>
      </c>
      <c r="P352" s="6" t="s">
        <v>535</v>
      </c>
      <c r="Q352" s="10" t="s">
        <v>321</v>
      </c>
      <c r="R352" s="16">
        <v>1</v>
      </c>
    </row>
    <row r="353" spans="1:18" x14ac:dyDescent="0.2">
      <c r="A353" s="49" t="str">
        <f t="shared" si="11"/>
        <v>8905302263373_Bla</v>
      </c>
      <c r="B353" s="50">
        <v>8905302263373</v>
      </c>
      <c r="C353" s="51" t="str">
        <f t="shared" si="10"/>
        <v>8905302263373_Bla_M</v>
      </c>
      <c r="D353" s="52" t="s">
        <v>720</v>
      </c>
      <c r="E353" s="53" t="s">
        <v>27</v>
      </c>
      <c r="F353" s="54" t="s">
        <v>26</v>
      </c>
      <c r="G353" s="55" t="s">
        <v>317</v>
      </c>
      <c r="H353" s="55" t="s">
        <v>318</v>
      </c>
      <c r="I353" s="54" t="s">
        <v>319</v>
      </c>
      <c r="J353" s="56">
        <v>3999</v>
      </c>
      <c r="K353" s="56">
        <v>3999</v>
      </c>
      <c r="L353" s="53">
        <v>61034200</v>
      </c>
      <c r="M353" s="51">
        <v>18</v>
      </c>
      <c r="N353" s="51" t="s">
        <v>326</v>
      </c>
      <c r="O353" s="55" t="s">
        <v>61</v>
      </c>
      <c r="P353" s="51" t="s">
        <v>326</v>
      </c>
      <c r="Q353" s="56" t="s">
        <v>721</v>
      </c>
    </row>
    <row r="354" spans="1:18" x14ac:dyDescent="0.2">
      <c r="A354" s="49" t="str">
        <f t="shared" si="11"/>
        <v>8905302263374_Bla</v>
      </c>
      <c r="B354" s="50">
        <v>8905302263374</v>
      </c>
      <c r="C354" s="51" t="str">
        <f t="shared" si="10"/>
        <v>8905302263374_Bla_L</v>
      </c>
      <c r="D354" s="52" t="s">
        <v>720</v>
      </c>
      <c r="E354" s="53" t="s">
        <v>27</v>
      </c>
      <c r="F354" s="54" t="s">
        <v>26</v>
      </c>
      <c r="G354" s="55" t="s">
        <v>317</v>
      </c>
      <c r="H354" s="55" t="s">
        <v>318</v>
      </c>
      <c r="I354" s="54" t="s">
        <v>319</v>
      </c>
      <c r="J354" s="56">
        <v>3999</v>
      </c>
      <c r="K354" s="56">
        <v>3999</v>
      </c>
      <c r="L354" s="53">
        <v>61034200</v>
      </c>
      <c r="M354" s="51">
        <v>18</v>
      </c>
      <c r="N354" s="51" t="s">
        <v>326</v>
      </c>
      <c r="O354" s="55" t="s">
        <v>44</v>
      </c>
      <c r="P354" s="51" t="s">
        <v>326</v>
      </c>
      <c r="Q354" s="56" t="s">
        <v>721</v>
      </c>
    </row>
    <row r="355" spans="1:18" x14ac:dyDescent="0.2">
      <c r="A355" s="49" t="str">
        <f t="shared" si="11"/>
        <v>8905302263375_Bla</v>
      </c>
      <c r="B355" s="50">
        <v>8905302263375</v>
      </c>
      <c r="C355" s="51" t="str">
        <f t="shared" si="10"/>
        <v>8905302263375_Bla_XL</v>
      </c>
      <c r="D355" s="52" t="s">
        <v>720</v>
      </c>
      <c r="E355" s="53" t="s">
        <v>27</v>
      </c>
      <c r="F355" s="54" t="s">
        <v>26</v>
      </c>
      <c r="G355" s="55" t="s">
        <v>317</v>
      </c>
      <c r="H355" s="55" t="s">
        <v>318</v>
      </c>
      <c r="I355" s="54" t="s">
        <v>319</v>
      </c>
      <c r="J355" s="56">
        <v>3999</v>
      </c>
      <c r="K355" s="56">
        <v>3999</v>
      </c>
      <c r="L355" s="53">
        <v>61034200</v>
      </c>
      <c r="M355" s="51">
        <v>18</v>
      </c>
      <c r="N355" s="51" t="s">
        <v>326</v>
      </c>
      <c r="O355" s="55" t="s">
        <v>38</v>
      </c>
      <c r="P355" s="51" t="s">
        <v>326</v>
      </c>
      <c r="Q355" s="56" t="s">
        <v>721</v>
      </c>
      <c r="R355" s="5">
        <v>2</v>
      </c>
    </row>
    <row r="356" spans="1:18" x14ac:dyDescent="0.2">
      <c r="A356" s="49" t="str">
        <f t="shared" si="11"/>
        <v>8905302263376_Pin</v>
      </c>
      <c r="B356" s="50">
        <v>8905302263376</v>
      </c>
      <c r="C356" s="51" t="str">
        <f t="shared" si="10"/>
        <v>8905302263376_Pin_M</v>
      </c>
      <c r="D356" s="52" t="s">
        <v>722</v>
      </c>
      <c r="E356" s="53" t="s">
        <v>27</v>
      </c>
      <c r="F356" s="54" t="s">
        <v>26</v>
      </c>
      <c r="G356" s="55" t="s">
        <v>317</v>
      </c>
      <c r="H356" s="55" t="s">
        <v>318</v>
      </c>
      <c r="I356" s="54" t="s">
        <v>319</v>
      </c>
      <c r="J356" s="56">
        <v>3999</v>
      </c>
      <c r="K356" s="56">
        <v>3999</v>
      </c>
      <c r="L356" s="53">
        <v>61034200</v>
      </c>
      <c r="M356" s="51">
        <v>18</v>
      </c>
      <c r="N356" s="51" t="s">
        <v>723</v>
      </c>
      <c r="O356" s="55" t="s">
        <v>61</v>
      </c>
      <c r="P356" s="51" t="s">
        <v>723</v>
      </c>
      <c r="Q356" s="56" t="s">
        <v>721</v>
      </c>
      <c r="R356" s="5">
        <v>4</v>
      </c>
    </row>
    <row r="357" spans="1:18" x14ac:dyDescent="0.2">
      <c r="A357" s="49" t="str">
        <f t="shared" si="11"/>
        <v>8905302263377_Pin</v>
      </c>
      <c r="B357" s="50">
        <v>8905302263377</v>
      </c>
      <c r="C357" s="51" t="str">
        <f t="shared" si="10"/>
        <v>8905302263377_Pin_L</v>
      </c>
      <c r="D357" s="52" t="s">
        <v>722</v>
      </c>
      <c r="E357" s="53" t="s">
        <v>27</v>
      </c>
      <c r="F357" s="54" t="s">
        <v>26</v>
      </c>
      <c r="G357" s="55" t="s">
        <v>317</v>
      </c>
      <c r="H357" s="55" t="s">
        <v>318</v>
      </c>
      <c r="I357" s="54" t="s">
        <v>319</v>
      </c>
      <c r="J357" s="56">
        <v>3999</v>
      </c>
      <c r="K357" s="56">
        <v>3999</v>
      </c>
      <c r="L357" s="53">
        <v>61034200</v>
      </c>
      <c r="M357" s="51">
        <v>18</v>
      </c>
      <c r="N357" s="51" t="s">
        <v>723</v>
      </c>
      <c r="O357" s="55" t="s">
        <v>44</v>
      </c>
      <c r="P357" s="51" t="s">
        <v>723</v>
      </c>
      <c r="Q357" s="56" t="s">
        <v>721</v>
      </c>
      <c r="R357" s="5">
        <v>4</v>
      </c>
    </row>
    <row r="358" spans="1:18" x14ac:dyDescent="0.2">
      <c r="A358" s="49" t="str">
        <f t="shared" si="11"/>
        <v>8905302263378_Pin</v>
      </c>
      <c r="B358" s="50">
        <v>8905302263378</v>
      </c>
      <c r="C358" s="51" t="str">
        <f t="shared" si="10"/>
        <v>8905302263378_Pin_XL</v>
      </c>
      <c r="D358" s="52" t="s">
        <v>722</v>
      </c>
      <c r="E358" s="53" t="s">
        <v>27</v>
      </c>
      <c r="F358" s="54" t="s">
        <v>26</v>
      </c>
      <c r="G358" s="55" t="s">
        <v>317</v>
      </c>
      <c r="H358" s="55" t="s">
        <v>318</v>
      </c>
      <c r="I358" s="54" t="s">
        <v>319</v>
      </c>
      <c r="J358" s="56">
        <v>3999</v>
      </c>
      <c r="K358" s="56">
        <v>3999</v>
      </c>
      <c r="L358" s="53">
        <v>61034200</v>
      </c>
      <c r="M358" s="51">
        <v>18</v>
      </c>
      <c r="N358" s="51" t="s">
        <v>723</v>
      </c>
      <c r="O358" s="55" t="s">
        <v>38</v>
      </c>
      <c r="P358" s="51" t="s">
        <v>723</v>
      </c>
      <c r="Q358" s="56" t="s">
        <v>721</v>
      </c>
      <c r="R358" s="5">
        <v>4</v>
      </c>
    </row>
    <row r="359" spans="1:18" x14ac:dyDescent="0.2">
      <c r="A359" s="49" t="str">
        <f t="shared" si="11"/>
        <v>8905302263379_Bla</v>
      </c>
      <c r="B359" s="50">
        <v>8905302263379</v>
      </c>
      <c r="C359" s="51" t="str">
        <f t="shared" ref="C359:C422" si="12">B359 &amp; "_" &amp; LEFT(N359,3) &amp; "_" &amp; O359</f>
        <v>8905302263379_Bla_M</v>
      </c>
      <c r="D359" s="52" t="s">
        <v>724</v>
      </c>
      <c r="E359" s="53" t="s">
        <v>27</v>
      </c>
      <c r="F359" s="54" t="s">
        <v>26</v>
      </c>
      <c r="G359" s="55" t="s">
        <v>317</v>
      </c>
      <c r="H359" s="55" t="s">
        <v>318</v>
      </c>
      <c r="I359" s="54" t="s">
        <v>319</v>
      </c>
      <c r="J359" s="56">
        <v>3999</v>
      </c>
      <c r="K359" s="56">
        <v>3999</v>
      </c>
      <c r="L359" s="53">
        <v>61034200</v>
      </c>
      <c r="M359" s="51">
        <v>18</v>
      </c>
      <c r="N359" s="51" t="s">
        <v>326</v>
      </c>
      <c r="O359" s="55" t="s">
        <v>61</v>
      </c>
      <c r="P359" s="51" t="s">
        <v>326</v>
      </c>
      <c r="Q359" s="56" t="s">
        <v>721</v>
      </c>
      <c r="R359" s="5">
        <v>4</v>
      </c>
    </row>
    <row r="360" spans="1:18" x14ac:dyDescent="0.2">
      <c r="A360" s="49" t="str">
        <f t="shared" si="11"/>
        <v>8905302263380_Bla</v>
      </c>
      <c r="B360" s="50">
        <v>8905302263380</v>
      </c>
      <c r="C360" s="51" t="str">
        <f t="shared" si="12"/>
        <v>8905302263380_Bla_L</v>
      </c>
      <c r="D360" s="52" t="s">
        <v>724</v>
      </c>
      <c r="E360" s="53" t="s">
        <v>27</v>
      </c>
      <c r="F360" s="54" t="s">
        <v>26</v>
      </c>
      <c r="G360" s="55" t="s">
        <v>317</v>
      </c>
      <c r="H360" s="55" t="s">
        <v>318</v>
      </c>
      <c r="I360" s="54" t="s">
        <v>319</v>
      </c>
      <c r="J360" s="56">
        <v>3999</v>
      </c>
      <c r="K360" s="56">
        <v>3999</v>
      </c>
      <c r="L360" s="53">
        <v>61034200</v>
      </c>
      <c r="M360" s="51">
        <v>18</v>
      </c>
      <c r="N360" s="51" t="s">
        <v>326</v>
      </c>
      <c r="O360" s="55" t="s">
        <v>44</v>
      </c>
      <c r="P360" s="51" t="s">
        <v>326</v>
      </c>
      <c r="Q360" s="56" t="s">
        <v>721</v>
      </c>
      <c r="R360" s="5">
        <v>5</v>
      </c>
    </row>
    <row r="361" spans="1:18" x14ac:dyDescent="0.2">
      <c r="A361" s="49" t="str">
        <f t="shared" si="11"/>
        <v>8905302263381_Bla</v>
      </c>
      <c r="B361" s="50">
        <v>8905302263381</v>
      </c>
      <c r="C361" s="51" t="str">
        <f t="shared" si="12"/>
        <v>8905302263381_Bla_XL</v>
      </c>
      <c r="D361" s="52" t="s">
        <v>724</v>
      </c>
      <c r="E361" s="53" t="s">
        <v>27</v>
      </c>
      <c r="F361" s="54" t="s">
        <v>26</v>
      </c>
      <c r="G361" s="55" t="s">
        <v>317</v>
      </c>
      <c r="H361" s="55" t="s">
        <v>318</v>
      </c>
      <c r="I361" s="54" t="s">
        <v>319</v>
      </c>
      <c r="J361" s="56">
        <v>3999</v>
      </c>
      <c r="K361" s="56">
        <v>3999</v>
      </c>
      <c r="L361" s="53">
        <v>61034200</v>
      </c>
      <c r="M361" s="51">
        <v>18</v>
      </c>
      <c r="N361" s="51" t="s">
        <v>326</v>
      </c>
      <c r="O361" s="55" t="s">
        <v>38</v>
      </c>
      <c r="P361" s="51" t="s">
        <v>326</v>
      </c>
      <c r="Q361" s="56" t="s">
        <v>721</v>
      </c>
      <c r="R361" s="5">
        <v>5</v>
      </c>
    </row>
    <row r="362" spans="1:18" x14ac:dyDescent="0.2">
      <c r="A362" s="49" t="str">
        <f t="shared" si="11"/>
        <v>8905302263382_Blu</v>
      </c>
      <c r="B362" s="50">
        <v>8905302263382</v>
      </c>
      <c r="C362" s="51" t="str">
        <f t="shared" si="12"/>
        <v>8905302263382_Blu_M</v>
      </c>
      <c r="D362" s="52" t="s">
        <v>725</v>
      </c>
      <c r="E362" s="53" t="s">
        <v>27</v>
      </c>
      <c r="F362" s="54" t="s">
        <v>26</v>
      </c>
      <c r="G362" s="55" t="s">
        <v>317</v>
      </c>
      <c r="H362" s="55" t="s">
        <v>318</v>
      </c>
      <c r="I362" s="54" t="s">
        <v>319</v>
      </c>
      <c r="J362" s="56">
        <v>3999</v>
      </c>
      <c r="K362" s="56">
        <v>3999</v>
      </c>
      <c r="L362" s="53">
        <v>61034200</v>
      </c>
      <c r="M362" s="51">
        <v>18</v>
      </c>
      <c r="N362" s="51" t="s">
        <v>328</v>
      </c>
      <c r="O362" s="55" t="s">
        <v>61</v>
      </c>
      <c r="P362" s="51" t="s">
        <v>328</v>
      </c>
      <c r="Q362" s="56" t="s">
        <v>721</v>
      </c>
      <c r="R362" s="5">
        <v>5</v>
      </c>
    </row>
    <row r="363" spans="1:18" x14ac:dyDescent="0.2">
      <c r="A363" s="49" t="str">
        <f t="shared" si="11"/>
        <v>8905302263383_Blu</v>
      </c>
      <c r="B363" s="50">
        <v>8905302263383</v>
      </c>
      <c r="C363" s="51" t="str">
        <f t="shared" si="12"/>
        <v>8905302263383_Blu_L</v>
      </c>
      <c r="D363" s="52" t="s">
        <v>725</v>
      </c>
      <c r="E363" s="53" t="s">
        <v>27</v>
      </c>
      <c r="F363" s="54" t="s">
        <v>26</v>
      </c>
      <c r="G363" s="55" t="s">
        <v>317</v>
      </c>
      <c r="H363" s="55" t="s">
        <v>318</v>
      </c>
      <c r="I363" s="54" t="s">
        <v>319</v>
      </c>
      <c r="J363" s="56">
        <v>3999</v>
      </c>
      <c r="K363" s="56">
        <v>3999</v>
      </c>
      <c r="L363" s="53">
        <v>61034200</v>
      </c>
      <c r="M363" s="51">
        <v>18</v>
      </c>
      <c r="N363" s="51" t="s">
        <v>328</v>
      </c>
      <c r="O363" s="55" t="s">
        <v>44</v>
      </c>
      <c r="P363" s="51" t="s">
        <v>328</v>
      </c>
      <c r="Q363" s="56" t="s">
        <v>721</v>
      </c>
      <c r="R363" s="5">
        <v>6</v>
      </c>
    </row>
    <row r="364" spans="1:18" x14ac:dyDescent="0.2">
      <c r="A364" s="49" t="str">
        <f t="shared" si="11"/>
        <v>8905302263384_Blu</v>
      </c>
      <c r="B364" s="50">
        <v>8905302263384</v>
      </c>
      <c r="C364" s="51" t="str">
        <f t="shared" si="12"/>
        <v>8905302263384_Blu_XL</v>
      </c>
      <c r="D364" s="52" t="s">
        <v>725</v>
      </c>
      <c r="E364" s="53" t="s">
        <v>27</v>
      </c>
      <c r="F364" s="54" t="s">
        <v>26</v>
      </c>
      <c r="G364" s="55" t="s">
        <v>317</v>
      </c>
      <c r="H364" s="55" t="s">
        <v>318</v>
      </c>
      <c r="I364" s="54" t="s">
        <v>319</v>
      </c>
      <c r="J364" s="56">
        <v>3999</v>
      </c>
      <c r="K364" s="56">
        <v>3999</v>
      </c>
      <c r="L364" s="53">
        <v>61034200</v>
      </c>
      <c r="M364" s="51">
        <v>18</v>
      </c>
      <c r="N364" s="51" t="s">
        <v>328</v>
      </c>
      <c r="O364" s="55" t="s">
        <v>38</v>
      </c>
      <c r="P364" s="51" t="s">
        <v>328</v>
      </c>
      <c r="Q364" s="56" t="s">
        <v>721</v>
      </c>
      <c r="R364" s="5">
        <v>5</v>
      </c>
    </row>
    <row r="365" spans="1:18" x14ac:dyDescent="0.2">
      <c r="A365" s="49" t="str">
        <f t="shared" si="11"/>
        <v>8905302263385_Gre</v>
      </c>
      <c r="B365" s="50">
        <v>8905302263385</v>
      </c>
      <c r="C365" s="51" t="str">
        <f t="shared" si="12"/>
        <v>8905302263385_Gre_M</v>
      </c>
      <c r="D365" s="52" t="s">
        <v>726</v>
      </c>
      <c r="E365" s="53" t="s">
        <v>27</v>
      </c>
      <c r="F365" s="54" t="s">
        <v>34</v>
      </c>
      <c r="G365" s="55" t="s">
        <v>317</v>
      </c>
      <c r="H365" s="55" t="s">
        <v>318</v>
      </c>
      <c r="I365" s="54" t="s">
        <v>401</v>
      </c>
      <c r="J365" s="56">
        <v>6999</v>
      </c>
      <c r="K365" s="56">
        <v>6999</v>
      </c>
      <c r="L365" s="53">
        <v>61034200</v>
      </c>
      <c r="M365" s="51">
        <v>18</v>
      </c>
      <c r="N365" s="51" t="s">
        <v>492</v>
      </c>
      <c r="O365" s="57" t="s">
        <v>61</v>
      </c>
      <c r="P365" s="51" t="s">
        <v>492</v>
      </c>
      <c r="Q365" s="56" t="s">
        <v>721</v>
      </c>
      <c r="R365" s="5">
        <v>4</v>
      </c>
    </row>
    <row r="366" spans="1:18" x14ac:dyDescent="0.2">
      <c r="A366" s="49" t="str">
        <f t="shared" si="11"/>
        <v>8905302263386_Gre</v>
      </c>
      <c r="B366" s="50">
        <v>8905302263386</v>
      </c>
      <c r="C366" s="51" t="str">
        <f t="shared" si="12"/>
        <v>8905302263386_Gre_L</v>
      </c>
      <c r="D366" s="52" t="s">
        <v>726</v>
      </c>
      <c r="E366" s="53" t="s">
        <v>27</v>
      </c>
      <c r="F366" s="54" t="s">
        <v>34</v>
      </c>
      <c r="G366" s="55" t="s">
        <v>317</v>
      </c>
      <c r="H366" s="55" t="s">
        <v>318</v>
      </c>
      <c r="I366" s="54" t="s">
        <v>401</v>
      </c>
      <c r="J366" s="56">
        <v>6999</v>
      </c>
      <c r="K366" s="56">
        <v>6999</v>
      </c>
      <c r="L366" s="53">
        <v>61034200</v>
      </c>
      <c r="M366" s="51">
        <v>18</v>
      </c>
      <c r="N366" s="51" t="s">
        <v>492</v>
      </c>
      <c r="O366" s="57" t="s">
        <v>44</v>
      </c>
      <c r="P366" s="51" t="s">
        <v>492</v>
      </c>
      <c r="Q366" s="56" t="s">
        <v>721</v>
      </c>
      <c r="R366" s="5">
        <v>1</v>
      </c>
    </row>
    <row r="367" spans="1:18" x14ac:dyDescent="0.2">
      <c r="A367" s="49" t="str">
        <f t="shared" si="11"/>
        <v>8905302263387_Gre</v>
      </c>
      <c r="B367" s="50">
        <v>8905302263387</v>
      </c>
      <c r="C367" s="51" t="str">
        <f t="shared" si="12"/>
        <v>8905302263387_Gre_XL</v>
      </c>
      <c r="D367" s="52" t="s">
        <v>726</v>
      </c>
      <c r="E367" s="53" t="s">
        <v>27</v>
      </c>
      <c r="F367" s="54" t="s">
        <v>34</v>
      </c>
      <c r="G367" s="55" t="s">
        <v>317</v>
      </c>
      <c r="H367" s="55" t="s">
        <v>318</v>
      </c>
      <c r="I367" s="54" t="s">
        <v>401</v>
      </c>
      <c r="J367" s="56">
        <v>6999</v>
      </c>
      <c r="K367" s="56">
        <v>6999</v>
      </c>
      <c r="L367" s="53">
        <v>61034200</v>
      </c>
      <c r="M367" s="51">
        <v>18</v>
      </c>
      <c r="N367" s="51" t="s">
        <v>492</v>
      </c>
      <c r="O367" s="57" t="s">
        <v>38</v>
      </c>
      <c r="P367" s="51" t="s">
        <v>492</v>
      </c>
      <c r="Q367" s="56" t="s">
        <v>721</v>
      </c>
      <c r="R367" s="5">
        <v>1</v>
      </c>
    </row>
    <row r="368" spans="1:18" x14ac:dyDescent="0.2">
      <c r="A368" s="49" t="str">
        <f t="shared" si="11"/>
        <v>8905302263388_Gre</v>
      </c>
      <c r="B368" s="50">
        <v>8905302263388</v>
      </c>
      <c r="C368" s="51" t="str">
        <f t="shared" si="12"/>
        <v>8905302263388_Gre_XXL</v>
      </c>
      <c r="D368" s="52" t="s">
        <v>726</v>
      </c>
      <c r="E368" s="53" t="s">
        <v>27</v>
      </c>
      <c r="F368" s="54" t="s">
        <v>34</v>
      </c>
      <c r="G368" s="55" t="s">
        <v>317</v>
      </c>
      <c r="H368" s="55" t="s">
        <v>318</v>
      </c>
      <c r="I368" s="54" t="s">
        <v>401</v>
      </c>
      <c r="J368" s="56">
        <v>6999</v>
      </c>
      <c r="K368" s="56">
        <v>6999</v>
      </c>
      <c r="L368" s="53">
        <v>61034200</v>
      </c>
      <c r="M368" s="51">
        <v>18</v>
      </c>
      <c r="N368" s="51" t="s">
        <v>492</v>
      </c>
      <c r="O368" s="57" t="s">
        <v>84</v>
      </c>
      <c r="P368" s="51" t="s">
        <v>492</v>
      </c>
      <c r="Q368" s="56" t="s">
        <v>721</v>
      </c>
      <c r="R368" s="5">
        <v>1</v>
      </c>
    </row>
    <row r="369" spans="1:23" x14ac:dyDescent="0.2">
      <c r="A369" s="49" t="str">
        <f t="shared" si="11"/>
        <v>8905302263389_Blu</v>
      </c>
      <c r="B369" s="50">
        <v>8905302263389</v>
      </c>
      <c r="C369" s="51" t="str">
        <f t="shared" si="12"/>
        <v>8905302263389_Blu_S</v>
      </c>
      <c r="D369" s="57" t="s">
        <v>727</v>
      </c>
      <c r="E369" s="53" t="s">
        <v>27</v>
      </c>
      <c r="F369" s="54" t="s">
        <v>34</v>
      </c>
      <c r="G369" s="55" t="s">
        <v>317</v>
      </c>
      <c r="H369" s="55" t="s">
        <v>318</v>
      </c>
      <c r="I369" s="54" t="s">
        <v>401</v>
      </c>
      <c r="J369" s="56">
        <v>4999</v>
      </c>
      <c r="K369" s="56">
        <v>4999</v>
      </c>
      <c r="L369" s="53">
        <v>61034200</v>
      </c>
      <c r="M369" s="51">
        <v>18</v>
      </c>
      <c r="N369" s="51" t="s">
        <v>328</v>
      </c>
      <c r="O369" s="57" t="s">
        <v>54</v>
      </c>
      <c r="P369" s="51" t="s">
        <v>328</v>
      </c>
      <c r="Q369" s="56" t="s">
        <v>721</v>
      </c>
      <c r="R369" s="5">
        <v>1</v>
      </c>
    </row>
    <row r="370" spans="1:23" x14ac:dyDescent="0.2">
      <c r="A370" s="49" t="str">
        <f t="shared" si="11"/>
        <v>8905302263390_Blu</v>
      </c>
      <c r="B370" s="50">
        <v>8905302263390</v>
      </c>
      <c r="C370" s="51" t="str">
        <f t="shared" si="12"/>
        <v>8905302263390_Blu_M</v>
      </c>
      <c r="D370" s="57" t="s">
        <v>727</v>
      </c>
      <c r="E370" s="53" t="s">
        <v>27</v>
      </c>
      <c r="F370" s="54" t="s">
        <v>34</v>
      </c>
      <c r="G370" s="55" t="s">
        <v>317</v>
      </c>
      <c r="H370" s="55" t="s">
        <v>318</v>
      </c>
      <c r="I370" s="54" t="s">
        <v>401</v>
      </c>
      <c r="J370" s="56">
        <v>4999</v>
      </c>
      <c r="K370" s="56">
        <v>4999</v>
      </c>
      <c r="L370" s="53">
        <v>61034200</v>
      </c>
      <c r="M370" s="51">
        <v>18</v>
      </c>
      <c r="N370" s="51" t="s">
        <v>328</v>
      </c>
      <c r="O370" s="57" t="s">
        <v>61</v>
      </c>
      <c r="P370" s="51" t="s">
        <v>328</v>
      </c>
      <c r="Q370" s="56" t="s">
        <v>721</v>
      </c>
      <c r="R370" s="5">
        <v>6</v>
      </c>
    </row>
    <row r="371" spans="1:23" x14ac:dyDescent="0.2">
      <c r="A371" s="49" t="str">
        <f t="shared" si="11"/>
        <v>8905302263391_Blu</v>
      </c>
      <c r="B371" s="50">
        <v>8905302263391</v>
      </c>
      <c r="C371" s="51" t="str">
        <f t="shared" si="12"/>
        <v>8905302263391_Blu_L</v>
      </c>
      <c r="D371" s="57" t="s">
        <v>727</v>
      </c>
      <c r="E371" s="53" t="s">
        <v>27</v>
      </c>
      <c r="F371" s="54" t="s">
        <v>34</v>
      </c>
      <c r="G371" s="55" t="s">
        <v>317</v>
      </c>
      <c r="H371" s="55" t="s">
        <v>318</v>
      </c>
      <c r="I371" s="54" t="s">
        <v>401</v>
      </c>
      <c r="J371" s="56">
        <v>4999</v>
      </c>
      <c r="K371" s="56">
        <v>4999</v>
      </c>
      <c r="L371" s="53">
        <v>61034200</v>
      </c>
      <c r="M371" s="51">
        <v>18</v>
      </c>
      <c r="N371" s="51" t="s">
        <v>328</v>
      </c>
      <c r="O371" s="57" t="s">
        <v>44</v>
      </c>
      <c r="P371" s="51" t="s">
        <v>328</v>
      </c>
      <c r="Q371" s="56" t="s">
        <v>721</v>
      </c>
      <c r="R371" s="5">
        <v>6</v>
      </c>
    </row>
    <row r="372" spans="1:23" x14ac:dyDescent="0.2">
      <c r="A372" s="49" t="str">
        <f t="shared" si="11"/>
        <v>8905302263392_Blu</v>
      </c>
      <c r="B372" s="50">
        <v>8905302263392</v>
      </c>
      <c r="C372" s="51" t="str">
        <f t="shared" si="12"/>
        <v>8905302263392_Blu_M</v>
      </c>
      <c r="D372" s="57" t="s">
        <v>728</v>
      </c>
      <c r="E372" s="53" t="s">
        <v>27</v>
      </c>
      <c r="F372" s="54" t="s">
        <v>377</v>
      </c>
      <c r="G372" s="55" t="s">
        <v>317</v>
      </c>
      <c r="H372" s="55" t="s">
        <v>318</v>
      </c>
      <c r="I372" s="54" t="s">
        <v>378</v>
      </c>
      <c r="J372" s="56">
        <v>6999</v>
      </c>
      <c r="K372" s="56">
        <v>6999</v>
      </c>
      <c r="L372" s="53">
        <v>61034200</v>
      </c>
      <c r="M372" s="51">
        <v>18</v>
      </c>
      <c r="N372" s="51" t="s">
        <v>328</v>
      </c>
      <c r="O372" s="55" t="s">
        <v>61</v>
      </c>
      <c r="P372" s="51" t="s">
        <v>328</v>
      </c>
      <c r="Q372" s="56" t="s">
        <v>721</v>
      </c>
      <c r="R372" s="5">
        <v>6</v>
      </c>
    </row>
    <row r="373" spans="1:23" x14ac:dyDescent="0.2">
      <c r="A373" s="49" t="str">
        <f t="shared" si="11"/>
        <v>8905302263393_Blu</v>
      </c>
      <c r="B373" s="50">
        <v>8905302263393</v>
      </c>
      <c r="C373" s="51" t="str">
        <f t="shared" si="12"/>
        <v>8905302263393_Blu_L</v>
      </c>
      <c r="D373" s="57" t="s">
        <v>728</v>
      </c>
      <c r="E373" s="53" t="s">
        <v>27</v>
      </c>
      <c r="F373" s="54" t="s">
        <v>377</v>
      </c>
      <c r="G373" s="55" t="s">
        <v>317</v>
      </c>
      <c r="H373" s="55" t="s">
        <v>318</v>
      </c>
      <c r="I373" s="54" t="s">
        <v>378</v>
      </c>
      <c r="J373" s="56">
        <v>6999</v>
      </c>
      <c r="K373" s="56">
        <v>6999</v>
      </c>
      <c r="L373" s="53">
        <v>61034200</v>
      </c>
      <c r="M373" s="51">
        <v>18</v>
      </c>
      <c r="N373" s="51" t="s">
        <v>328</v>
      </c>
      <c r="O373" s="55" t="s">
        <v>44</v>
      </c>
      <c r="P373" s="51" t="s">
        <v>328</v>
      </c>
      <c r="Q373" s="56" t="s">
        <v>721</v>
      </c>
      <c r="R373" s="5">
        <v>6</v>
      </c>
    </row>
    <row r="374" spans="1:23" x14ac:dyDescent="0.2">
      <c r="A374" s="49" t="str">
        <f t="shared" si="11"/>
        <v>8905302263394_Blu</v>
      </c>
      <c r="B374" s="50">
        <v>8905302263394</v>
      </c>
      <c r="C374" s="51" t="str">
        <f t="shared" si="12"/>
        <v>8905302263394_Blu_XL</v>
      </c>
      <c r="D374" s="57" t="s">
        <v>728</v>
      </c>
      <c r="E374" s="53" t="s">
        <v>27</v>
      </c>
      <c r="F374" s="54" t="s">
        <v>377</v>
      </c>
      <c r="G374" s="55" t="s">
        <v>317</v>
      </c>
      <c r="H374" s="55" t="s">
        <v>318</v>
      </c>
      <c r="I374" s="54" t="s">
        <v>378</v>
      </c>
      <c r="J374" s="56">
        <v>6999</v>
      </c>
      <c r="K374" s="56">
        <v>6999</v>
      </c>
      <c r="L374" s="53">
        <v>61034200</v>
      </c>
      <c r="M374" s="51">
        <v>18</v>
      </c>
      <c r="N374" s="51" t="s">
        <v>328</v>
      </c>
      <c r="O374" s="55" t="s">
        <v>38</v>
      </c>
      <c r="P374" s="51" t="s">
        <v>328</v>
      </c>
      <c r="Q374" s="56" t="s">
        <v>721</v>
      </c>
      <c r="R374" s="5">
        <v>6</v>
      </c>
    </row>
    <row r="375" spans="1:23" ht="16" x14ac:dyDescent="0.2">
      <c r="A375" s="31" t="str">
        <f t="shared" si="11"/>
        <v>8905302263395_Bla</v>
      </c>
      <c r="B375" s="41">
        <v>8905302263395</v>
      </c>
      <c r="C375" s="33" t="str">
        <f t="shared" si="12"/>
        <v>8905302263395_Bla_S</v>
      </c>
      <c r="D375" s="34" t="s">
        <v>151</v>
      </c>
      <c r="E375" s="35" t="s">
        <v>27</v>
      </c>
      <c r="F375" s="31" t="s">
        <v>26</v>
      </c>
      <c r="G375" s="36" t="s">
        <v>317</v>
      </c>
      <c r="H375" s="36" t="s">
        <v>318</v>
      </c>
      <c r="I375" s="37" t="s">
        <v>401</v>
      </c>
      <c r="J375" s="42">
        <v>4495</v>
      </c>
      <c r="K375" s="42">
        <v>4495</v>
      </c>
      <c r="L375" s="35">
        <v>61034200</v>
      </c>
      <c r="M375" s="33">
        <v>18</v>
      </c>
      <c r="N375" s="34" t="s">
        <v>326</v>
      </c>
      <c r="O375" s="34" t="s">
        <v>54</v>
      </c>
      <c r="P375" s="34" t="s">
        <v>326</v>
      </c>
      <c r="Q375" s="43" t="s">
        <v>321</v>
      </c>
      <c r="R375" s="5">
        <v>6</v>
      </c>
    </row>
    <row r="376" spans="1:23" ht="16" x14ac:dyDescent="0.2">
      <c r="A376" s="31" t="str">
        <f t="shared" si="11"/>
        <v>8905302263396_Bla</v>
      </c>
      <c r="B376" s="41">
        <v>8905302263396</v>
      </c>
      <c r="C376" s="33" t="str">
        <f t="shared" si="12"/>
        <v>8905302263396_Bla_L</v>
      </c>
      <c r="D376" s="34" t="s">
        <v>151</v>
      </c>
      <c r="E376" s="35" t="s">
        <v>27</v>
      </c>
      <c r="F376" s="31" t="s">
        <v>26</v>
      </c>
      <c r="G376" s="36" t="s">
        <v>317</v>
      </c>
      <c r="H376" s="36" t="s">
        <v>318</v>
      </c>
      <c r="I376" s="37" t="s">
        <v>401</v>
      </c>
      <c r="J376" s="42">
        <v>4495</v>
      </c>
      <c r="K376" s="42">
        <v>4495</v>
      </c>
      <c r="L376" s="35">
        <v>61034200</v>
      </c>
      <c r="M376" s="33">
        <v>18</v>
      </c>
      <c r="N376" s="34" t="s">
        <v>326</v>
      </c>
      <c r="O376" s="34" t="s">
        <v>44</v>
      </c>
      <c r="P376" s="34" t="s">
        <v>326</v>
      </c>
      <c r="Q376" s="43" t="s">
        <v>409</v>
      </c>
    </row>
    <row r="377" spans="1:23" ht="16" x14ac:dyDescent="0.2">
      <c r="A377" s="31" t="str">
        <f t="shared" si="11"/>
        <v>8905302263397_Bla</v>
      </c>
      <c r="B377" s="41">
        <v>8905302263397</v>
      </c>
      <c r="C377" s="33" t="str">
        <f t="shared" si="12"/>
        <v>8905302263397_Bla_XL</v>
      </c>
      <c r="D377" s="34" t="s">
        <v>151</v>
      </c>
      <c r="E377" s="35" t="s">
        <v>27</v>
      </c>
      <c r="F377" s="31" t="s">
        <v>26</v>
      </c>
      <c r="G377" s="36" t="s">
        <v>317</v>
      </c>
      <c r="H377" s="36" t="s">
        <v>318</v>
      </c>
      <c r="I377" s="37" t="s">
        <v>401</v>
      </c>
      <c r="J377" s="42">
        <v>4495</v>
      </c>
      <c r="K377" s="42">
        <v>4495</v>
      </c>
      <c r="L377" s="35">
        <v>61034200</v>
      </c>
      <c r="M377" s="33">
        <v>18</v>
      </c>
      <c r="N377" s="34" t="s">
        <v>326</v>
      </c>
      <c r="O377" s="34" t="s">
        <v>38</v>
      </c>
      <c r="P377" s="34" t="s">
        <v>326</v>
      </c>
      <c r="Q377" s="43" t="s">
        <v>409</v>
      </c>
    </row>
    <row r="378" spans="1:23" ht="16" x14ac:dyDescent="0.2">
      <c r="A378" s="31" t="str">
        <f t="shared" si="11"/>
        <v>8905302263398_Bla</v>
      </c>
      <c r="B378" s="41">
        <v>8905302263398</v>
      </c>
      <c r="C378" s="33" t="str">
        <f t="shared" si="12"/>
        <v>8905302263398_Bla_XXL</v>
      </c>
      <c r="D378" s="34" t="s">
        <v>151</v>
      </c>
      <c r="E378" s="35" t="s">
        <v>27</v>
      </c>
      <c r="F378" s="31" t="s">
        <v>26</v>
      </c>
      <c r="G378" s="36" t="s">
        <v>317</v>
      </c>
      <c r="H378" s="36" t="s">
        <v>318</v>
      </c>
      <c r="I378" s="37" t="s">
        <v>401</v>
      </c>
      <c r="J378" s="42">
        <v>4495</v>
      </c>
      <c r="K378" s="42">
        <v>4495</v>
      </c>
      <c r="L378" s="35">
        <v>61034200</v>
      </c>
      <c r="M378" s="33">
        <v>18</v>
      </c>
      <c r="N378" s="34" t="s">
        <v>326</v>
      </c>
      <c r="O378" s="34" t="s">
        <v>84</v>
      </c>
      <c r="P378" s="34" t="s">
        <v>326</v>
      </c>
      <c r="Q378" s="43" t="s">
        <v>409</v>
      </c>
    </row>
    <row r="379" spans="1:23" x14ac:dyDescent="0.2">
      <c r="A379" s="112" t="str">
        <f t="shared" si="11"/>
        <v>8905302263399_C B</v>
      </c>
      <c r="B379" s="121">
        <v>8905302263399</v>
      </c>
      <c r="C379" s="123" t="str">
        <f t="shared" si="12"/>
        <v>8905302263399_C B_S</v>
      </c>
      <c r="D379" s="60" t="s">
        <v>1142</v>
      </c>
      <c r="E379" s="124" t="s">
        <v>27</v>
      </c>
      <c r="F379" s="60" t="s">
        <v>377</v>
      </c>
      <c r="G379" s="125" t="s">
        <v>317</v>
      </c>
      <c r="H379" s="125" t="s">
        <v>318</v>
      </c>
      <c r="I379" s="60" t="s">
        <v>378</v>
      </c>
      <c r="J379" s="111">
        <v>7999</v>
      </c>
      <c r="K379" s="111">
        <v>7999</v>
      </c>
      <c r="L379" s="124">
        <v>61034200</v>
      </c>
      <c r="M379" s="123">
        <v>18</v>
      </c>
      <c r="N379" s="110" t="s">
        <v>1143</v>
      </c>
      <c r="O379" s="126" t="s">
        <v>54</v>
      </c>
      <c r="P379" s="110" t="s">
        <v>1143</v>
      </c>
      <c r="Q379" s="10"/>
      <c r="R379" s="111">
        <v>4</v>
      </c>
      <c r="W379">
        <v>4</v>
      </c>
    </row>
    <row r="380" spans="1:23" x14ac:dyDescent="0.2">
      <c r="A380" s="112" t="str">
        <f t="shared" si="11"/>
        <v>8905302263400_C B</v>
      </c>
      <c r="B380" s="121">
        <v>8905302263400</v>
      </c>
      <c r="C380" s="123" t="str">
        <f t="shared" si="12"/>
        <v>8905302263400_C B_M</v>
      </c>
      <c r="D380" s="60" t="s">
        <v>1142</v>
      </c>
      <c r="E380" s="124" t="s">
        <v>27</v>
      </c>
      <c r="F380" s="60" t="s">
        <v>377</v>
      </c>
      <c r="G380" s="125" t="s">
        <v>317</v>
      </c>
      <c r="H380" s="125" t="s">
        <v>318</v>
      </c>
      <c r="I380" s="60" t="s">
        <v>378</v>
      </c>
      <c r="J380" s="111">
        <v>7999</v>
      </c>
      <c r="K380" s="111">
        <v>7999</v>
      </c>
      <c r="L380" s="124">
        <v>61034200</v>
      </c>
      <c r="M380" s="123">
        <v>18</v>
      </c>
      <c r="N380" s="110" t="s">
        <v>1143</v>
      </c>
      <c r="O380" s="110" t="s">
        <v>61</v>
      </c>
      <c r="P380" s="110" t="s">
        <v>1143</v>
      </c>
      <c r="Q380" s="10"/>
      <c r="R380" s="111">
        <v>12</v>
      </c>
      <c r="W380">
        <v>12</v>
      </c>
    </row>
    <row r="381" spans="1:23" x14ac:dyDescent="0.2">
      <c r="A381" s="112" t="str">
        <f t="shared" si="11"/>
        <v>8905302263401_C B</v>
      </c>
      <c r="B381" s="121">
        <v>8905302263401</v>
      </c>
      <c r="C381" s="123" t="str">
        <f t="shared" si="12"/>
        <v>8905302263401_C B_L</v>
      </c>
      <c r="D381" s="60" t="s">
        <v>1142</v>
      </c>
      <c r="E381" s="124" t="s">
        <v>27</v>
      </c>
      <c r="F381" s="60" t="s">
        <v>377</v>
      </c>
      <c r="G381" s="125" t="s">
        <v>317</v>
      </c>
      <c r="H381" s="125" t="s">
        <v>318</v>
      </c>
      <c r="I381" s="60" t="s">
        <v>378</v>
      </c>
      <c r="J381" s="111">
        <v>7999</v>
      </c>
      <c r="K381" s="111">
        <v>7999</v>
      </c>
      <c r="L381" s="124">
        <v>61034200</v>
      </c>
      <c r="M381" s="123">
        <v>18</v>
      </c>
      <c r="N381" s="110" t="s">
        <v>1143</v>
      </c>
      <c r="O381" s="110" t="s">
        <v>44</v>
      </c>
      <c r="P381" s="110" t="s">
        <v>1143</v>
      </c>
      <c r="Q381" s="10"/>
      <c r="R381" s="111">
        <v>12</v>
      </c>
      <c r="W381">
        <v>12</v>
      </c>
    </row>
    <row r="382" spans="1:23" x14ac:dyDescent="0.2">
      <c r="A382" s="112" t="str">
        <f t="shared" si="11"/>
        <v>8905302263402_C B</v>
      </c>
      <c r="B382" s="121">
        <v>8905302263402</v>
      </c>
      <c r="C382" s="123" t="str">
        <f t="shared" si="12"/>
        <v>8905302263402_C B_XL</v>
      </c>
      <c r="D382" s="60" t="s">
        <v>1142</v>
      </c>
      <c r="E382" s="124" t="s">
        <v>27</v>
      </c>
      <c r="F382" s="60" t="s">
        <v>377</v>
      </c>
      <c r="G382" s="125" t="s">
        <v>317</v>
      </c>
      <c r="H382" s="125" t="s">
        <v>318</v>
      </c>
      <c r="I382" s="60" t="s">
        <v>378</v>
      </c>
      <c r="J382" s="111">
        <v>7999</v>
      </c>
      <c r="K382" s="111">
        <v>7999</v>
      </c>
      <c r="L382" s="124">
        <v>61034200</v>
      </c>
      <c r="M382" s="123">
        <v>18</v>
      </c>
      <c r="N382" s="110" t="s">
        <v>1143</v>
      </c>
      <c r="O382" s="110" t="s">
        <v>38</v>
      </c>
      <c r="P382" s="110" t="s">
        <v>1143</v>
      </c>
      <c r="Q382" s="10"/>
      <c r="R382" s="111">
        <v>13</v>
      </c>
      <c r="W382">
        <v>13</v>
      </c>
    </row>
    <row r="383" spans="1:23" x14ac:dyDescent="0.2">
      <c r="A383" s="112" t="str">
        <f t="shared" si="11"/>
        <v>8905302263403_C B</v>
      </c>
      <c r="B383" s="121">
        <v>8905302263403</v>
      </c>
      <c r="C383" s="123" t="str">
        <f t="shared" si="12"/>
        <v>8905302263403_C B_XXL</v>
      </c>
      <c r="D383" s="60" t="s">
        <v>1142</v>
      </c>
      <c r="E383" s="124" t="s">
        <v>27</v>
      </c>
      <c r="F383" s="60" t="s">
        <v>377</v>
      </c>
      <c r="G383" s="125" t="s">
        <v>317</v>
      </c>
      <c r="H383" s="125" t="s">
        <v>318</v>
      </c>
      <c r="I383" s="60" t="s">
        <v>378</v>
      </c>
      <c r="J383" s="122">
        <v>7999</v>
      </c>
      <c r="K383" s="122">
        <v>7999</v>
      </c>
      <c r="L383" s="124">
        <v>61034200</v>
      </c>
      <c r="M383" s="123">
        <v>18</v>
      </c>
      <c r="N383" s="126" t="s">
        <v>1143</v>
      </c>
      <c r="O383" s="126" t="s">
        <v>84</v>
      </c>
      <c r="P383" s="126" t="s">
        <v>1143</v>
      </c>
      <c r="Q383" s="10"/>
      <c r="R383" s="111"/>
    </row>
    <row r="384" spans="1:23" x14ac:dyDescent="0.2">
      <c r="A384" s="112" t="str">
        <f t="shared" si="11"/>
        <v>8905302263404_Bla</v>
      </c>
      <c r="B384" s="121">
        <v>8905302263404</v>
      </c>
      <c r="C384" s="123" t="str">
        <f t="shared" si="12"/>
        <v>8905302263404_Bla_S</v>
      </c>
      <c r="D384" s="60" t="s">
        <v>1144</v>
      </c>
      <c r="E384" s="124" t="s">
        <v>27</v>
      </c>
      <c r="F384" s="60" t="s">
        <v>377</v>
      </c>
      <c r="G384" s="125" t="s">
        <v>317</v>
      </c>
      <c r="H384" s="125" t="s">
        <v>318</v>
      </c>
      <c r="I384" s="60" t="s">
        <v>378</v>
      </c>
      <c r="J384" s="122">
        <v>6999</v>
      </c>
      <c r="K384" s="122">
        <v>6999</v>
      </c>
      <c r="L384" s="124">
        <v>61034200</v>
      </c>
      <c r="M384" s="123">
        <v>18</v>
      </c>
      <c r="N384" s="126" t="s">
        <v>326</v>
      </c>
      <c r="O384" s="126" t="s">
        <v>54</v>
      </c>
      <c r="P384" s="126" t="s">
        <v>326</v>
      </c>
      <c r="Q384" s="10"/>
      <c r="R384" s="111">
        <v>2</v>
      </c>
      <c r="W384">
        <v>2</v>
      </c>
    </row>
    <row r="385" spans="1:23" x14ac:dyDescent="0.2">
      <c r="A385" s="112" t="str">
        <f t="shared" si="11"/>
        <v>8905302263405_Bla</v>
      </c>
      <c r="B385" s="121">
        <v>8905302263405</v>
      </c>
      <c r="C385" s="123" t="str">
        <f t="shared" si="12"/>
        <v>8905302263405_Bla_M</v>
      </c>
      <c r="D385" s="60" t="s">
        <v>1144</v>
      </c>
      <c r="E385" s="124" t="s">
        <v>27</v>
      </c>
      <c r="F385" s="60" t="s">
        <v>377</v>
      </c>
      <c r="G385" s="125" t="s">
        <v>317</v>
      </c>
      <c r="H385" s="125" t="s">
        <v>318</v>
      </c>
      <c r="I385" s="60" t="s">
        <v>378</v>
      </c>
      <c r="J385" s="122">
        <v>6999</v>
      </c>
      <c r="K385" s="122">
        <v>6999</v>
      </c>
      <c r="L385" s="124">
        <v>61034200</v>
      </c>
      <c r="M385" s="123">
        <v>18</v>
      </c>
      <c r="N385" s="126" t="s">
        <v>326</v>
      </c>
      <c r="O385" s="126" t="s">
        <v>61</v>
      </c>
      <c r="P385" s="126" t="s">
        <v>326</v>
      </c>
      <c r="Q385" s="10"/>
      <c r="R385" s="111">
        <v>8</v>
      </c>
      <c r="W385">
        <v>8</v>
      </c>
    </row>
    <row r="386" spans="1:23" x14ac:dyDescent="0.2">
      <c r="A386" s="112" t="str">
        <f t="shared" si="11"/>
        <v>8905302263406_Bla</v>
      </c>
      <c r="B386" s="121">
        <v>8905302263406</v>
      </c>
      <c r="C386" s="123" t="str">
        <f t="shared" si="12"/>
        <v>8905302263406_Bla_L</v>
      </c>
      <c r="D386" s="60" t="s">
        <v>1144</v>
      </c>
      <c r="E386" s="124" t="s">
        <v>27</v>
      </c>
      <c r="F386" s="60" t="s">
        <v>377</v>
      </c>
      <c r="G386" s="125" t="s">
        <v>317</v>
      </c>
      <c r="H386" s="125" t="s">
        <v>318</v>
      </c>
      <c r="I386" s="60" t="s">
        <v>378</v>
      </c>
      <c r="J386" s="122">
        <v>6999</v>
      </c>
      <c r="K386" s="122">
        <v>6999</v>
      </c>
      <c r="L386" s="124">
        <v>61034200</v>
      </c>
      <c r="M386" s="123">
        <v>18</v>
      </c>
      <c r="N386" s="126" t="s">
        <v>326</v>
      </c>
      <c r="O386" s="126" t="s">
        <v>44</v>
      </c>
      <c r="P386" s="126" t="s">
        <v>326</v>
      </c>
      <c r="Q386" s="10"/>
      <c r="R386" s="111">
        <v>7</v>
      </c>
      <c r="W386">
        <v>8</v>
      </c>
    </row>
    <row r="387" spans="1:23" x14ac:dyDescent="0.2">
      <c r="A387" s="112" t="str">
        <f t="shared" ref="A387:A450" si="13" xml:space="preserve"> B387&amp; "_" &amp; LEFT(N387,3)</f>
        <v>8905302263407_Bla</v>
      </c>
      <c r="B387" s="121">
        <v>8905302263407</v>
      </c>
      <c r="C387" s="123" t="str">
        <f t="shared" si="12"/>
        <v>8905302263407_Bla_XL</v>
      </c>
      <c r="D387" s="60" t="s">
        <v>1144</v>
      </c>
      <c r="E387" s="124" t="s">
        <v>27</v>
      </c>
      <c r="F387" s="60" t="s">
        <v>377</v>
      </c>
      <c r="G387" s="125" t="s">
        <v>317</v>
      </c>
      <c r="H387" s="125" t="s">
        <v>318</v>
      </c>
      <c r="I387" s="60" t="s">
        <v>378</v>
      </c>
      <c r="J387" s="111">
        <v>6999</v>
      </c>
      <c r="K387" s="111">
        <v>6999</v>
      </c>
      <c r="L387" s="124">
        <v>61034200</v>
      </c>
      <c r="M387" s="123">
        <v>18</v>
      </c>
      <c r="N387" s="126" t="s">
        <v>326</v>
      </c>
      <c r="O387" s="126" t="s">
        <v>38</v>
      </c>
      <c r="P387" s="126" t="s">
        <v>326</v>
      </c>
      <c r="R387" s="60">
        <v>7</v>
      </c>
      <c r="W387">
        <v>7</v>
      </c>
    </row>
    <row r="388" spans="1:23" x14ac:dyDescent="0.2">
      <c r="A388" s="112" t="str">
        <f t="shared" si="13"/>
        <v>8905302263408_Bla</v>
      </c>
      <c r="B388" s="121">
        <v>8905302263408</v>
      </c>
      <c r="C388" s="123" t="str">
        <f t="shared" si="12"/>
        <v>8905302263408_Bla_XXL</v>
      </c>
      <c r="D388" s="60" t="s">
        <v>1144</v>
      </c>
      <c r="E388" s="124" t="s">
        <v>27</v>
      </c>
      <c r="F388" s="60" t="s">
        <v>377</v>
      </c>
      <c r="G388" s="125" t="s">
        <v>317</v>
      </c>
      <c r="H388" s="125" t="s">
        <v>318</v>
      </c>
      <c r="I388" s="60" t="s">
        <v>378</v>
      </c>
      <c r="J388" s="111">
        <v>6999</v>
      </c>
      <c r="K388" s="111">
        <v>6999</v>
      </c>
      <c r="L388" s="124">
        <v>61034200</v>
      </c>
      <c r="M388" s="123">
        <v>18</v>
      </c>
      <c r="N388" s="126" t="s">
        <v>326</v>
      </c>
      <c r="O388" s="126" t="s">
        <v>84</v>
      </c>
      <c r="P388" s="126" t="s">
        <v>326</v>
      </c>
      <c r="R388" s="60"/>
    </row>
    <row r="389" spans="1:23" x14ac:dyDescent="0.2">
      <c r="A389" s="112" t="str">
        <f t="shared" si="13"/>
        <v>8905302263409_Whi</v>
      </c>
      <c r="B389" s="121">
        <v>8905302263409</v>
      </c>
      <c r="C389" s="123" t="str">
        <f t="shared" si="12"/>
        <v>8905302263409_Whi_S</v>
      </c>
      <c r="D389" s="60" t="s">
        <v>1145</v>
      </c>
      <c r="E389" s="124" t="s">
        <v>27</v>
      </c>
      <c r="F389" s="60" t="s">
        <v>34</v>
      </c>
      <c r="G389" s="125" t="s">
        <v>317</v>
      </c>
      <c r="H389" s="125" t="s">
        <v>318</v>
      </c>
      <c r="I389" s="60" t="s">
        <v>401</v>
      </c>
      <c r="J389" s="111">
        <v>6999</v>
      </c>
      <c r="K389" s="111">
        <v>6999</v>
      </c>
      <c r="L389" s="124">
        <v>61034200</v>
      </c>
      <c r="M389" s="123">
        <v>18</v>
      </c>
      <c r="N389" s="126" t="s">
        <v>320</v>
      </c>
      <c r="O389" s="126" t="s">
        <v>54</v>
      </c>
      <c r="P389" s="126" t="s">
        <v>320</v>
      </c>
      <c r="R389" s="60">
        <v>3</v>
      </c>
      <c r="W389">
        <v>3</v>
      </c>
    </row>
    <row r="390" spans="1:23" x14ac:dyDescent="0.2">
      <c r="A390" s="112" t="str">
        <f t="shared" si="13"/>
        <v>8905302263410_Whi</v>
      </c>
      <c r="B390" s="121">
        <v>8905302263410</v>
      </c>
      <c r="C390" s="123" t="str">
        <f t="shared" si="12"/>
        <v>8905302263410_Whi_M</v>
      </c>
      <c r="D390" s="60" t="s">
        <v>1145</v>
      </c>
      <c r="E390" s="124" t="s">
        <v>27</v>
      </c>
      <c r="F390" s="60" t="s">
        <v>34</v>
      </c>
      <c r="G390" s="125" t="s">
        <v>317</v>
      </c>
      <c r="H390" s="125" t="s">
        <v>318</v>
      </c>
      <c r="I390" s="60" t="s">
        <v>401</v>
      </c>
      <c r="J390" s="111">
        <v>6999</v>
      </c>
      <c r="K390" s="111">
        <v>6999</v>
      </c>
      <c r="L390" s="124">
        <v>61034200</v>
      </c>
      <c r="M390" s="123">
        <v>18</v>
      </c>
      <c r="N390" s="126" t="s">
        <v>320</v>
      </c>
      <c r="O390" s="126" t="s">
        <v>61</v>
      </c>
      <c r="P390" s="126" t="s">
        <v>320</v>
      </c>
      <c r="R390" s="60">
        <v>6</v>
      </c>
      <c r="W390">
        <v>6</v>
      </c>
    </row>
    <row r="391" spans="1:23" x14ac:dyDescent="0.2">
      <c r="A391" s="112" t="str">
        <f t="shared" si="13"/>
        <v>8905302263411_Whi</v>
      </c>
      <c r="B391" s="121">
        <v>8905302263411</v>
      </c>
      <c r="C391" s="123" t="str">
        <f t="shared" si="12"/>
        <v>8905302263411_Whi_L</v>
      </c>
      <c r="D391" s="60" t="s">
        <v>1145</v>
      </c>
      <c r="E391" s="124" t="s">
        <v>27</v>
      </c>
      <c r="F391" s="60" t="s">
        <v>34</v>
      </c>
      <c r="G391" s="125" t="s">
        <v>317</v>
      </c>
      <c r="H391" s="125" t="s">
        <v>318</v>
      </c>
      <c r="I391" s="60" t="s">
        <v>401</v>
      </c>
      <c r="J391" s="111">
        <v>6999</v>
      </c>
      <c r="K391" s="111">
        <v>6999</v>
      </c>
      <c r="L391" s="124">
        <v>61034200</v>
      </c>
      <c r="M391" s="123">
        <v>18</v>
      </c>
      <c r="N391" s="126" t="s">
        <v>320</v>
      </c>
      <c r="O391" s="126" t="s">
        <v>44</v>
      </c>
      <c r="P391" s="126" t="s">
        <v>320</v>
      </c>
      <c r="R391" s="60">
        <v>3</v>
      </c>
      <c r="W391">
        <v>3</v>
      </c>
    </row>
    <row r="392" spans="1:23" x14ac:dyDescent="0.2">
      <c r="A392" s="112" t="str">
        <f t="shared" si="13"/>
        <v>8905302263412_Whi</v>
      </c>
      <c r="B392" s="121">
        <v>8905302263412</v>
      </c>
      <c r="C392" s="123" t="str">
        <f t="shared" si="12"/>
        <v>8905302263412_Whi_XL</v>
      </c>
      <c r="D392" s="60" t="s">
        <v>1145</v>
      </c>
      <c r="E392" s="124" t="s">
        <v>27</v>
      </c>
      <c r="F392" s="60" t="s">
        <v>34</v>
      </c>
      <c r="G392" s="125" t="s">
        <v>317</v>
      </c>
      <c r="H392" s="125" t="s">
        <v>318</v>
      </c>
      <c r="I392" s="60" t="s">
        <v>401</v>
      </c>
      <c r="J392" s="111">
        <v>6999</v>
      </c>
      <c r="K392" s="111">
        <v>6999</v>
      </c>
      <c r="L392" s="124">
        <v>61034200</v>
      </c>
      <c r="M392" s="123">
        <v>18</v>
      </c>
      <c r="N392" s="126" t="s">
        <v>320</v>
      </c>
      <c r="O392" s="126" t="s">
        <v>38</v>
      </c>
      <c r="P392" s="126" t="s">
        <v>320</v>
      </c>
      <c r="R392" s="60">
        <v>3</v>
      </c>
      <c r="W392">
        <v>3</v>
      </c>
    </row>
    <row r="393" spans="1:23" x14ac:dyDescent="0.2">
      <c r="A393" s="112" t="str">
        <f t="shared" si="13"/>
        <v>8905302263413_Whi</v>
      </c>
      <c r="B393" s="121">
        <v>8905302263413</v>
      </c>
      <c r="C393" s="123" t="str">
        <f t="shared" si="12"/>
        <v>8905302263413_Whi_XXL</v>
      </c>
      <c r="D393" s="60" t="s">
        <v>1145</v>
      </c>
      <c r="E393" s="124" t="s">
        <v>27</v>
      </c>
      <c r="F393" s="60" t="s">
        <v>34</v>
      </c>
      <c r="G393" s="125" t="s">
        <v>317</v>
      </c>
      <c r="H393" s="125" t="s">
        <v>318</v>
      </c>
      <c r="I393" s="60" t="s">
        <v>401</v>
      </c>
      <c r="J393" s="111">
        <v>6999</v>
      </c>
      <c r="K393" s="111">
        <v>6999</v>
      </c>
      <c r="L393" s="124">
        <v>61034200</v>
      </c>
      <c r="M393" s="123">
        <v>18</v>
      </c>
      <c r="N393" s="126" t="s">
        <v>320</v>
      </c>
      <c r="O393" s="126" t="s">
        <v>84</v>
      </c>
      <c r="P393" s="126" t="s">
        <v>320</v>
      </c>
      <c r="R393" s="60"/>
    </row>
    <row r="394" spans="1:23" x14ac:dyDescent="0.2">
      <c r="A394" s="112" t="str">
        <f t="shared" si="13"/>
        <v>8905302263414_Bla</v>
      </c>
      <c r="B394" s="121">
        <v>8905302263414</v>
      </c>
      <c r="C394" s="123" t="str">
        <f t="shared" si="12"/>
        <v>8905302263414_Bla_S</v>
      </c>
      <c r="D394" s="60" t="s">
        <v>1146</v>
      </c>
      <c r="E394" s="124" t="s">
        <v>27</v>
      </c>
      <c r="F394" s="60" t="s">
        <v>34</v>
      </c>
      <c r="G394" s="125" t="s">
        <v>317</v>
      </c>
      <c r="H394" s="125" t="s">
        <v>318</v>
      </c>
      <c r="I394" s="60" t="s">
        <v>401</v>
      </c>
      <c r="J394" s="111">
        <v>6999</v>
      </c>
      <c r="K394" s="111">
        <v>6999</v>
      </c>
      <c r="L394" s="124">
        <v>61034200</v>
      </c>
      <c r="M394" s="123">
        <v>18</v>
      </c>
      <c r="N394" s="126" t="s">
        <v>326</v>
      </c>
      <c r="O394" s="126" t="s">
        <v>54</v>
      </c>
      <c r="P394" s="126" t="s">
        <v>326</v>
      </c>
      <c r="R394" s="60">
        <v>2</v>
      </c>
      <c r="W394">
        <v>2</v>
      </c>
    </row>
    <row r="395" spans="1:23" x14ac:dyDescent="0.2">
      <c r="A395" s="112" t="str">
        <f t="shared" si="13"/>
        <v>8905302263415_Bla</v>
      </c>
      <c r="B395" s="121">
        <v>8905302263415</v>
      </c>
      <c r="C395" s="123" t="str">
        <f t="shared" si="12"/>
        <v>8905302263415_Bla_M</v>
      </c>
      <c r="D395" s="60" t="s">
        <v>1146</v>
      </c>
      <c r="E395" s="124" t="s">
        <v>27</v>
      </c>
      <c r="F395" s="60" t="s">
        <v>34</v>
      </c>
      <c r="G395" s="125" t="s">
        <v>317</v>
      </c>
      <c r="H395" s="125" t="s">
        <v>318</v>
      </c>
      <c r="I395" s="60" t="s">
        <v>401</v>
      </c>
      <c r="J395" s="111">
        <v>6999</v>
      </c>
      <c r="K395" s="111">
        <v>6999</v>
      </c>
      <c r="L395" s="124">
        <v>61034200</v>
      </c>
      <c r="M395" s="123">
        <v>18</v>
      </c>
      <c r="N395" s="126" t="s">
        <v>326</v>
      </c>
      <c r="O395" s="126" t="s">
        <v>61</v>
      </c>
      <c r="P395" s="126" t="s">
        <v>326</v>
      </c>
      <c r="R395" s="60">
        <v>4</v>
      </c>
      <c r="W395">
        <v>4</v>
      </c>
    </row>
    <row r="396" spans="1:23" x14ac:dyDescent="0.2">
      <c r="A396" s="112" t="str">
        <f t="shared" si="13"/>
        <v>8905302263416_Bla</v>
      </c>
      <c r="B396" s="121">
        <v>8905302263416</v>
      </c>
      <c r="C396" s="123" t="str">
        <f t="shared" si="12"/>
        <v>8905302263416_Bla_L</v>
      </c>
      <c r="D396" s="60" t="s">
        <v>1146</v>
      </c>
      <c r="E396" s="124" t="s">
        <v>27</v>
      </c>
      <c r="F396" s="60" t="s">
        <v>34</v>
      </c>
      <c r="G396" s="125" t="s">
        <v>317</v>
      </c>
      <c r="H396" s="125" t="s">
        <v>318</v>
      </c>
      <c r="I396" s="60" t="s">
        <v>401</v>
      </c>
      <c r="J396" s="111">
        <v>6999</v>
      </c>
      <c r="K396" s="111">
        <v>6999</v>
      </c>
      <c r="L396" s="124">
        <v>61034200</v>
      </c>
      <c r="M396" s="123">
        <v>18</v>
      </c>
      <c r="N396" s="126" t="s">
        <v>326</v>
      </c>
      <c r="O396" s="126" t="s">
        <v>44</v>
      </c>
      <c r="P396" s="126" t="s">
        <v>326</v>
      </c>
      <c r="R396" s="60">
        <v>2</v>
      </c>
      <c r="W396">
        <v>2</v>
      </c>
    </row>
    <row r="397" spans="1:23" x14ac:dyDescent="0.2">
      <c r="A397" s="112" t="str">
        <f t="shared" si="13"/>
        <v>8905302263417_Bla</v>
      </c>
      <c r="B397" s="121">
        <v>8905302263417</v>
      </c>
      <c r="C397" s="123" t="str">
        <f t="shared" si="12"/>
        <v>8905302263417_Bla_XL</v>
      </c>
      <c r="D397" s="60" t="s">
        <v>1146</v>
      </c>
      <c r="E397" s="124" t="s">
        <v>27</v>
      </c>
      <c r="F397" s="60" t="s">
        <v>34</v>
      </c>
      <c r="G397" s="125" t="s">
        <v>317</v>
      </c>
      <c r="H397" s="125" t="s">
        <v>318</v>
      </c>
      <c r="I397" s="60" t="s">
        <v>401</v>
      </c>
      <c r="J397" s="60">
        <v>6999</v>
      </c>
      <c r="K397" s="60">
        <v>6999</v>
      </c>
      <c r="L397" s="124">
        <v>61034200</v>
      </c>
      <c r="M397" s="123">
        <v>18</v>
      </c>
      <c r="N397" s="126" t="s">
        <v>326</v>
      </c>
      <c r="O397" s="126" t="s">
        <v>38</v>
      </c>
      <c r="P397" s="126" t="s">
        <v>326</v>
      </c>
      <c r="R397" s="60">
        <v>2</v>
      </c>
      <c r="W397">
        <v>2</v>
      </c>
    </row>
    <row r="398" spans="1:23" x14ac:dyDescent="0.2">
      <c r="A398" s="112" t="str">
        <f t="shared" si="13"/>
        <v>8905302263418_Bla</v>
      </c>
      <c r="B398" s="121">
        <v>8905302263418</v>
      </c>
      <c r="C398" s="123" t="str">
        <f t="shared" si="12"/>
        <v>8905302263418_Bla_XXL</v>
      </c>
      <c r="D398" s="60" t="s">
        <v>1146</v>
      </c>
      <c r="E398" s="124" t="s">
        <v>27</v>
      </c>
      <c r="F398" s="60" t="s">
        <v>34</v>
      </c>
      <c r="G398" s="125" t="s">
        <v>317</v>
      </c>
      <c r="H398" s="125" t="s">
        <v>318</v>
      </c>
      <c r="I398" s="60" t="s">
        <v>401</v>
      </c>
      <c r="J398" s="60">
        <v>6999</v>
      </c>
      <c r="K398" s="60">
        <v>6999</v>
      </c>
      <c r="L398" s="124">
        <v>61034200</v>
      </c>
      <c r="M398" s="123">
        <v>18</v>
      </c>
      <c r="N398" s="126" t="s">
        <v>326</v>
      </c>
      <c r="O398" s="126" t="s">
        <v>84</v>
      </c>
      <c r="P398" s="126" t="s">
        <v>326</v>
      </c>
      <c r="R398" s="60"/>
    </row>
    <row r="399" spans="1:23" x14ac:dyDescent="0.2">
      <c r="A399" s="112" t="str">
        <f t="shared" si="13"/>
        <v>8905302263419_D B</v>
      </c>
      <c r="B399" s="121">
        <v>8905302263419</v>
      </c>
      <c r="C399" s="123" t="str">
        <f t="shared" si="12"/>
        <v>8905302263419_D B_S</v>
      </c>
      <c r="D399" s="60" t="s">
        <v>1147</v>
      </c>
      <c r="E399" s="124" t="s">
        <v>27</v>
      </c>
      <c r="F399" s="60" t="s">
        <v>34</v>
      </c>
      <c r="G399" s="125" t="s">
        <v>317</v>
      </c>
      <c r="H399" s="125" t="s">
        <v>318</v>
      </c>
      <c r="I399" s="60" t="s">
        <v>401</v>
      </c>
      <c r="J399" s="60">
        <v>6999</v>
      </c>
      <c r="K399" s="60">
        <v>6999</v>
      </c>
      <c r="L399" s="124">
        <v>61034200</v>
      </c>
      <c r="M399" s="123">
        <v>18</v>
      </c>
      <c r="N399" s="126" t="s">
        <v>1148</v>
      </c>
      <c r="O399" s="126" t="s">
        <v>54</v>
      </c>
      <c r="P399" s="126" t="s">
        <v>1148</v>
      </c>
      <c r="R399" s="60">
        <v>3</v>
      </c>
      <c r="W399">
        <v>3</v>
      </c>
    </row>
    <row r="400" spans="1:23" x14ac:dyDescent="0.2">
      <c r="A400" s="112" t="str">
        <f t="shared" si="13"/>
        <v>8905302263420_D B</v>
      </c>
      <c r="B400" s="121">
        <v>8905302263420</v>
      </c>
      <c r="C400" s="123" t="str">
        <f t="shared" si="12"/>
        <v>8905302263420_D B_M</v>
      </c>
      <c r="D400" s="60" t="s">
        <v>1147</v>
      </c>
      <c r="E400" s="124" t="s">
        <v>27</v>
      </c>
      <c r="F400" s="60" t="s">
        <v>34</v>
      </c>
      <c r="G400" s="125" t="s">
        <v>317</v>
      </c>
      <c r="H400" s="125" t="s">
        <v>318</v>
      </c>
      <c r="I400" s="60" t="s">
        <v>401</v>
      </c>
      <c r="J400" s="60">
        <v>6999</v>
      </c>
      <c r="K400" s="60">
        <v>6999</v>
      </c>
      <c r="L400" s="124">
        <v>61034200</v>
      </c>
      <c r="M400" s="123">
        <v>18</v>
      </c>
      <c r="N400" s="126" t="s">
        <v>1148</v>
      </c>
      <c r="O400" s="126" t="s">
        <v>61</v>
      </c>
      <c r="P400" s="126" t="s">
        <v>1148</v>
      </c>
      <c r="R400" s="60">
        <v>6</v>
      </c>
      <c r="W400">
        <v>6</v>
      </c>
    </row>
    <row r="401" spans="1:23" x14ac:dyDescent="0.2">
      <c r="A401" s="112" t="str">
        <f t="shared" si="13"/>
        <v>8905302263421_D B</v>
      </c>
      <c r="B401" s="121">
        <v>8905302263421</v>
      </c>
      <c r="C401" s="123" t="str">
        <f t="shared" si="12"/>
        <v>8905302263421_D B_L</v>
      </c>
      <c r="D401" s="60" t="s">
        <v>1147</v>
      </c>
      <c r="E401" s="124" t="s">
        <v>27</v>
      </c>
      <c r="F401" s="60" t="s">
        <v>34</v>
      </c>
      <c r="G401" s="125" t="s">
        <v>317</v>
      </c>
      <c r="H401" s="125" t="s">
        <v>318</v>
      </c>
      <c r="I401" s="60" t="s">
        <v>401</v>
      </c>
      <c r="J401" s="60">
        <v>6999</v>
      </c>
      <c r="K401" s="60">
        <v>6999</v>
      </c>
      <c r="L401" s="124">
        <v>61034200</v>
      </c>
      <c r="M401" s="123">
        <v>18</v>
      </c>
      <c r="N401" s="126" t="s">
        <v>1148</v>
      </c>
      <c r="O401" s="126" t="s">
        <v>44</v>
      </c>
      <c r="P401" s="126" t="s">
        <v>1148</v>
      </c>
      <c r="R401" s="60">
        <v>3</v>
      </c>
      <c r="W401">
        <v>3</v>
      </c>
    </row>
    <row r="402" spans="1:23" x14ac:dyDescent="0.2">
      <c r="A402" s="112" t="str">
        <f t="shared" si="13"/>
        <v>8905302263422_D B</v>
      </c>
      <c r="B402" s="121">
        <v>8905302263422</v>
      </c>
      <c r="C402" s="123" t="str">
        <f t="shared" si="12"/>
        <v>8905302263422_D B_XL</v>
      </c>
      <c r="D402" s="60" t="s">
        <v>1147</v>
      </c>
      <c r="E402" s="124" t="s">
        <v>27</v>
      </c>
      <c r="F402" s="60" t="s">
        <v>34</v>
      </c>
      <c r="G402" s="125" t="s">
        <v>317</v>
      </c>
      <c r="H402" s="125" t="s">
        <v>318</v>
      </c>
      <c r="I402" s="60" t="s">
        <v>401</v>
      </c>
      <c r="J402" s="60">
        <v>6999</v>
      </c>
      <c r="K402" s="60">
        <v>6999</v>
      </c>
      <c r="L402" s="124">
        <v>61034200</v>
      </c>
      <c r="M402" s="123">
        <v>18</v>
      </c>
      <c r="N402" s="126" t="s">
        <v>1148</v>
      </c>
      <c r="O402" s="126" t="s">
        <v>38</v>
      </c>
      <c r="P402" s="126" t="s">
        <v>1148</v>
      </c>
      <c r="R402" s="60">
        <v>3</v>
      </c>
      <c r="W402">
        <v>3</v>
      </c>
    </row>
    <row r="403" spans="1:23" x14ac:dyDescent="0.2">
      <c r="A403" s="112" t="str">
        <f t="shared" si="13"/>
        <v>8905302263423_D B</v>
      </c>
      <c r="B403" s="121">
        <v>8905302263423</v>
      </c>
      <c r="C403" s="123" t="str">
        <f t="shared" si="12"/>
        <v>8905302263423_D B_XXL</v>
      </c>
      <c r="D403" s="60" t="s">
        <v>1147</v>
      </c>
      <c r="E403" s="124" t="s">
        <v>27</v>
      </c>
      <c r="F403" s="60" t="s">
        <v>34</v>
      </c>
      <c r="G403" s="125" t="s">
        <v>317</v>
      </c>
      <c r="H403" s="125" t="s">
        <v>318</v>
      </c>
      <c r="I403" s="60" t="s">
        <v>401</v>
      </c>
      <c r="J403" s="60">
        <v>6999</v>
      </c>
      <c r="K403" s="60">
        <v>6999</v>
      </c>
      <c r="L403" s="124">
        <v>61034200</v>
      </c>
      <c r="M403" s="123">
        <v>18</v>
      </c>
      <c r="N403" s="126" t="s">
        <v>1148</v>
      </c>
      <c r="O403" s="126" t="s">
        <v>84</v>
      </c>
      <c r="P403" s="126" t="s">
        <v>1148</v>
      </c>
      <c r="R403" s="60"/>
    </row>
    <row r="404" spans="1:23" x14ac:dyDescent="0.2">
      <c r="A404" s="112" t="str">
        <f t="shared" si="13"/>
        <v>8905302263424_Whi</v>
      </c>
      <c r="B404" s="121">
        <v>8905302263424</v>
      </c>
      <c r="C404" s="123" t="str">
        <f t="shared" si="12"/>
        <v>8905302263424_Whi_M</v>
      </c>
      <c r="D404" s="60" t="s">
        <v>1149</v>
      </c>
      <c r="E404" s="124" t="s">
        <v>27</v>
      </c>
      <c r="F404" s="112" t="s">
        <v>26</v>
      </c>
      <c r="G404" s="125" t="s">
        <v>317</v>
      </c>
      <c r="H404" s="125" t="s">
        <v>318</v>
      </c>
      <c r="I404" s="60" t="s">
        <v>401</v>
      </c>
      <c r="J404" s="60">
        <v>3495</v>
      </c>
      <c r="K404" s="60">
        <v>3495</v>
      </c>
      <c r="L404" s="124">
        <v>61034200</v>
      </c>
      <c r="M404" s="123">
        <v>18</v>
      </c>
      <c r="N404" s="126" t="s">
        <v>320</v>
      </c>
      <c r="O404" s="126" t="s">
        <v>61</v>
      </c>
      <c r="P404" s="126" t="s">
        <v>320</v>
      </c>
      <c r="R404" s="60">
        <v>6</v>
      </c>
      <c r="W404">
        <v>6</v>
      </c>
    </row>
    <row r="405" spans="1:23" x14ac:dyDescent="0.2">
      <c r="A405" s="112" t="str">
        <f t="shared" si="13"/>
        <v>8905302263425_Whi</v>
      </c>
      <c r="B405" s="121">
        <v>8905302263425</v>
      </c>
      <c r="C405" s="123" t="str">
        <f t="shared" si="12"/>
        <v>8905302263425_Whi_L</v>
      </c>
      <c r="D405" s="60" t="s">
        <v>1149</v>
      </c>
      <c r="E405" s="124" t="s">
        <v>27</v>
      </c>
      <c r="F405" s="112" t="s">
        <v>26</v>
      </c>
      <c r="G405" s="125" t="s">
        <v>317</v>
      </c>
      <c r="H405" s="125" t="s">
        <v>318</v>
      </c>
      <c r="I405" s="60" t="s">
        <v>401</v>
      </c>
      <c r="J405" s="60">
        <v>3495</v>
      </c>
      <c r="K405" s="60">
        <v>3495</v>
      </c>
      <c r="L405" s="124">
        <v>61034200</v>
      </c>
      <c r="M405" s="123">
        <v>18</v>
      </c>
      <c r="N405" s="126" t="s">
        <v>320</v>
      </c>
      <c r="O405" s="126" t="s">
        <v>44</v>
      </c>
      <c r="P405" s="126" t="s">
        <v>320</v>
      </c>
      <c r="R405" s="60">
        <v>6</v>
      </c>
      <c r="W405">
        <v>5</v>
      </c>
    </row>
    <row r="406" spans="1:23" x14ac:dyDescent="0.2">
      <c r="A406" s="112" t="str">
        <f t="shared" si="13"/>
        <v>8905302263426_Whi</v>
      </c>
      <c r="B406" s="121">
        <v>8905302263426</v>
      </c>
      <c r="C406" s="123" t="str">
        <f t="shared" si="12"/>
        <v>8905302263426_Whi_XL</v>
      </c>
      <c r="D406" s="60" t="s">
        <v>1149</v>
      </c>
      <c r="E406" s="124" t="s">
        <v>27</v>
      </c>
      <c r="F406" s="112" t="s">
        <v>26</v>
      </c>
      <c r="G406" s="125" t="s">
        <v>317</v>
      </c>
      <c r="H406" s="125" t="s">
        <v>318</v>
      </c>
      <c r="I406" s="60" t="s">
        <v>401</v>
      </c>
      <c r="J406" s="60">
        <v>3495</v>
      </c>
      <c r="K406" s="60">
        <v>3495</v>
      </c>
      <c r="L406" s="124">
        <v>61034200</v>
      </c>
      <c r="M406" s="123">
        <v>18</v>
      </c>
      <c r="N406" s="126" t="s">
        <v>320</v>
      </c>
      <c r="O406" s="126" t="s">
        <v>38</v>
      </c>
      <c r="P406" s="126" t="s">
        <v>320</v>
      </c>
      <c r="R406" s="60">
        <v>4</v>
      </c>
      <c r="W406">
        <v>4</v>
      </c>
    </row>
    <row r="407" spans="1:23" ht="16" x14ac:dyDescent="0.2">
      <c r="A407" s="5" t="str">
        <f t="shared" si="13"/>
        <v>8905302263855_Nav</v>
      </c>
      <c r="B407" s="11">
        <v>8905302263855</v>
      </c>
      <c r="C407" s="6" t="str">
        <f t="shared" si="12"/>
        <v>8905302263855_Nav_S</v>
      </c>
      <c r="D407" s="5" t="s">
        <v>371</v>
      </c>
      <c r="E407" s="8" t="s">
        <v>27</v>
      </c>
      <c r="F407" s="5" t="s">
        <v>160</v>
      </c>
      <c r="G407" s="9" t="s">
        <v>317</v>
      </c>
      <c r="H407" s="9" t="s">
        <v>318</v>
      </c>
      <c r="I407" t="s">
        <v>372</v>
      </c>
      <c r="J407">
        <v>3995</v>
      </c>
      <c r="K407">
        <v>3995</v>
      </c>
      <c r="L407" s="8">
        <v>61034200</v>
      </c>
      <c r="M407" s="6">
        <v>18</v>
      </c>
      <c r="N407" s="108" t="s">
        <v>348</v>
      </c>
      <c r="O407" s="109" t="s">
        <v>54</v>
      </c>
      <c r="P407" s="108" t="s">
        <v>348</v>
      </c>
      <c r="Q407" s="108" t="s">
        <v>321</v>
      </c>
      <c r="R407" s="127"/>
      <c r="W407">
        <f t="shared" ref="W407:W414" si="14">SUM(R407:V407)</f>
        <v>0</v>
      </c>
    </row>
    <row r="408" spans="1:23" ht="16" x14ac:dyDescent="0.2">
      <c r="A408" s="5" t="str">
        <f t="shared" si="13"/>
        <v>8905302263863_Red</v>
      </c>
      <c r="B408" s="11">
        <v>8905302263863</v>
      </c>
      <c r="C408" s="6" t="str">
        <f t="shared" si="12"/>
        <v>8905302263863_Red_XL</v>
      </c>
      <c r="D408" s="27" t="s">
        <v>152</v>
      </c>
      <c r="E408" s="8" t="s">
        <v>27</v>
      </c>
      <c r="F408" s="5" t="s">
        <v>26</v>
      </c>
      <c r="G408" s="9" t="s">
        <v>317</v>
      </c>
      <c r="H408" s="9" t="s">
        <v>318</v>
      </c>
      <c r="I408" t="s">
        <v>368</v>
      </c>
      <c r="J408">
        <v>1995</v>
      </c>
      <c r="K408">
        <v>1995</v>
      </c>
      <c r="L408" s="8">
        <v>61034200</v>
      </c>
      <c r="M408" s="6">
        <v>5</v>
      </c>
      <c r="N408" s="108" t="s">
        <v>323</v>
      </c>
      <c r="O408" s="8" t="s">
        <v>38</v>
      </c>
      <c r="P408" s="108" t="s">
        <v>323</v>
      </c>
      <c r="Q408" s="108" t="s">
        <v>321</v>
      </c>
      <c r="R408" s="127"/>
      <c r="W408">
        <f t="shared" si="14"/>
        <v>0</v>
      </c>
    </row>
    <row r="409" spans="1:23" ht="16" x14ac:dyDescent="0.2">
      <c r="A409" s="5" t="str">
        <f t="shared" si="13"/>
        <v>8905302264292_Gre</v>
      </c>
      <c r="B409" s="11">
        <v>8905302264292</v>
      </c>
      <c r="C409" s="6" t="str">
        <f t="shared" si="12"/>
        <v>8905302264292_Gre_M</v>
      </c>
      <c r="D409" s="5" t="s">
        <v>373</v>
      </c>
      <c r="E409" s="8" t="s">
        <v>27</v>
      </c>
      <c r="F409" s="5" t="s">
        <v>160</v>
      </c>
      <c r="G409" s="9" t="s">
        <v>317</v>
      </c>
      <c r="H409" s="9" t="s">
        <v>318</v>
      </c>
      <c r="I409" t="s">
        <v>372</v>
      </c>
      <c r="J409">
        <v>3995</v>
      </c>
      <c r="K409">
        <v>3995</v>
      </c>
      <c r="L409" s="8">
        <v>61034200</v>
      </c>
      <c r="M409" s="6">
        <v>18</v>
      </c>
      <c r="N409" s="108" t="s">
        <v>337</v>
      </c>
      <c r="O409" s="109" t="s">
        <v>61</v>
      </c>
      <c r="P409" s="108" t="s">
        <v>337</v>
      </c>
      <c r="Q409" s="108" t="s">
        <v>321</v>
      </c>
      <c r="R409" s="127"/>
      <c r="W409">
        <f t="shared" si="14"/>
        <v>0</v>
      </c>
    </row>
    <row r="410" spans="1:23" ht="16" x14ac:dyDescent="0.2">
      <c r="A410" s="5" t="str">
        <f t="shared" si="13"/>
        <v>8905302264313_Nav</v>
      </c>
      <c r="B410" s="11">
        <v>8905302264313</v>
      </c>
      <c r="C410" s="6" t="str">
        <f t="shared" si="12"/>
        <v>8905302264313_Nav_S</v>
      </c>
      <c r="D410" s="5" t="s">
        <v>374</v>
      </c>
      <c r="E410" s="8" t="s">
        <v>27</v>
      </c>
      <c r="F410" s="5" t="s">
        <v>160</v>
      </c>
      <c r="G410" s="9" t="s">
        <v>317</v>
      </c>
      <c r="H410" s="9" t="s">
        <v>318</v>
      </c>
      <c r="I410" t="s">
        <v>372</v>
      </c>
      <c r="J410">
        <v>2995</v>
      </c>
      <c r="K410">
        <v>2995</v>
      </c>
      <c r="L410" s="8">
        <v>61034200</v>
      </c>
      <c r="M410" s="6">
        <v>18</v>
      </c>
      <c r="N410" s="108" t="s">
        <v>348</v>
      </c>
      <c r="O410" s="8" t="s">
        <v>54</v>
      </c>
      <c r="P410" s="108" t="s">
        <v>348</v>
      </c>
      <c r="Q410" s="108" t="s">
        <v>321</v>
      </c>
      <c r="R410" s="127"/>
      <c r="W410">
        <f t="shared" si="14"/>
        <v>0</v>
      </c>
    </row>
    <row r="411" spans="1:23" ht="16" x14ac:dyDescent="0.2">
      <c r="A411" s="5" t="str">
        <f t="shared" si="13"/>
        <v>8905302264344_Blu</v>
      </c>
      <c r="B411" s="11">
        <v>8905302264344</v>
      </c>
      <c r="C411" s="6" t="str">
        <f t="shared" si="12"/>
        <v>8905302264344_Blu_XS</v>
      </c>
      <c r="D411" s="27" t="s">
        <v>370</v>
      </c>
      <c r="E411" s="8" t="s">
        <v>27</v>
      </c>
      <c r="F411" s="5" t="s">
        <v>26</v>
      </c>
      <c r="G411" s="9" t="s">
        <v>317</v>
      </c>
      <c r="H411" s="9" t="s">
        <v>318</v>
      </c>
      <c r="I411" t="s">
        <v>368</v>
      </c>
      <c r="J411">
        <v>2495</v>
      </c>
      <c r="K411">
        <v>2495</v>
      </c>
      <c r="L411" s="8">
        <v>61034200</v>
      </c>
      <c r="M411" s="6">
        <v>5</v>
      </c>
      <c r="N411" s="108" t="s">
        <v>328</v>
      </c>
      <c r="O411" s="109" t="s">
        <v>369</v>
      </c>
      <c r="P411" s="108" t="s">
        <v>328</v>
      </c>
      <c r="Q411" s="108" t="s">
        <v>321</v>
      </c>
      <c r="R411" s="127"/>
      <c r="W411">
        <f t="shared" si="14"/>
        <v>0</v>
      </c>
    </row>
    <row r="412" spans="1:23" ht="16" x14ac:dyDescent="0.2">
      <c r="A412" s="5" t="str">
        <f t="shared" si="13"/>
        <v>8905302264359_Nav</v>
      </c>
      <c r="B412" s="11">
        <v>8905302264359</v>
      </c>
      <c r="C412" s="6" t="str">
        <f t="shared" si="12"/>
        <v>8905302264359_Nav_M</v>
      </c>
      <c r="D412" s="5" t="s">
        <v>374</v>
      </c>
      <c r="E412" s="8" t="s">
        <v>27</v>
      </c>
      <c r="F412" s="5" t="s">
        <v>160</v>
      </c>
      <c r="G412" s="9" t="s">
        <v>317</v>
      </c>
      <c r="H412" s="9" t="s">
        <v>318</v>
      </c>
      <c r="I412" t="s">
        <v>372</v>
      </c>
      <c r="J412">
        <v>2995</v>
      </c>
      <c r="K412">
        <v>2995</v>
      </c>
      <c r="L412" s="8">
        <v>61034200</v>
      </c>
      <c r="M412" s="6">
        <v>18</v>
      </c>
      <c r="N412" s="108" t="s">
        <v>348</v>
      </c>
      <c r="O412" s="8" t="s">
        <v>61</v>
      </c>
      <c r="P412" s="108" t="s">
        <v>348</v>
      </c>
      <c r="Q412" s="108" t="s">
        <v>321</v>
      </c>
      <c r="R412" s="127"/>
      <c r="W412">
        <f t="shared" si="14"/>
        <v>0</v>
      </c>
    </row>
    <row r="413" spans="1:23" ht="16" x14ac:dyDescent="0.2">
      <c r="A413" s="5" t="str">
        <f t="shared" si="13"/>
        <v>8905302264424_Gre</v>
      </c>
      <c r="B413" s="11">
        <v>8905302264424</v>
      </c>
      <c r="C413" s="6" t="str">
        <f t="shared" si="12"/>
        <v>8905302264424_Gre_S</v>
      </c>
      <c r="D413" s="5" t="s">
        <v>373</v>
      </c>
      <c r="E413" s="8" t="s">
        <v>27</v>
      </c>
      <c r="F413" s="5" t="s">
        <v>160</v>
      </c>
      <c r="G413" s="9" t="s">
        <v>317</v>
      </c>
      <c r="H413" s="9" t="s">
        <v>318</v>
      </c>
      <c r="I413" t="s">
        <v>372</v>
      </c>
      <c r="J413">
        <v>3995</v>
      </c>
      <c r="K413">
        <v>3995</v>
      </c>
      <c r="L413" s="8">
        <v>61034200</v>
      </c>
      <c r="M413" s="6">
        <v>18</v>
      </c>
      <c r="N413" s="108" t="s">
        <v>337</v>
      </c>
      <c r="O413" s="109" t="s">
        <v>54</v>
      </c>
      <c r="P413" s="108" t="s">
        <v>337</v>
      </c>
      <c r="Q413" s="108" t="s">
        <v>321</v>
      </c>
      <c r="R413" s="127"/>
      <c r="W413">
        <f t="shared" si="14"/>
        <v>0</v>
      </c>
    </row>
    <row r="414" spans="1:23" ht="16" x14ac:dyDescent="0.2">
      <c r="A414" s="5" t="str">
        <f t="shared" si="13"/>
        <v>8905302264434_Gre</v>
      </c>
      <c r="B414" s="11">
        <v>8905302264434</v>
      </c>
      <c r="C414" s="6" t="str">
        <f t="shared" si="12"/>
        <v>8905302264434_Gre_S</v>
      </c>
      <c r="D414" s="5" t="s">
        <v>375</v>
      </c>
      <c r="E414" s="8" t="s">
        <v>27</v>
      </c>
      <c r="F414" s="5" t="s">
        <v>160</v>
      </c>
      <c r="G414" s="9" t="s">
        <v>317</v>
      </c>
      <c r="H414" s="9" t="s">
        <v>318</v>
      </c>
      <c r="I414" t="s">
        <v>372</v>
      </c>
      <c r="J414">
        <v>2995</v>
      </c>
      <c r="K414">
        <v>2995</v>
      </c>
      <c r="L414" s="8">
        <v>61034200</v>
      </c>
      <c r="M414" s="6">
        <v>18</v>
      </c>
      <c r="N414" s="108" t="s">
        <v>337</v>
      </c>
      <c r="O414" s="8" t="s">
        <v>54</v>
      </c>
      <c r="P414" s="108" t="s">
        <v>337</v>
      </c>
      <c r="Q414" s="108" t="s">
        <v>321</v>
      </c>
      <c r="R414" s="127"/>
      <c r="W414">
        <f t="shared" si="14"/>
        <v>0</v>
      </c>
    </row>
    <row r="415" spans="1:23" ht="16" x14ac:dyDescent="0.2">
      <c r="A415" s="113" t="str">
        <f t="shared" si="13"/>
        <v>8905302263427_Blu</v>
      </c>
      <c r="B415" s="114">
        <v>8905302263427</v>
      </c>
      <c r="C415" s="115" t="str">
        <f t="shared" si="12"/>
        <v>8905302263427_Blu_S</v>
      </c>
      <c r="D415" s="128" t="s">
        <v>1150</v>
      </c>
      <c r="E415" s="116" t="s">
        <v>27</v>
      </c>
      <c r="F415" s="47" t="s">
        <v>377</v>
      </c>
      <c r="G415" s="117" t="s">
        <v>317</v>
      </c>
      <c r="H415" s="117" t="s">
        <v>318</v>
      </c>
      <c r="I415" s="47" t="s">
        <v>378</v>
      </c>
      <c r="J415" s="129">
        <v>7999</v>
      </c>
      <c r="K415" s="129">
        <v>7999</v>
      </c>
      <c r="L415" s="116">
        <v>61034200</v>
      </c>
      <c r="M415" s="115">
        <v>18</v>
      </c>
      <c r="N415" s="115" t="s">
        <v>328</v>
      </c>
      <c r="O415" s="119" t="s">
        <v>54</v>
      </c>
      <c r="P415" s="115" t="s">
        <v>328</v>
      </c>
      <c r="Q415" s="118" t="s">
        <v>321</v>
      </c>
      <c r="R415" s="120"/>
      <c r="S415" s="47">
        <v>0</v>
      </c>
      <c r="T415" s="47"/>
      <c r="U415" s="47"/>
      <c r="V415" s="47"/>
      <c r="W415" s="47"/>
    </row>
    <row r="416" spans="1:23" ht="16" x14ac:dyDescent="0.2">
      <c r="A416" s="113" t="str">
        <f t="shared" si="13"/>
        <v>8905302263428_Blu</v>
      </c>
      <c r="B416" s="114">
        <v>8905302263428</v>
      </c>
      <c r="C416" s="115" t="str">
        <f t="shared" si="12"/>
        <v>8905302263428_Blu_M</v>
      </c>
      <c r="D416" s="128" t="s">
        <v>1150</v>
      </c>
      <c r="E416" s="116" t="s">
        <v>27</v>
      </c>
      <c r="F416" s="47" t="s">
        <v>377</v>
      </c>
      <c r="G416" s="117" t="s">
        <v>317</v>
      </c>
      <c r="H416" s="117" t="s">
        <v>318</v>
      </c>
      <c r="I416" s="47" t="s">
        <v>378</v>
      </c>
      <c r="J416" s="129">
        <v>7999</v>
      </c>
      <c r="K416" s="129">
        <v>7999</v>
      </c>
      <c r="L416" s="116">
        <v>61034200</v>
      </c>
      <c r="M416" s="115">
        <v>18</v>
      </c>
      <c r="N416" s="115" t="s">
        <v>328</v>
      </c>
      <c r="O416" s="119" t="s">
        <v>61</v>
      </c>
      <c r="P416" s="115" t="s">
        <v>328</v>
      </c>
      <c r="Q416" s="118" t="s">
        <v>321</v>
      </c>
      <c r="R416" s="47"/>
      <c r="S416" s="47"/>
      <c r="T416" s="47"/>
      <c r="U416" s="47"/>
      <c r="V416" s="47"/>
      <c r="W416" s="47"/>
    </row>
    <row r="417" spans="1:23" ht="16" x14ac:dyDescent="0.2">
      <c r="A417" s="113" t="str">
        <f t="shared" si="13"/>
        <v>8905302263429_Blu</v>
      </c>
      <c r="B417" s="114">
        <v>8905302263429</v>
      </c>
      <c r="C417" s="115" t="str">
        <f t="shared" si="12"/>
        <v>8905302263429_Blu_L</v>
      </c>
      <c r="D417" s="128" t="s">
        <v>1150</v>
      </c>
      <c r="E417" s="116" t="s">
        <v>27</v>
      </c>
      <c r="F417" s="47" t="s">
        <v>377</v>
      </c>
      <c r="G417" s="117" t="s">
        <v>317</v>
      </c>
      <c r="H417" s="117" t="s">
        <v>318</v>
      </c>
      <c r="I417" s="47" t="s">
        <v>378</v>
      </c>
      <c r="J417" s="129">
        <v>7999</v>
      </c>
      <c r="K417" s="129">
        <v>7999</v>
      </c>
      <c r="L417" s="116">
        <v>61034200</v>
      </c>
      <c r="M417" s="115">
        <v>18</v>
      </c>
      <c r="N417" s="115" t="s">
        <v>328</v>
      </c>
      <c r="O417" s="119" t="s">
        <v>44</v>
      </c>
      <c r="P417" s="115" t="s">
        <v>328</v>
      </c>
      <c r="Q417" s="118" t="s">
        <v>321</v>
      </c>
      <c r="R417" s="47"/>
      <c r="S417" s="47"/>
      <c r="T417" s="47"/>
      <c r="U417" s="47"/>
      <c r="V417" s="47"/>
      <c r="W417" s="47"/>
    </row>
    <row r="418" spans="1:23" ht="16" x14ac:dyDescent="0.2">
      <c r="A418" s="113" t="str">
        <f t="shared" si="13"/>
        <v>8905302263430_Blu</v>
      </c>
      <c r="B418" s="114">
        <v>8905302263430</v>
      </c>
      <c r="C418" s="115" t="str">
        <f t="shared" si="12"/>
        <v>8905302263430_Blu_XL</v>
      </c>
      <c r="D418" s="128" t="s">
        <v>1150</v>
      </c>
      <c r="E418" s="116" t="s">
        <v>27</v>
      </c>
      <c r="F418" s="47" t="s">
        <v>377</v>
      </c>
      <c r="G418" s="117" t="s">
        <v>317</v>
      </c>
      <c r="H418" s="117" t="s">
        <v>318</v>
      </c>
      <c r="I418" s="47" t="s">
        <v>378</v>
      </c>
      <c r="J418" s="129">
        <v>7999</v>
      </c>
      <c r="K418" s="129">
        <v>7999</v>
      </c>
      <c r="L418" s="116">
        <v>61034200</v>
      </c>
      <c r="M418" s="115">
        <v>18</v>
      </c>
      <c r="N418" s="115" t="s">
        <v>328</v>
      </c>
      <c r="O418" s="119" t="s">
        <v>38</v>
      </c>
      <c r="P418" s="115" t="s">
        <v>328</v>
      </c>
      <c r="Q418" s="118" t="s">
        <v>321</v>
      </c>
      <c r="R418" s="47"/>
      <c r="S418" s="47"/>
      <c r="T418" s="47"/>
      <c r="U418" s="47"/>
      <c r="V418" s="47"/>
      <c r="W418" s="47"/>
    </row>
    <row r="419" spans="1:23" ht="16" x14ac:dyDescent="0.2">
      <c r="A419" s="130" t="str">
        <f t="shared" si="13"/>
        <v>8905302263431_Gre</v>
      </c>
      <c r="B419" s="131">
        <v>8905302263431</v>
      </c>
      <c r="C419" s="132" t="str">
        <f t="shared" si="12"/>
        <v>8905302263431_Gre_S</v>
      </c>
      <c r="D419" s="130" t="s">
        <v>1151</v>
      </c>
      <c r="E419" s="133" t="s">
        <v>27</v>
      </c>
      <c r="F419" s="130" t="s">
        <v>26</v>
      </c>
      <c r="G419" s="134" t="s">
        <v>317</v>
      </c>
      <c r="H419" s="134" t="s">
        <v>318</v>
      </c>
      <c r="I419" s="135" t="s">
        <v>401</v>
      </c>
      <c r="J419" s="136">
        <v>3999</v>
      </c>
      <c r="K419" s="136">
        <v>3999</v>
      </c>
      <c r="L419" s="133">
        <v>61034200</v>
      </c>
      <c r="M419" s="132">
        <v>18</v>
      </c>
      <c r="N419" s="137" t="s">
        <v>337</v>
      </c>
      <c r="O419" s="138" t="s">
        <v>54</v>
      </c>
      <c r="P419" s="137" t="s">
        <v>337</v>
      </c>
      <c r="Q419" s="118" t="s">
        <v>321</v>
      </c>
      <c r="R419" s="135"/>
      <c r="S419" s="135"/>
      <c r="T419" s="135"/>
      <c r="U419" s="135"/>
      <c r="V419" s="135"/>
      <c r="W419" s="135"/>
    </row>
    <row r="420" spans="1:23" ht="16" x14ac:dyDescent="0.2">
      <c r="A420" s="130" t="str">
        <f t="shared" si="13"/>
        <v>8905302263432_Gre</v>
      </c>
      <c r="B420" s="131">
        <v>8905302263432</v>
      </c>
      <c r="C420" s="132" t="str">
        <f t="shared" si="12"/>
        <v>8905302263432_Gre_M</v>
      </c>
      <c r="D420" s="130" t="s">
        <v>1151</v>
      </c>
      <c r="E420" s="133" t="s">
        <v>27</v>
      </c>
      <c r="F420" s="130" t="s">
        <v>26</v>
      </c>
      <c r="G420" s="134" t="s">
        <v>317</v>
      </c>
      <c r="H420" s="134" t="s">
        <v>318</v>
      </c>
      <c r="I420" s="135" t="s">
        <v>401</v>
      </c>
      <c r="J420" s="136">
        <v>3999</v>
      </c>
      <c r="K420" s="136">
        <v>3999</v>
      </c>
      <c r="L420" s="133">
        <v>61034200</v>
      </c>
      <c r="M420" s="132">
        <v>18</v>
      </c>
      <c r="N420" s="137" t="s">
        <v>337</v>
      </c>
      <c r="O420" s="138" t="s">
        <v>61</v>
      </c>
      <c r="P420" s="137" t="s">
        <v>337</v>
      </c>
      <c r="Q420" s="118" t="s">
        <v>321</v>
      </c>
      <c r="R420" s="135"/>
      <c r="S420" s="135"/>
      <c r="T420" s="135"/>
      <c r="U420" s="135"/>
      <c r="V420" s="135"/>
      <c r="W420" s="135"/>
    </row>
    <row r="421" spans="1:23" ht="16" x14ac:dyDescent="0.2">
      <c r="A421" s="130" t="str">
        <f t="shared" si="13"/>
        <v>8905302263433_Gre</v>
      </c>
      <c r="B421" s="131">
        <v>8905302263433</v>
      </c>
      <c r="C421" s="132" t="str">
        <f t="shared" si="12"/>
        <v>8905302263433_Gre_L</v>
      </c>
      <c r="D421" s="130" t="s">
        <v>1151</v>
      </c>
      <c r="E421" s="133" t="s">
        <v>27</v>
      </c>
      <c r="F421" s="130" t="s">
        <v>26</v>
      </c>
      <c r="G421" s="134" t="s">
        <v>317</v>
      </c>
      <c r="H421" s="134" t="s">
        <v>318</v>
      </c>
      <c r="I421" s="135" t="s">
        <v>401</v>
      </c>
      <c r="J421" s="136">
        <v>3999</v>
      </c>
      <c r="K421" s="136">
        <v>3999</v>
      </c>
      <c r="L421" s="133">
        <v>61034200</v>
      </c>
      <c r="M421" s="132">
        <v>18</v>
      </c>
      <c r="N421" s="137" t="s">
        <v>337</v>
      </c>
      <c r="O421" s="138" t="s">
        <v>44</v>
      </c>
      <c r="P421" s="137" t="s">
        <v>337</v>
      </c>
      <c r="Q421" s="118" t="s">
        <v>321</v>
      </c>
      <c r="R421" s="135"/>
      <c r="S421" s="135"/>
      <c r="T421" s="135"/>
      <c r="U421" s="135"/>
      <c r="V421" s="135"/>
      <c r="W421" s="135"/>
    </row>
    <row r="422" spans="1:23" ht="16" x14ac:dyDescent="0.2">
      <c r="A422" s="130" t="str">
        <f t="shared" si="13"/>
        <v>8905302263434_Gre</v>
      </c>
      <c r="B422" s="131">
        <v>8905302263434</v>
      </c>
      <c r="C422" s="132" t="str">
        <f t="shared" si="12"/>
        <v>8905302263434_Gre_XL</v>
      </c>
      <c r="D422" s="130" t="s">
        <v>1151</v>
      </c>
      <c r="E422" s="133" t="s">
        <v>27</v>
      </c>
      <c r="F422" s="130" t="s">
        <v>26</v>
      </c>
      <c r="G422" s="134" t="s">
        <v>317</v>
      </c>
      <c r="H422" s="134" t="s">
        <v>318</v>
      </c>
      <c r="I422" s="135" t="s">
        <v>401</v>
      </c>
      <c r="J422" s="136">
        <v>3999</v>
      </c>
      <c r="K422" s="136">
        <v>3999</v>
      </c>
      <c r="L422" s="133">
        <v>61034200</v>
      </c>
      <c r="M422" s="132">
        <v>18</v>
      </c>
      <c r="N422" s="137" t="s">
        <v>337</v>
      </c>
      <c r="O422" s="138" t="s">
        <v>38</v>
      </c>
      <c r="P422" s="137" t="s">
        <v>337</v>
      </c>
      <c r="Q422" s="118" t="s">
        <v>321</v>
      </c>
      <c r="R422" s="135"/>
      <c r="S422" s="135"/>
      <c r="T422" s="135"/>
      <c r="U422" s="135"/>
      <c r="V422" s="135"/>
      <c r="W422" s="135"/>
    </row>
    <row r="423" spans="1:23" ht="16" x14ac:dyDescent="0.2">
      <c r="A423" s="139" t="str">
        <f t="shared" si="13"/>
        <v>8905302263435_Yel</v>
      </c>
      <c r="B423" s="140">
        <v>8905302263435</v>
      </c>
      <c r="C423" s="141" t="str">
        <f t="shared" ref="C423:C451" si="15">B423 &amp; "_" &amp; LEFT(N423,3) &amp; "_" &amp; O423</f>
        <v>8905302263435_Yel_S</v>
      </c>
      <c r="D423" s="139" t="s">
        <v>1152</v>
      </c>
      <c r="E423" s="142" t="s">
        <v>27</v>
      </c>
      <c r="F423" s="105" t="s">
        <v>34</v>
      </c>
      <c r="G423" s="143" t="s">
        <v>317</v>
      </c>
      <c r="H423" s="143" t="s">
        <v>318</v>
      </c>
      <c r="I423" s="105" t="s">
        <v>401</v>
      </c>
      <c r="J423" s="144">
        <v>4999</v>
      </c>
      <c r="K423" s="144">
        <v>4999</v>
      </c>
      <c r="L423" s="142">
        <v>61034200</v>
      </c>
      <c r="M423" s="141">
        <v>18</v>
      </c>
      <c r="N423" s="145" t="s">
        <v>1153</v>
      </c>
      <c r="O423" s="146" t="s">
        <v>54</v>
      </c>
      <c r="P423" s="145" t="s">
        <v>1153</v>
      </c>
      <c r="Q423" s="147" t="s">
        <v>321</v>
      </c>
      <c r="R423" s="105"/>
      <c r="S423" s="105"/>
      <c r="T423" s="105"/>
      <c r="U423" s="105"/>
      <c r="V423" s="105"/>
      <c r="W423" s="105"/>
    </row>
    <row r="424" spans="1:23" ht="16" x14ac:dyDescent="0.2">
      <c r="A424" s="139" t="str">
        <f t="shared" si="13"/>
        <v>8905302263436_Yel</v>
      </c>
      <c r="B424" s="140">
        <v>8905302263436</v>
      </c>
      <c r="C424" s="141" t="str">
        <f t="shared" si="15"/>
        <v>8905302263436_Yel_M</v>
      </c>
      <c r="D424" s="139" t="s">
        <v>1152</v>
      </c>
      <c r="E424" s="142" t="s">
        <v>27</v>
      </c>
      <c r="F424" s="105" t="s">
        <v>34</v>
      </c>
      <c r="G424" s="143" t="s">
        <v>317</v>
      </c>
      <c r="H424" s="143" t="s">
        <v>318</v>
      </c>
      <c r="I424" s="105" t="s">
        <v>401</v>
      </c>
      <c r="J424" s="144">
        <v>4999</v>
      </c>
      <c r="K424" s="144">
        <v>4999</v>
      </c>
      <c r="L424" s="142">
        <v>61034200</v>
      </c>
      <c r="M424" s="141">
        <v>18</v>
      </c>
      <c r="N424" s="145" t="s">
        <v>1153</v>
      </c>
      <c r="O424" s="146" t="s">
        <v>61</v>
      </c>
      <c r="P424" s="145" t="s">
        <v>1153</v>
      </c>
      <c r="Q424" s="147" t="s">
        <v>321</v>
      </c>
      <c r="R424" s="105"/>
      <c r="S424" s="105"/>
      <c r="T424" s="105"/>
      <c r="U424" s="105"/>
      <c r="V424" s="105"/>
      <c r="W424" s="105"/>
    </row>
    <row r="425" spans="1:23" ht="16" x14ac:dyDescent="0.2">
      <c r="A425" s="139" t="str">
        <f t="shared" si="13"/>
        <v>8905302263437_Yel</v>
      </c>
      <c r="B425" s="140">
        <v>8905302263437</v>
      </c>
      <c r="C425" s="141" t="str">
        <f t="shared" si="15"/>
        <v>8905302263437_Yel_L</v>
      </c>
      <c r="D425" s="139" t="s">
        <v>1152</v>
      </c>
      <c r="E425" s="142" t="s">
        <v>27</v>
      </c>
      <c r="F425" s="105" t="s">
        <v>34</v>
      </c>
      <c r="G425" s="143" t="s">
        <v>317</v>
      </c>
      <c r="H425" s="143" t="s">
        <v>318</v>
      </c>
      <c r="I425" s="105" t="s">
        <v>401</v>
      </c>
      <c r="J425" s="144">
        <v>4999</v>
      </c>
      <c r="K425" s="144">
        <v>4999</v>
      </c>
      <c r="L425" s="142">
        <v>61034200</v>
      </c>
      <c r="M425" s="141">
        <v>18</v>
      </c>
      <c r="N425" s="145" t="s">
        <v>1153</v>
      </c>
      <c r="O425" s="146" t="s">
        <v>44</v>
      </c>
      <c r="P425" s="145" t="s">
        <v>1153</v>
      </c>
      <c r="Q425" s="147" t="s">
        <v>321</v>
      </c>
      <c r="R425" s="105"/>
      <c r="S425" s="105"/>
      <c r="T425" s="105"/>
      <c r="U425" s="105"/>
      <c r="V425" s="105"/>
      <c r="W425" s="105"/>
    </row>
    <row r="426" spans="1:23" ht="16" x14ac:dyDescent="0.2">
      <c r="A426" s="139" t="str">
        <f t="shared" si="13"/>
        <v>8905302263438_Yel</v>
      </c>
      <c r="B426" s="140">
        <v>8905302263438</v>
      </c>
      <c r="C426" s="141" t="str">
        <f t="shared" si="15"/>
        <v>8905302263438_Yel_XL</v>
      </c>
      <c r="D426" s="139" t="s">
        <v>1152</v>
      </c>
      <c r="E426" s="142" t="s">
        <v>27</v>
      </c>
      <c r="F426" s="105" t="s">
        <v>34</v>
      </c>
      <c r="G426" s="143" t="s">
        <v>317</v>
      </c>
      <c r="H426" s="143" t="s">
        <v>318</v>
      </c>
      <c r="I426" s="105" t="s">
        <v>401</v>
      </c>
      <c r="J426" s="144">
        <v>4999</v>
      </c>
      <c r="K426" s="144">
        <v>4999</v>
      </c>
      <c r="L426" s="142">
        <v>61034200</v>
      </c>
      <c r="M426" s="141">
        <v>18</v>
      </c>
      <c r="N426" s="145" t="s">
        <v>1153</v>
      </c>
      <c r="O426" s="146" t="s">
        <v>38</v>
      </c>
      <c r="P426" s="145" t="s">
        <v>1153</v>
      </c>
      <c r="Q426" s="147" t="s">
        <v>321</v>
      </c>
      <c r="R426" s="105"/>
      <c r="S426" s="105"/>
      <c r="T426" s="105"/>
      <c r="U426" s="105"/>
      <c r="V426" s="105"/>
      <c r="W426" s="105"/>
    </row>
    <row r="427" spans="1:23" ht="16" x14ac:dyDescent="0.2">
      <c r="A427" s="139" t="str">
        <f t="shared" si="13"/>
        <v>8905302263439_Red</v>
      </c>
      <c r="B427" s="140">
        <v>8905302263439</v>
      </c>
      <c r="C427" s="141" t="str">
        <f t="shared" si="15"/>
        <v>8905302263439_Red_S</v>
      </c>
      <c r="D427" s="139" t="s">
        <v>1154</v>
      </c>
      <c r="E427" s="142" t="s">
        <v>27</v>
      </c>
      <c r="F427" s="105" t="s">
        <v>34</v>
      </c>
      <c r="G427" s="143" t="s">
        <v>317</v>
      </c>
      <c r="H427" s="143" t="s">
        <v>318</v>
      </c>
      <c r="I427" s="105" t="s">
        <v>401</v>
      </c>
      <c r="J427" s="144">
        <v>5999</v>
      </c>
      <c r="K427" s="144">
        <v>5999</v>
      </c>
      <c r="L427" s="142">
        <v>61034200</v>
      </c>
      <c r="M427" s="141">
        <v>18</v>
      </c>
      <c r="N427" s="145" t="s">
        <v>323</v>
      </c>
      <c r="O427" s="146" t="s">
        <v>54</v>
      </c>
      <c r="P427" s="145" t="s">
        <v>323</v>
      </c>
      <c r="Q427" s="147" t="s">
        <v>321</v>
      </c>
      <c r="R427" s="105"/>
      <c r="S427" s="105"/>
      <c r="T427" s="105"/>
      <c r="U427" s="105"/>
      <c r="V427" s="105"/>
      <c r="W427" s="105"/>
    </row>
    <row r="428" spans="1:23" ht="16" x14ac:dyDescent="0.2">
      <c r="A428" s="139" t="str">
        <f t="shared" si="13"/>
        <v>8905302263440_Red</v>
      </c>
      <c r="B428" s="140">
        <v>8905302263440</v>
      </c>
      <c r="C428" s="141" t="str">
        <f t="shared" si="15"/>
        <v>8905302263440_Red_M</v>
      </c>
      <c r="D428" s="139" t="s">
        <v>1154</v>
      </c>
      <c r="E428" s="142" t="s">
        <v>27</v>
      </c>
      <c r="F428" s="105" t="s">
        <v>34</v>
      </c>
      <c r="G428" s="143" t="s">
        <v>317</v>
      </c>
      <c r="H428" s="143" t="s">
        <v>318</v>
      </c>
      <c r="I428" s="105" t="s">
        <v>401</v>
      </c>
      <c r="J428" s="144">
        <v>5999</v>
      </c>
      <c r="K428" s="144">
        <v>5999</v>
      </c>
      <c r="L428" s="142">
        <v>61034200</v>
      </c>
      <c r="M428" s="141">
        <v>18</v>
      </c>
      <c r="N428" s="145" t="s">
        <v>323</v>
      </c>
      <c r="O428" s="146" t="s">
        <v>61</v>
      </c>
      <c r="P428" s="145" t="s">
        <v>323</v>
      </c>
      <c r="Q428" s="147" t="s">
        <v>321</v>
      </c>
      <c r="R428" s="105"/>
      <c r="S428" s="105"/>
      <c r="T428" s="105"/>
      <c r="U428" s="105"/>
      <c r="V428" s="105"/>
      <c r="W428" s="105"/>
    </row>
    <row r="429" spans="1:23" ht="16" x14ac:dyDescent="0.2">
      <c r="A429" s="139" t="str">
        <f t="shared" si="13"/>
        <v>8905302263441_Red</v>
      </c>
      <c r="B429" s="140">
        <v>8905302263441</v>
      </c>
      <c r="C429" s="141" t="str">
        <f t="shared" si="15"/>
        <v>8905302263441_Red_L</v>
      </c>
      <c r="D429" s="139" t="s">
        <v>1154</v>
      </c>
      <c r="E429" s="142" t="s">
        <v>27</v>
      </c>
      <c r="F429" s="105" t="s">
        <v>34</v>
      </c>
      <c r="G429" s="143" t="s">
        <v>317</v>
      </c>
      <c r="H429" s="143" t="s">
        <v>318</v>
      </c>
      <c r="I429" s="105" t="s">
        <v>401</v>
      </c>
      <c r="J429" s="144">
        <v>5999</v>
      </c>
      <c r="K429" s="144">
        <v>5999</v>
      </c>
      <c r="L429" s="142">
        <v>61034200</v>
      </c>
      <c r="M429" s="141">
        <v>18</v>
      </c>
      <c r="N429" s="145" t="s">
        <v>323</v>
      </c>
      <c r="O429" s="146" t="s">
        <v>44</v>
      </c>
      <c r="P429" s="145" t="s">
        <v>323</v>
      </c>
      <c r="Q429" s="147" t="s">
        <v>321</v>
      </c>
      <c r="R429" s="105"/>
      <c r="S429" s="105"/>
      <c r="T429" s="105"/>
      <c r="U429" s="105"/>
      <c r="V429" s="105"/>
      <c r="W429" s="105"/>
    </row>
    <row r="430" spans="1:23" ht="16" x14ac:dyDescent="0.2">
      <c r="A430" s="139" t="str">
        <f t="shared" si="13"/>
        <v>8905302263442_Red</v>
      </c>
      <c r="B430" s="140">
        <v>8905302263442</v>
      </c>
      <c r="C430" s="141" t="str">
        <f t="shared" si="15"/>
        <v>8905302263442_Red_XL</v>
      </c>
      <c r="D430" s="139" t="s">
        <v>1154</v>
      </c>
      <c r="E430" s="142" t="s">
        <v>27</v>
      </c>
      <c r="F430" s="105" t="s">
        <v>34</v>
      </c>
      <c r="G430" s="143" t="s">
        <v>317</v>
      </c>
      <c r="H430" s="143" t="s">
        <v>318</v>
      </c>
      <c r="I430" s="105" t="s">
        <v>401</v>
      </c>
      <c r="J430" s="144">
        <v>5999</v>
      </c>
      <c r="K430" s="144">
        <v>5999</v>
      </c>
      <c r="L430" s="142">
        <v>61034200</v>
      </c>
      <c r="M430" s="141">
        <v>18</v>
      </c>
      <c r="N430" s="145" t="s">
        <v>323</v>
      </c>
      <c r="O430" s="146" t="s">
        <v>38</v>
      </c>
      <c r="P430" s="145" t="s">
        <v>323</v>
      </c>
      <c r="Q430" s="147" t="s">
        <v>321</v>
      </c>
      <c r="R430" s="105"/>
      <c r="S430" s="105"/>
      <c r="T430" s="105"/>
      <c r="U430" s="105"/>
      <c r="V430" s="105"/>
      <c r="W430" s="105"/>
    </row>
    <row r="431" spans="1:23" ht="16" x14ac:dyDescent="0.2">
      <c r="A431" s="139" t="str">
        <f t="shared" si="13"/>
        <v>8905302263443_Blu</v>
      </c>
      <c r="B431" s="140">
        <v>8905302263443</v>
      </c>
      <c r="C431" s="141" t="str">
        <f t="shared" si="15"/>
        <v>8905302263443_Blu_S</v>
      </c>
      <c r="D431" s="139" t="s">
        <v>1155</v>
      </c>
      <c r="E431" s="142" t="s">
        <v>27</v>
      </c>
      <c r="F431" s="105" t="s">
        <v>34</v>
      </c>
      <c r="G431" s="143" t="s">
        <v>317</v>
      </c>
      <c r="H431" s="143" t="s">
        <v>318</v>
      </c>
      <c r="I431" s="105" t="s">
        <v>401</v>
      </c>
      <c r="J431" s="144">
        <v>4999</v>
      </c>
      <c r="K431" s="144">
        <v>4999</v>
      </c>
      <c r="L431" s="142">
        <v>61034200</v>
      </c>
      <c r="M431" s="141">
        <v>18</v>
      </c>
      <c r="N431" s="145" t="s">
        <v>328</v>
      </c>
      <c r="O431" s="146" t="s">
        <v>54</v>
      </c>
      <c r="P431" s="145" t="s">
        <v>328</v>
      </c>
      <c r="Q431" s="147" t="s">
        <v>321</v>
      </c>
      <c r="R431" s="105"/>
      <c r="S431" s="105"/>
      <c r="T431" s="105"/>
      <c r="U431" s="105"/>
      <c r="V431" s="105"/>
      <c r="W431" s="105"/>
    </row>
    <row r="432" spans="1:23" ht="16" x14ac:dyDescent="0.2">
      <c r="A432" s="139" t="str">
        <f t="shared" si="13"/>
        <v>8905302263444_Blu</v>
      </c>
      <c r="B432" s="140">
        <v>8905302263444</v>
      </c>
      <c r="C432" s="141" t="str">
        <f t="shared" si="15"/>
        <v>8905302263444_Blu_M</v>
      </c>
      <c r="D432" s="139" t="s">
        <v>1155</v>
      </c>
      <c r="E432" s="142" t="s">
        <v>27</v>
      </c>
      <c r="F432" s="105" t="s">
        <v>34</v>
      </c>
      <c r="G432" s="143" t="s">
        <v>317</v>
      </c>
      <c r="H432" s="143" t="s">
        <v>318</v>
      </c>
      <c r="I432" s="105" t="s">
        <v>401</v>
      </c>
      <c r="J432" s="144">
        <v>4999</v>
      </c>
      <c r="K432" s="144">
        <v>4999</v>
      </c>
      <c r="L432" s="142">
        <v>61034200</v>
      </c>
      <c r="M432" s="141">
        <v>18</v>
      </c>
      <c r="N432" s="145" t="s">
        <v>328</v>
      </c>
      <c r="O432" s="146" t="s">
        <v>61</v>
      </c>
      <c r="P432" s="145" t="s">
        <v>328</v>
      </c>
      <c r="Q432" s="147" t="s">
        <v>321</v>
      </c>
      <c r="R432" s="105"/>
      <c r="S432" s="105"/>
      <c r="T432" s="105"/>
      <c r="U432" s="105"/>
      <c r="V432" s="105"/>
      <c r="W432" s="105"/>
    </row>
    <row r="433" spans="1:23" ht="16" x14ac:dyDescent="0.2">
      <c r="A433" s="139" t="str">
        <f t="shared" si="13"/>
        <v>8905302263445_Blu</v>
      </c>
      <c r="B433" s="140">
        <v>8905302263445</v>
      </c>
      <c r="C433" s="141" t="str">
        <f t="shared" si="15"/>
        <v>8905302263445_Blu_L</v>
      </c>
      <c r="D433" s="139" t="s">
        <v>1155</v>
      </c>
      <c r="E433" s="142" t="s">
        <v>27</v>
      </c>
      <c r="F433" s="105" t="s">
        <v>34</v>
      </c>
      <c r="G433" s="143" t="s">
        <v>317</v>
      </c>
      <c r="H433" s="143" t="s">
        <v>318</v>
      </c>
      <c r="I433" s="105" t="s">
        <v>401</v>
      </c>
      <c r="J433" s="144">
        <v>4999</v>
      </c>
      <c r="K433" s="144">
        <v>4999</v>
      </c>
      <c r="L433" s="142">
        <v>61034200</v>
      </c>
      <c r="M433" s="141">
        <v>18</v>
      </c>
      <c r="N433" s="145" t="s">
        <v>328</v>
      </c>
      <c r="O433" s="146" t="s">
        <v>44</v>
      </c>
      <c r="P433" s="145" t="s">
        <v>328</v>
      </c>
      <c r="Q433" s="147" t="s">
        <v>321</v>
      </c>
      <c r="R433" s="105"/>
      <c r="S433" s="105"/>
      <c r="T433" s="105"/>
      <c r="U433" s="105"/>
      <c r="V433" s="105"/>
      <c r="W433" s="105"/>
    </row>
    <row r="434" spans="1:23" ht="16" x14ac:dyDescent="0.2">
      <c r="A434" s="139" t="str">
        <f t="shared" si="13"/>
        <v>8905302263446_Blu</v>
      </c>
      <c r="B434" s="140">
        <v>8905302263446</v>
      </c>
      <c r="C434" s="141" t="str">
        <f t="shared" si="15"/>
        <v>8905302263446_Blu_XL</v>
      </c>
      <c r="D434" s="139" t="s">
        <v>1155</v>
      </c>
      <c r="E434" s="142" t="s">
        <v>27</v>
      </c>
      <c r="F434" s="105" t="s">
        <v>34</v>
      </c>
      <c r="G434" s="143" t="s">
        <v>317</v>
      </c>
      <c r="H434" s="143" t="s">
        <v>318</v>
      </c>
      <c r="I434" s="105" t="s">
        <v>401</v>
      </c>
      <c r="J434" s="144">
        <v>4999</v>
      </c>
      <c r="K434" s="144">
        <v>4999</v>
      </c>
      <c r="L434" s="142">
        <v>61034200</v>
      </c>
      <c r="M434" s="141">
        <v>18</v>
      </c>
      <c r="N434" s="145" t="s">
        <v>328</v>
      </c>
      <c r="O434" s="146" t="s">
        <v>38</v>
      </c>
      <c r="P434" s="145" t="s">
        <v>328</v>
      </c>
      <c r="Q434" s="147" t="s">
        <v>321</v>
      </c>
      <c r="R434" s="105"/>
      <c r="S434" s="105"/>
      <c r="T434" s="105"/>
      <c r="U434" s="105"/>
      <c r="V434" s="105"/>
      <c r="W434" s="105"/>
    </row>
    <row r="435" spans="1:23" ht="16" x14ac:dyDescent="0.2">
      <c r="A435" s="139" t="str">
        <f t="shared" si="13"/>
        <v>8905302263447_Blu</v>
      </c>
      <c r="B435" s="140">
        <v>8905302263447</v>
      </c>
      <c r="C435" s="141" t="str">
        <f t="shared" si="15"/>
        <v>8905302263447_Blu_S</v>
      </c>
      <c r="D435" s="139" t="s">
        <v>408</v>
      </c>
      <c r="E435" s="142" t="s">
        <v>27</v>
      </c>
      <c r="F435" s="105" t="s">
        <v>377</v>
      </c>
      <c r="G435" s="143" t="s">
        <v>317</v>
      </c>
      <c r="H435" s="143" t="s">
        <v>318</v>
      </c>
      <c r="I435" s="105" t="s">
        <v>378</v>
      </c>
      <c r="J435" s="148">
        <v>7999</v>
      </c>
      <c r="K435" s="148">
        <v>7999</v>
      </c>
      <c r="L435" s="142">
        <v>61034200</v>
      </c>
      <c r="M435" s="141">
        <v>18</v>
      </c>
      <c r="N435" s="145" t="s">
        <v>328</v>
      </c>
      <c r="O435" s="146" t="s">
        <v>54</v>
      </c>
      <c r="P435" s="145" t="s">
        <v>328</v>
      </c>
      <c r="Q435" s="147" t="s">
        <v>321</v>
      </c>
      <c r="R435" s="105"/>
      <c r="S435" s="105"/>
      <c r="T435" s="105"/>
      <c r="U435" s="105"/>
      <c r="V435" s="105"/>
      <c r="W435" s="105"/>
    </row>
    <row r="436" spans="1:23" ht="16" x14ac:dyDescent="0.2">
      <c r="A436" s="139" t="str">
        <f t="shared" si="13"/>
        <v>8905302263448_Blu</v>
      </c>
      <c r="B436" s="140">
        <v>8905302263448</v>
      </c>
      <c r="C436" s="141" t="str">
        <f t="shared" si="15"/>
        <v>8905302263448_Blu_M</v>
      </c>
      <c r="D436" s="139" t="s">
        <v>408</v>
      </c>
      <c r="E436" s="142" t="s">
        <v>27</v>
      </c>
      <c r="F436" s="105" t="s">
        <v>377</v>
      </c>
      <c r="G436" s="143" t="s">
        <v>317</v>
      </c>
      <c r="H436" s="143" t="s">
        <v>318</v>
      </c>
      <c r="I436" s="105" t="s">
        <v>378</v>
      </c>
      <c r="J436" s="148">
        <v>7999</v>
      </c>
      <c r="K436" s="148">
        <v>7999</v>
      </c>
      <c r="L436" s="142">
        <v>61034200</v>
      </c>
      <c r="M436" s="141">
        <v>18</v>
      </c>
      <c r="N436" s="145" t="s">
        <v>328</v>
      </c>
      <c r="O436" s="146" t="s">
        <v>61</v>
      </c>
      <c r="P436" s="145" t="s">
        <v>328</v>
      </c>
      <c r="Q436" s="147" t="s">
        <v>321</v>
      </c>
      <c r="R436" s="105"/>
      <c r="S436" s="105"/>
      <c r="T436" s="105"/>
      <c r="U436" s="105"/>
      <c r="V436" s="105"/>
      <c r="W436" s="105"/>
    </row>
    <row r="437" spans="1:23" ht="16" x14ac:dyDescent="0.2">
      <c r="A437" s="139" t="str">
        <f t="shared" si="13"/>
        <v>8905302263449_Blu</v>
      </c>
      <c r="B437" s="140">
        <v>8905302263449</v>
      </c>
      <c r="C437" s="141" t="str">
        <f t="shared" si="15"/>
        <v>8905302263449_Blu_L</v>
      </c>
      <c r="D437" s="139" t="s">
        <v>408</v>
      </c>
      <c r="E437" s="142" t="s">
        <v>27</v>
      </c>
      <c r="F437" s="105" t="s">
        <v>377</v>
      </c>
      <c r="G437" s="143" t="s">
        <v>317</v>
      </c>
      <c r="H437" s="143" t="s">
        <v>318</v>
      </c>
      <c r="I437" s="105" t="s">
        <v>378</v>
      </c>
      <c r="J437" s="148">
        <v>7999</v>
      </c>
      <c r="K437" s="148">
        <v>7999</v>
      </c>
      <c r="L437" s="142">
        <v>61034200</v>
      </c>
      <c r="M437" s="141">
        <v>18</v>
      </c>
      <c r="N437" s="145" t="s">
        <v>328</v>
      </c>
      <c r="O437" s="146" t="s">
        <v>44</v>
      </c>
      <c r="P437" s="145" t="s">
        <v>328</v>
      </c>
      <c r="Q437" s="147" t="s">
        <v>321</v>
      </c>
      <c r="R437" s="105"/>
      <c r="S437" s="105"/>
      <c r="T437" s="105"/>
      <c r="U437" s="105"/>
      <c r="V437" s="105"/>
      <c r="W437" s="105"/>
    </row>
    <row r="438" spans="1:23" ht="16" x14ac:dyDescent="0.2">
      <c r="A438" s="139" t="str">
        <f t="shared" si="13"/>
        <v>8905302263450_Blu</v>
      </c>
      <c r="B438" s="140">
        <v>8905302263450</v>
      </c>
      <c r="C438" s="141" t="str">
        <f t="shared" si="15"/>
        <v>8905302263450_Blu_XL</v>
      </c>
      <c r="D438" s="139" t="s">
        <v>408</v>
      </c>
      <c r="E438" s="142" t="s">
        <v>27</v>
      </c>
      <c r="F438" s="105" t="s">
        <v>377</v>
      </c>
      <c r="G438" s="143" t="s">
        <v>317</v>
      </c>
      <c r="H438" s="143" t="s">
        <v>318</v>
      </c>
      <c r="I438" s="105" t="s">
        <v>378</v>
      </c>
      <c r="J438" s="148">
        <v>7999</v>
      </c>
      <c r="K438" s="148">
        <v>7999</v>
      </c>
      <c r="L438" s="142">
        <v>61034200</v>
      </c>
      <c r="M438" s="141">
        <v>18</v>
      </c>
      <c r="N438" s="145" t="s">
        <v>328</v>
      </c>
      <c r="O438" s="146" t="s">
        <v>38</v>
      </c>
      <c r="P438" s="145" t="s">
        <v>328</v>
      </c>
      <c r="Q438" s="147" t="s">
        <v>321</v>
      </c>
      <c r="R438" s="105"/>
      <c r="S438" s="105"/>
      <c r="T438" s="105"/>
      <c r="U438" s="105"/>
      <c r="V438" s="105"/>
      <c r="W438" s="105"/>
    </row>
    <row r="439" spans="1:23" ht="16" x14ac:dyDescent="0.2">
      <c r="A439" s="139" t="str">
        <f t="shared" si="13"/>
        <v>8905302263451_Blu</v>
      </c>
      <c r="B439" s="140">
        <v>8905302263451</v>
      </c>
      <c r="C439" s="141" t="str">
        <f t="shared" si="15"/>
        <v>8905302263451_Blu_XXL</v>
      </c>
      <c r="D439" s="139" t="s">
        <v>408</v>
      </c>
      <c r="E439" s="142" t="s">
        <v>27</v>
      </c>
      <c r="F439" s="105" t="s">
        <v>377</v>
      </c>
      <c r="G439" s="143" t="s">
        <v>317</v>
      </c>
      <c r="H439" s="143" t="s">
        <v>318</v>
      </c>
      <c r="I439" s="105" t="s">
        <v>378</v>
      </c>
      <c r="J439" s="148">
        <v>7999</v>
      </c>
      <c r="K439" s="148">
        <v>7999</v>
      </c>
      <c r="L439" s="142">
        <v>61034200</v>
      </c>
      <c r="M439" s="141">
        <v>18</v>
      </c>
      <c r="N439" s="145" t="s">
        <v>328</v>
      </c>
      <c r="O439" s="146" t="s">
        <v>84</v>
      </c>
      <c r="P439" s="145" t="s">
        <v>328</v>
      </c>
      <c r="Q439" s="147" t="s">
        <v>321</v>
      </c>
      <c r="R439" s="105"/>
      <c r="S439" s="105"/>
      <c r="T439" s="105"/>
      <c r="U439" s="105"/>
      <c r="V439" s="105"/>
      <c r="W439" s="105"/>
    </row>
    <row r="440" spans="1:23" ht="16" x14ac:dyDescent="0.2">
      <c r="A440" s="139" t="str">
        <f t="shared" si="13"/>
        <v>8905302263452_Blu</v>
      </c>
      <c r="B440" s="140">
        <v>8905302263452</v>
      </c>
      <c r="C440" s="141" t="str">
        <f t="shared" si="15"/>
        <v>8905302263452_Blu_S</v>
      </c>
      <c r="D440" s="149" t="s">
        <v>1156</v>
      </c>
      <c r="E440" s="142" t="s">
        <v>27</v>
      </c>
      <c r="F440" s="105" t="s">
        <v>377</v>
      </c>
      <c r="G440" s="143" t="s">
        <v>317</v>
      </c>
      <c r="H440" s="143" t="s">
        <v>318</v>
      </c>
      <c r="I440" s="105" t="s">
        <v>378</v>
      </c>
      <c r="J440" s="148">
        <v>7999</v>
      </c>
      <c r="K440" s="148">
        <v>7999</v>
      </c>
      <c r="L440" s="142">
        <v>61034200</v>
      </c>
      <c r="M440" s="141">
        <v>18</v>
      </c>
      <c r="N440" s="141" t="s">
        <v>328</v>
      </c>
      <c r="O440" s="146" t="s">
        <v>54</v>
      </c>
      <c r="P440" s="141" t="s">
        <v>328</v>
      </c>
      <c r="Q440" s="147" t="s">
        <v>321</v>
      </c>
      <c r="R440" s="105"/>
      <c r="S440" s="105"/>
      <c r="T440" s="105"/>
      <c r="U440" s="105"/>
      <c r="V440" s="105"/>
      <c r="W440" s="105"/>
    </row>
    <row r="441" spans="1:23" ht="16" x14ac:dyDescent="0.2">
      <c r="A441" s="139" t="str">
        <f t="shared" si="13"/>
        <v>8905302263453_Blu</v>
      </c>
      <c r="B441" s="140">
        <v>8905302263453</v>
      </c>
      <c r="C441" s="141" t="str">
        <f t="shared" si="15"/>
        <v>8905302263453_Blu_M</v>
      </c>
      <c r="D441" s="149" t="s">
        <v>1156</v>
      </c>
      <c r="E441" s="142" t="s">
        <v>27</v>
      </c>
      <c r="F441" s="105" t="s">
        <v>377</v>
      </c>
      <c r="G441" s="143" t="s">
        <v>317</v>
      </c>
      <c r="H441" s="143" t="s">
        <v>318</v>
      </c>
      <c r="I441" s="105" t="s">
        <v>378</v>
      </c>
      <c r="J441" s="148">
        <v>7999</v>
      </c>
      <c r="K441" s="148">
        <v>7999</v>
      </c>
      <c r="L441" s="142">
        <v>61034200</v>
      </c>
      <c r="M441" s="141">
        <v>18</v>
      </c>
      <c r="N441" s="141" t="s">
        <v>328</v>
      </c>
      <c r="O441" s="146" t="s">
        <v>61</v>
      </c>
      <c r="P441" s="141" t="s">
        <v>328</v>
      </c>
      <c r="Q441" s="147" t="s">
        <v>321</v>
      </c>
      <c r="R441" s="105"/>
      <c r="S441" s="105"/>
      <c r="T441" s="105"/>
      <c r="U441" s="105"/>
      <c r="V441" s="105"/>
      <c r="W441" s="105"/>
    </row>
    <row r="442" spans="1:23" ht="16" x14ac:dyDescent="0.2">
      <c r="A442" s="139" t="str">
        <f t="shared" si="13"/>
        <v>8905302263454_Blu</v>
      </c>
      <c r="B442" s="140">
        <v>8905302263454</v>
      </c>
      <c r="C442" s="141" t="str">
        <f t="shared" si="15"/>
        <v>8905302263454_Blu_L</v>
      </c>
      <c r="D442" s="149" t="s">
        <v>1156</v>
      </c>
      <c r="E442" s="142" t="s">
        <v>27</v>
      </c>
      <c r="F442" s="105" t="s">
        <v>377</v>
      </c>
      <c r="G442" s="143" t="s">
        <v>317</v>
      </c>
      <c r="H442" s="143" t="s">
        <v>318</v>
      </c>
      <c r="I442" s="105" t="s">
        <v>378</v>
      </c>
      <c r="J442" s="148">
        <v>7999</v>
      </c>
      <c r="K442" s="148">
        <v>7999</v>
      </c>
      <c r="L442" s="142">
        <v>61034200</v>
      </c>
      <c r="M442" s="141">
        <v>18</v>
      </c>
      <c r="N442" s="141" t="s">
        <v>328</v>
      </c>
      <c r="O442" s="146" t="s">
        <v>44</v>
      </c>
      <c r="P442" s="141" t="s">
        <v>328</v>
      </c>
      <c r="Q442" s="147" t="s">
        <v>321</v>
      </c>
      <c r="R442" s="105"/>
      <c r="S442" s="105"/>
      <c r="T442" s="105"/>
      <c r="U442" s="105"/>
      <c r="V442" s="105"/>
      <c r="W442" s="105"/>
    </row>
    <row r="443" spans="1:23" ht="16" x14ac:dyDescent="0.2">
      <c r="A443" s="139" t="str">
        <f t="shared" si="13"/>
        <v>8905302263455_Blu</v>
      </c>
      <c r="B443" s="140">
        <v>8905302263455</v>
      </c>
      <c r="C443" s="141" t="str">
        <f t="shared" si="15"/>
        <v>8905302263455_Blu_XL</v>
      </c>
      <c r="D443" s="149" t="s">
        <v>1156</v>
      </c>
      <c r="E443" s="142" t="s">
        <v>27</v>
      </c>
      <c r="F443" s="105" t="s">
        <v>377</v>
      </c>
      <c r="G443" s="143" t="s">
        <v>317</v>
      </c>
      <c r="H443" s="143" t="s">
        <v>318</v>
      </c>
      <c r="I443" s="105" t="s">
        <v>378</v>
      </c>
      <c r="J443" s="148">
        <v>7999</v>
      </c>
      <c r="K443" s="148">
        <v>7999</v>
      </c>
      <c r="L443" s="142">
        <v>61034200</v>
      </c>
      <c r="M443" s="141">
        <v>18</v>
      </c>
      <c r="N443" s="141" t="s">
        <v>328</v>
      </c>
      <c r="O443" s="146" t="s">
        <v>38</v>
      </c>
      <c r="P443" s="141" t="s">
        <v>328</v>
      </c>
      <c r="Q443" s="147" t="s">
        <v>321</v>
      </c>
      <c r="R443" s="105"/>
      <c r="S443" s="105"/>
      <c r="T443" s="105"/>
      <c r="U443" s="105"/>
      <c r="V443" s="105"/>
      <c r="W443" s="105"/>
    </row>
    <row r="444" spans="1:23" ht="16" x14ac:dyDescent="0.2">
      <c r="A444" s="139" t="str">
        <f t="shared" si="13"/>
        <v>8905302263456_Yel</v>
      </c>
      <c r="B444" s="140">
        <v>8905302263456</v>
      </c>
      <c r="C444" s="141" t="str">
        <f t="shared" si="15"/>
        <v>8905302263456_Yel_S</v>
      </c>
      <c r="D444" s="139" t="s">
        <v>1157</v>
      </c>
      <c r="E444" s="142" t="s">
        <v>27</v>
      </c>
      <c r="F444" s="105" t="s">
        <v>34</v>
      </c>
      <c r="G444" s="143" t="s">
        <v>317</v>
      </c>
      <c r="H444" s="143" t="s">
        <v>318</v>
      </c>
      <c r="I444" s="105" t="s">
        <v>401</v>
      </c>
      <c r="J444" s="144">
        <v>5999</v>
      </c>
      <c r="K444" s="144">
        <v>5999</v>
      </c>
      <c r="L444" s="142">
        <v>61034200</v>
      </c>
      <c r="M444" s="141">
        <v>18</v>
      </c>
      <c r="N444" s="145" t="s">
        <v>1153</v>
      </c>
      <c r="O444" s="146" t="s">
        <v>54</v>
      </c>
      <c r="P444" s="145" t="s">
        <v>1153</v>
      </c>
      <c r="Q444" s="147" t="s">
        <v>321</v>
      </c>
      <c r="R444" s="105"/>
      <c r="S444" s="105"/>
      <c r="T444" s="105"/>
      <c r="U444" s="105"/>
      <c r="V444" s="105"/>
      <c r="W444" s="105"/>
    </row>
    <row r="445" spans="1:23" ht="16" x14ac:dyDescent="0.2">
      <c r="A445" s="139" t="str">
        <f t="shared" si="13"/>
        <v>8905302263457_Yel</v>
      </c>
      <c r="B445" s="140">
        <v>8905302263457</v>
      </c>
      <c r="C445" s="141" t="str">
        <f t="shared" si="15"/>
        <v>8905302263457_Yel_M</v>
      </c>
      <c r="D445" s="139" t="s">
        <v>1157</v>
      </c>
      <c r="E445" s="142" t="s">
        <v>27</v>
      </c>
      <c r="F445" s="105" t="s">
        <v>34</v>
      </c>
      <c r="G445" s="143" t="s">
        <v>317</v>
      </c>
      <c r="H445" s="143" t="s">
        <v>318</v>
      </c>
      <c r="I445" s="105" t="s">
        <v>401</v>
      </c>
      <c r="J445" s="144">
        <v>5999</v>
      </c>
      <c r="K445" s="144">
        <v>5999</v>
      </c>
      <c r="L445" s="142">
        <v>61034200</v>
      </c>
      <c r="M445" s="141">
        <v>18</v>
      </c>
      <c r="N445" s="145" t="s">
        <v>1153</v>
      </c>
      <c r="O445" s="146" t="s">
        <v>61</v>
      </c>
      <c r="P445" s="145" t="s">
        <v>1153</v>
      </c>
      <c r="Q445" s="147" t="s">
        <v>321</v>
      </c>
      <c r="R445" s="105"/>
      <c r="S445" s="105"/>
      <c r="T445" s="105"/>
      <c r="U445" s="105"/>
      <c r="V445" s="105"/>
      <c r="W445" s="105"/>
    </row>
    <row r="446" spans="1:23" ht="16" x14ac:dyDescent="0.2">
      <c r="A446" s="139" t="str">
        <f t="shared" si="13"/>
        <v>8905302263458_Yel</v>
      </c>
      <c r="B446" s="140">
        <v>8905302263458</v>
      </c>
      <c r="C446" s="141" t="str">
        <f t="shared" si="15"/>
        <v>8905302263458_Yel_L</v>
      </c>
      <c r="D446" s="139" t="s">
        <v>1157</v>
      </c>
      <c r="E446" s="142" t="s">
        <v>27</v>
      </c>
      <c r="F446" s="105" t="s">
        <v>34</v>
      </c>
      <c r="G446" s="143" t="s">
        <v>317</v>
      </c>
      <c r="H446" s="143" t="s">
        <v>318</v>
      </c>
      <c r="I446" s="105" t="s">
        <v>401</v>
      </c>
      <c r="J446" s="144">
        <v>5999</v>
      </c>
      <c r="K446" s="144">
        <v>5999</v>
      </c>
      <c r="L446" s="142">
        <v>61034200</v>
      </c>
      <c r="M446" s="141">
        <v>18</v>
      </c>
      <c r="N446" s="145" t="s">
        <v>1153</v>
      </c>
      <c r="O446" s="146" t="s">
        <v>44</v>
      </c>
      <c r="P446" s="145" t="s">
        <v>1153</v>
      </c>
      <c r="Q446" s="147" t="s">
        <v>321</v>
      </c>
      <c r="R446" s="105"/>
      <c r="S446" s="105"/>
      <c r="T446" s="105"/>
      <c r="U446" s="105"/>
      <c r="V446" s="105"/>
      <c r="W446" s="105"/>
    </row>
    <row r="447" spans="1:23" ht="16" x14ac:dyDescent="0.2">
      <c r="A447" s="139" t="str">
        <f t="shared" si="13"/>
        <v>8905302263459_Yel</v>
      </c>
      <c r="B447" s="140">
        <v>8905302263459</v>
      </c>
      <c r="C447" s="141" t="str">
        <f t="shared" si="15"/>
        <v>8905302263459_Yel_XL</v>
      </c>
      <c r="D447" s="139" t="s">
        <v>1157</v>
      </c>
      <c r="E447" s="142" t="s">
        <v>27</v>
      </c>
      <c r="F447" s="105" t="s">
        <v>34</v>
      </c>
      <c r="G447" s="143" t="s">
        <v>317</v>
      </c>
      <c r="H447" s="143" t="s">
        <v>318</v>
      </c>
      <c r="I447" s="105" t="s">
        <v>401</v>
      </c>
      <c r="J447" s="144">
        <v>5999</v>
      </c>
      <c r="K447" s="144">
        <v>5999</v>
      </c>
      <c r="L447" s="142">
        <v>61034200</v>
      </c>
      <c r="M447" s="141">
        <v>18</v>
      </c>
      <c r="N447" s="145" t="s">
        <v>1153</v>
      </c>
      <c r="O447" s="146" t="s">
        <v>38</v>
      </c>
      <c r="P447" s="145" t="s">
        <v>1153</v>
      </c>
      <c r="Q447" s="147" t="s">
        <v>321</v>
      </c>
      <c r="R447" s="105"/>
      <c r="S447" s="105"/>
      <c r="T447" s="105"/>
      <c r="U447" s="105"/>
      <c r="V447" s="105"/>
      <c r="W447" s="105"/>
    </row>
    <row r="448" spans="1:23" ht="16" x14ac:dyDescent="0.2">
      <c r="A448" s="139" t="str">
        <f t="shared" si="13"/>
        <v>8905302263460_Gre</v>
      </c>
      <c r="B448" s="140">
        <v>8905302263460</v>
      </c>
      <c r="C448" s="141" t="str">
        <f t="shared" si="15"/>
        <v>8905302263460_Gre_S</v>
      </c>
      <c r="D448" s="139" t="s">
        <v>1158</v>
      </c>
      <c r="E448" s="142" t="s">
        <v>27</v>
      </c>
      <c r="F448" s="105" t="s">
        <v>34</v>
      </c>
      <c r="G448" s="143" t="s">
        <v>317</v>
      </c>
      <c r="H448" s="143" t="s">
        <v>318</v>
      </c>
      <c r="I448" s="105" t="s">
        <v>401</v>
      </c>
      <c r="J448" s="144">
        <v>5999</v>
      </c>
      <c r="K448" s="144">
        <v>5999</v>
      </c>
      <c r="L448" s="142">
        <v>61034200</v>
      </c>
      <c r="M448" s="141">
        <v>18</v>
      </c>
      <c r="N448" s="145" t="s">
        <v>492</v>
      </c>
      <c r="O448" s="146" t="s">
        <v>54</v>
      </c>
      <c r="P448" s="145" t="s">
        <v>492</v>
      </c>
      <c r="Q448" s="147" t="s">
        <v>321</v>
      </c>
      <c r="R448" s="60"/>
    </row>
    <row r="449" spans="1:18" ht="16" x14ac:dyDescent="0.2">
      <c r="A449" s="139" t="str">
        <f t="shared" si="13"/>
        <v>8905302263461_Gre</v>
      </c>
      <c r="B449" s="140">
        <v>8905302263461</v>
      </c>
      <c r="C449" s="141" t="str">
        <f t="shared" si="15"/>
        <v>8905302263461_Gre_M</v>
      </c>
      <c r="D449" s="139" t="s">
        <v>1158</v>
      </c>
      <c r="E449" s="142" t="s">
        <v>27</v>
      </c>
      <c r="F449" s="105" t="s">
        <v>34</v>
      </c>
      <c r="G449" s="143" t="s">
        <v>317</v>
      </c>
      <c r="H449" s="143" t="s">
        <v>318</v>
      </c>
      <c r="I449" s="105" t="s">
        <v>401</v>
      </c>
      <c r="J449" s="144">
        <v>5999</v>
      </c>
      <c r="K449" s="144">
        <v>5999</v>
      </c>
      <c r="L449" s="142">
        <v>61034200</v>
      </c>
      <c r="M449" s="141">
        <v>18</v>
      </c>
      <c r="N449" s="145" t="s">
        <v>492</v>
      </c>
      <c r="O449" s="146" t="s">
        <v>61</v>
      </c>
      <c r="P449" s="145" t="s">
        <v>492</v>
      </c>
      <c r="Q449" s="147" t="s">
        <v>321</v>
      </c>
      <c r="R449" s="60"/>
    </row>
    <row r="450" spans="1:18" ht="16" x14ac:dyDescent="0.2">
      <c r="A450" s="139" t="str">
        <f t="shared" si="13"/>
        <v>8905302263462_Gre</v>
      </c>
      <c r="B450" s="140">
        <v>8905302263462</v>
      </c>
      <c r="C450" s="141" t="str">
        <f t="shared" si="15"/>
        <v>8905302263462_Gre_L</v>
      </c>
      <c r="D450" s="139" t="s">
        <v>1158</v>
      </c>
      <c r="E450" s="142" t="s">
        <v>27</v>
      </c>
      <c r="F450" s="105" t="s">
        <v>34</v>
      </c>
      <c r="G450" s="143" t="s">
        <v>317</v>
      </c>
      <c r="H450" s="143" t="s">
        <v>318</v>
      </c>
      <c r="I450" s="105" t="s">
        <v>401</v>
      </c>
      <c r="J450" s="144">
        <v>5999</v>
      </c>
      <c r="K450" s="144">
        <v>5999</v>
      </c>
      <c r="L450" s="142">
        <v>61034200</v>
      </c>
      <c r="M450" s="141">
        <v>18</v>
      </c>
      <c r="N450" s="145" t="s">
        <v>492</v>
      </c>
      <c r="O450" s="146" t="s">
        <v>44</v>
      </c>
      <c r="P450" s="145" t="s">
        <v>492</v>
      </c>
      <c r="Q450" s="147" t="s">
        <v>321</v>
      </c>
      <c r="R450" s="60"/>
    </row>
    <row r="451" spans="1:18" ht="16" x14ac:dyDescent="0.2">
      <c r="A451" s="139" t="str">
        <f t="shared" ref="A451" si="16" xml:space="preserve"> B451&amp; "_" &amp; LEFT(N451,3)</f>
        <v>8905302263463_Gre</v>
      </c>
      <c r="B451" s="140">
        <v>8905302263463</v>
      </c>
      <c r="C451" s="141" t="str">
        <f t="shared" si="15"/>
        <v>8905302263463_Gre_XL</v>
      </c>
      <c r="D451" s="139" t="s">
        <v>1158</v>
      </c>
      <c r="E451" s="142" t="s">
        <v>27</v>
      </c>
      <c r="F451" s="105" t="s">
        <v>34</v>
      </c>
      <c r="G451" s="143" t="s">
        <v>317</v>
      </c>
      <c r="H451" s="143" t="s">
        <v>318</v>
      </c>
      <c r="I451" s="105" t="s">
        <v>401</v>
      </c>
      <c r="J451" s="144">
        <v>5999</v>
      </c>
      <c r="K451" s="144">
        <v>5999</v>
      </c>
      <c r="L451" s="142">
        <v>61034200</v>
      </c>
      <c r="M451" s="141">
        <v>18</v>
      </c>
      <c r="N451" s="145" t="s">
        <v>492</v>
      </c>
      <c r="O451" s="146" t="s">
        <v>38</v>
      </c>
      <c r="P451" s="145" t="s">
        <v>492</v>
      </c>
      <c r="Q451" s="147" t="s">
        <v>321</v>
      </c>
      <c r="R451" s="60"/>
    </row>
  </sheetData>
  <conditionalFormatting sqref="B1 B117:B164">
    <cfRule type="duplicateValues" dxfId="179" priority="180"/>
  </conditionalFormatting>
  <conditionalFormatting sqref="B1:B164">
    <cfRule type="duplicateValues" dxfId="178" priority="178"/>
  </conditionalFormatting>
  <conditionalFormatting sqref="B2:B116">
    <cfRule type="duplicateValues" dxfId="177" priority="179"/>
  </conditionalFormatting>
  <conditionalFormatting sqref="B225:B230">
    <cfRule type="duplicateValues" dxfId="176" priority="172"/>
    <cfRule type="duplicateValues" dxfId="175" priority="173"/>
    <cfRule type="duplicateValues" dxfId="174" priority="174"/>
    <cfRule type="duplicateValues" dxfId="173" priority="175"/>
    <cfRule type="duplicateValues" dxfId="172" priority="176"/>
    <cfRule type="duplicateValues" dxfId="171" priority="177"/>
  </conditionalFormatting>
  <conditionalFormatting sqref="B231:B239">
    <cfRule type="duplicateValues" dxfId="170" priority="128"/>
    <cfRule type="duplicateValues" dxfId="169" priority="164"/>
    <cfRule type="duplicateValues" dxfId="168" priority="165"/>
    <cfRule type="duplicateValues" dxfId="167" priority="166"/>
    <cfRule type="duplicateValues" dxfId="166" priority="167"/>
    <cfRule type="duplicateValues" dxfId="165" priority="168"/>
    <cfRule type="duplicateValues" dxfId="164" priority="169"/>
    <cfRule type="duplicateValues" dxfId="163" priority="170"/>
    <cfRule type="duplicateValues" dxfId="162" priority="171"/>
  </conditionalFormatting>
  <conditionalFormatting sqref="B231:B303">
    <cfRule type="duplicateValues" dxfId="161" priority="127"/>
  </conditionalFormatting>
  <conditionalFormatting sqref="B240:B252">
    <cfRule type="duplicateValues" dxfId="160" priority="154"/>
    <cfRule type="duplicateValues" dxfId="159" priority="155"/>
    <cfRule type="duplicateValues" dxfId="158" priority="156"/>
    <cfRule type="duplicateValues" dxfId="157" priority="157"/>
    <cfRule type="duplicateValues" dxfId="156" priority="158"/>
    <cfRule type="duplicateValues" dxfId="155" priority="159"/>
    <cfRule type="duplicateValues" dxfId="154" priority="160"/>
    <cfRule type="duplicateValues" dxfId="153" priority="161"/>
  </conditionalFormatting>
  <conditionalFormatting sqref="B240:B303">
    <cfRule type="duplicateValues" dxfId="152" priority="129"/>
    <cfRule type="duplicateValues" dxfId="151" priority="162"/>
    <cfRule type="duplicateValues" dxfId="150" priority="163"/>
  </conditionalFormatting>
  <conditionalFormatting sqref="B253:B292">
    <cfRule type="duplicateValues" dxfId="149" priority="146"/>
    <cfRule type="duplicateValues" dxfId="148" priority="147"/>
    <cfRule type="duplicateValues" dxfId="147" priority="148"/>
    <cfRule type="duplicateValues" dxfId="146" priority="149"/>
    <cfRule type="duplicateValues" dxfId="145" priority="150"/>
    <cfRule type="duplicateValues" dxfId="144" priority="151"/>
    <cfRule type="duplicateValues" dxfId="143" priority="152"/>
    <cfRule type="duplicateValues" dxfId="142" priority="153"/>
  </conditionalFormatting>
  <conditionalFormatting sqref="B293:B303">
    <cfRule type="duplicateValues" dxfId="141" priority="130"/>
    <cfRule type="duplicateValues" dxfId="140" priority="131"/>
    <cfRule type="duplicateValues" dxfId="139" priority="132"/>
    <cfRule type="duplicateValues" dxfId="138" priority="133"/>
    <cfRule type="duplicateValues" dxfId="137" priority="134"/>
    <cfRule type="duplicateValues" dxfId="136" priority="135"/>
    <cfRule type="duplicateValues" dxfId="135" priority="136"/>
    <cfRule type="duplicateValues" dxfId="134" priority="137"/>
    <cfRule type="duplicateValues" dxfId="133" priority="138"/>
    <cfRule type="duplicateValues" dxfId="132" priority="139"/>
    <cfRule type="duplicateValues" dxfId="131" priority="140"/>
    <cfRule type="duplicateValues" dxfId="130" priority="141"/>
    <cfRule type="duplicateValues" dxfId="129" priority="142"/>
    <cfRule type="duplicateValues" dxfId="128" priority="143"/>
    <cfRule type="duplicateValues" dxfId="127" priority="144"/>
    <cfRule type="duplicateValues" dxfId="126" priority="145"/>
  </conditionalFormatting>
  <conditionalFormatting sqref="B304:B317 B321:B344">
    <cfRule type="duplicateValues" dxfId="125" priority="103"/>
    <cfRule type="duplicateValues" dxfId="124" priority="105"/>
    <cfRule type="duplicateValues" dxfId="123" priority="106"/>
    <cfRule type="duplicateValues" dxfId="122" priority="107"/>
    <cfRule type="duplicateValues" dxfId="121" priority="108"/>
    <cfRule type="duplicateValues" dxfId="120" priority="109"/>
    <cfRule type="duplicateValues" dxfId="119" priority="110"/>
    <cfRule type="duplicateValues" dxfId="118" priority="111"/>
    <cfRule type="duplicateValues" dxfId="117" priority="112"/>
    <cfRule type="duplicateValues" dxfId="116" priority="113"/>
    <cfRule type="duplicateValues" dxfId="115" priority="114"/>
    <cfRule type="duplicateValues" dxfId="114" priority="115"/>
    <cfRule type="duplicateValues" dxfId="113" priority="116"/>
    <cfRule type="duplicateValues" dxfId="112" priority="117"/>
    <cfRule type="duplicateValues" dxfId="111" priority="118"/>
    <cfRule type="duplicateValues" dxfId="110" priority="119"/>
    <cfRule type="duplicateValues" dxfId="109" priority="120"/>
    <cfRule type="duplicateValues" dxfId="108" priority="121"/>
    <cfRule type="duplicateValues" dxfId="107" priority="122"/>
    <cfRule type="duplicateValues" dxfId="106" priority="123"/>
  </conditionalFormatting>
  <conditionalFormatting sqref="B307:B317 B321:B344">
    <cfRule type="duplicateValues" dxfId="105" priority="104"/>
    <cfRule type="duplicateValues" dxfId="104" priority="124"/>
    <cfRule type="duplicateValues" dxfId="103" priority="125"/>
    <cfRule type="duplicateValues" dxfId="102" priority="126"/>
  </conditionalFormatting>
  <conditionalFormatting sqref="B318:B320">
    <cfRule type="duplicateValues" dxfId="101" priority="1"/>
    <cfRule type="duplicateValues" dxfId="100" priority="2"/>
    <cfRule type="duplicateValues" dxfId="99" priority="3"/>
    <cfRule type="duplicateValues" dxfId="98" priority="4"/>
    <cfRule type="duplicateValues" dxfId="97" priority="5"/>
    <cfRule type="duplicateValues" dxfId="96" priority="6"/>
    <cfRule type="duplicateValues" dxfId="95" priority="7"/>
    <cfRule type="duplicateValues" dxfId="94" priority="8"/>
    <cfRule type="duplicateValues" dxfId="93" priority="9"/>
    <cfRule type="duplicateValues" dxfId="92" priority="10"/>
    <cfRule type="duplicateValues" dxfId="91" priority="11"/>
    <cfRule type="duplicateValues" dxfId="90" priority="12"/>
    <cfRule type="duplicateValues" dxfId="89" priority="13"/>
    <cfRule type="duplicateValues" dxfId="88" priority="14"/>
    <cfRule type="duplicateValues" dxfId="87" priority="15"/>
    <cfRule type="duplicateValues" dxfId="86" priority="16"/>
    <cfRule type="duplicateValues" dxfId="85" priority="17"/>
    <cfRule type="duplicateValues" dxfId="84" priority="18"/>
    <cfRule type="duplicateValues" dxfId="83" priority="19"/>
    <cfRule type="duplicateValues" dxfId="82" priority="20"/>
    <cfRule type="duplicateValues" dxfId="81" priority="21"/>
    <cfRule type="duplicateValues" dxfId="80" priority="22"/>
    <cfRule type="duplicateValues" dxfId="79" priority="23"/>
    <cfRule type="duplicateValues" dxfId="78" priority="24"/>
    <cfRule type="duplicateValues" dxfId="77" priority="25"/>
    <cfRule type="duplicateValues" dxfId="76" priority="26"/>
    <cfRule type="duplicateValues" dxfId="75" priority="27"/>
  </conditionalFormatting>
  <conditionalFormatting sqref="B345:B352">
    <cfRule type="duplicateValues" dxfId="74" priority="79"/>
    <cfRule type="duplicateValues" dxfId="73" priority="80"/>
    <cfRule type="duplicateValues" dxfId="72" priority="81"/>
    <cfRule type="duplicateValues" dxfId="71" priority="82"/>
    <cfRule type="duplicateValues" dxfId="70" priority="83"/>
    <cfRule type="duplicateValues" dxfId="69" priority="84"/>
    <cfRule type="duplicateValues" dxfId="68" priority="85"/>
    <cfRule type="duplicateValues" dxfId="67" priority="86"/>
    <cfRule type="duplicateValues" dxfId="66" priority="87"/>
    <cfRule type="duplicateValues" dxfId="65" priority="88"/>
    <cfRule type="duplicateValues" dxfId="64" priority="89"/>
    <cfRule type="duplicateValues" dxfId="63" priority="90"/>
    <cfRule type="duplicateValues" dxfId="62" priority="91"/>
    <cfRule type="duplicateValues" dxfId="61" priority="92"/>
    <cfRule type="duplicateValues" dxfId="60" priority="93"/>
    <cfRule type="duplicateValues" dxfId="59" priority="94"/>
    <cfRule type="duplicateValues" dxfId="58" priority="95"/>
    <cfRule type="duplicateValues" dxfId="57" priority="96"/>
    <cfRule type="duplicateValues" dxfId="56" priority="97"/>
    <cfRule type="duplicateValues" dxfId="55" priority="98"/>
    <cfRule type="duplicateValues" dxfId="54" priority="99"/>
    <cfRule type="duplicateValues" dxfId="53" priority="100"/>
    <cfRule type="duplicateValues" dxfId="52" priority="101"/>
    <cfRule type="duplicateValues" dxfId="51" priority="102"/>
  </conditionalFormatting>
  <conditionalFormatting sqref="B353:B378">
    <cfRule type="duplicateValues" dxfId="50" priority="54"/>
    <cfRule type="duplicateValues" dxfId="49" priority="55"/>
    <cfRule type="duplicateValues" dxfId="48" priority="56"/>
    <cfRule type="duplicateValues" dxfId="47" priority="57"/>
    <cfRule type="duplicateValues" dxfId="46" priority="58"/>
    <cfRule type="duplicateValues" dxfId="45" priority="59"/>
    <cfRule type="duplicateValues" dxfId="44" priority="60"/>
    <cfRule type="duplicateValues" dxfId="43" priority="61"/>
    <cfRule type="duplicateValues" dxfId="42" priority="62"/>
    <cfRule type="duplicateValues" dxfId="41" priority="63"/>
    <cfRule type="duplicateValues" dxfId="40" priority="64"/>
    <cfRule type="duplicateValues" dxfId="39" priority="65"/>
    <cfRule type="duplicateValues" dxfId="38" priority="66"/>
    <cfRule type="duplicateValues" dxfId="37" priority="67"/>
    <cfRule type="duplicateValues" dxfId="36" priority="68"/>
    <cfRule type="duplicateValues" dxfId="35" priority="69"/>
    <cfRule type="duplicateValues" dxfId="34" priority="70"/>
    <cfRule type="duplicateValues" dxfId="33" priority="71"/>
    <cfRule type="duplicateValues" dxfId="32" priority="72"/>
    <cfRule type="duplicateValues" dxfId="31" priority="73"/>
    <cfRule type="duplicateValues" dxfId="30" priority="74"/>
    <cfRule type="duplicateValues" dxfId="29" priority="75"/>
    <cfRule type="duplicateValues" dxfId="28" priority="76"/>
    <cfRule type="duplicateValues" dxfId="27" priority="77"/>
    <cfRule type="duplicateValues" dxfId="26" priority="78"/>
  </conditionalFormatting>
  <conditionalFormatting sqref="B379:B451">
    <cfRule type="duplicateValues" dxfId="25" priority="28"/>
    <cfRule type="duplicateValues" dxfId="24" priority="29"/>
    <cfRule type="duplicateValues" dxfId="23" priority="30"/>
    <cfRule type="duplicateValues" dxfId="22" priority="31"/>
    <cfRule type="duplicateValues" dxfId="21" priority="32"/>
    <cfRule type="duplicateValues" dxfId="20" priority="33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  <cfRule type="duplicateValues" dxfId="14" priority="39"/>
    <cfRule type="duplicateValues" dxfId="13" priority="40"/>
    <cfRule type="duplicateValues" dxfId="12" priority="41"/>
    <cfRule type="duplicateValues" dxfId="11" priority="42"/>
    <cfRule type="duplicateValues" dxfId="10" priority="43"/>
    <cfRule type="duplicateValues" dxfId="9" priority="44"/>
    <cfRule type="duplicateValues" dxfId="8" priority="45"/>
    <cfRule type="duplicateValues" dxfId="7" priority="46"/>
    <cfRule type="duplicateValues" dxfId="6" priority="47"/>
    <cfRule type="duplicateValues" dxfId="5" priority="48"/>
    <cfRule type="duplicateValues" dxfId="4" priority="49"/>
    <cfRule type="duplicateValues" dxfId="3" priority="50"/>
    <cfRule type="duplicateValues" dxfId="2" priority="51"/>
    <cfRule type="duplicateValues" dxfId="1" priority="52"/>
    <cfRule type="duplicateValues" dxfId="0" priority="5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53E0-A0F6-9949-8B2D-F6817A40A04E}">
  <dimension ref="A1:U5"/>
  <sheetViews>
    <sheetView workbookViewId="0">
      <selection activeCell="A2" sqref="A2:U5"/>
    </sheetView>
  </sheetViews>
  <sheetFormatPr baseColWidth="10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62</v>
      </c>
      <c r="B2" t="s">
        <v>242</v>
      </c>
      <c r="C2" t="s">
        <v>243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8905202269458</v>
      </c>
      <c r="J2" t="s">
        <v>244</v>
      </c>
      <c r="K2">
        <v>8905202269458</v>
      </c>
      <c r="L2" t="s">
        <v>245</v>
      </c>
      <c r="M2" t="s">
        <v>38</v>
      </c>
      <c r="N2">
        <v>3995</v>
      </c>
      <c r="O2">
        <v>3995</v>
      </c>
      <c r="P2">
        <v>1</v>
      </c>
      <c r="Q2">
        <v>3995</v>
      </c>
      <c r="R2">
        <v>1198.5</v>
      </c>
      <c r="S2">
        <v>0</v>
      </c>
      <c r="T2">
        <v>2796.5</v>
      </c>
      <c r="U2" t="s">
        <v>246</v>
      </c>
    </row>
    <row r="3" spans="1:21" x14ac:dyDescent="0.2">
      <c r="A3" t="s">
        <v>62</v>
      </c>
      <c r="B3" t="s">
        <v>238</v>
      </c>
      <c r="C3" t="s">
        <v>239</v>
      </c>
      <c r="D3" t="s">
        <v>23</v>
      </c>
      <c r="E3" t="s">
        <v>24</v>
      </c>
      <c r="F3" t="s">
        <v>25</v>
      </c>
      <c r="G3" t="s">
        <v>160</v>
      </c>
      <c r="H3" t="s">
        <v>27</v>
      </c>
      <c r="I3">
        <v>8905202264590</v>
      </c>
      <c r="J3" t="s">
        <v>240</v>
      </c>
      <c r="K3">
        <v>8905202264590</v>
      </c>
      <c r="L3" t="s">
        <v>227</v>
      </c>
      <c r="M3" t="s">
        <v>44</v>
      </c>
      <c r="N3">
        <v>5995</v>
      </c>
      <c r="O3">
        <v>5995</v>
      </c>
      <c r="P3">
        <v>1</v>
      </c>
      <c r="Q3">
        <v>5995</v>
      </c>
      <c r="R3">
        <v>1798.5</v>
      </c>
      <c r="S3">
        <v>0</v>
      </c>
      <c r="T3">
        <v>4196.5</v>
      </c>
      <c r="U3" t="s">
        <v>55</v>
      </c>
    </row>
    <row r="4" spans="1:21" x14ac:dyDescent="0.2">
      <c r="A4" t="s">
        <v>62</v>
      </c>
      <c r="B4" t="s">
        <v>238</v>
      </c>
      <c r="C4" t="s">
        <v>241</v>
      </c>
      <c r="D4" t="s">
        <v>23</v>
      </c>
      <c r="E4" t="s">
        <v>24</v>
      </c>
      <c r="F4" t="s">
        <v>25</v>
      </c>
      <c r="G4" t="s">
        <v>160</v>
      </c>
      <c r="H4" t="s">
        <v>27</v>
      </c>
      <c r="I4">
        <v>8905202263142</v>
      </c>
      <c r="J4" t="s">
        <v>165</v>
      </c>
      <c r="K4" t="s">
        <v>166</v>
      </c>
      <c r="L4" t="s">
        <v>167</v>
      </c>
      <c r="M4" t="s">
        <v>54</v>
      </c>
      <c r="N4">
        <v>5495</v>
      </c>
      <c r="O4">
        <v>5495</v>
      </c>
      <c r="P4">
        <v>1</v>
      </c>
      <c r="Q4">
        <v>5495</v>
      </c>
      <c r="R4">
        <v>1648.5</v>
      </c>
      <c r="S4">
        <v>0</v>
      </c>
      <c r="T4">
        <v>3846.5</v>
      </c>
      <c r="U4" t="s">
        <v>50</v>
      </c>
    </row>
    <row r="5" spans="1:21" x14ac:dyDescent="0.2">
      <c r="A5" t="s">
        <v>62</v>
      </c>
      <c r="B5" t="s">
        <v>632</v>
      </c>
      <c r="C5" t="s">
        <v>633</v>
      </c>
      <c r="D5" t="s">
        <v>23</v>
      </c>
      <c r="E5" t="s">
        <v>24</v>
      </c>
      <c r="F5" t="s">
        <v>25</v>
      </c>
      <c r="G5" t="s">
        <v>160</v>
      </c>
      <c r="H5" t="s">
        <v>27</v>
      </c>
      <c r="I5">
        <v>8905202264316</v>
      </c>
      <c r="J5" t="s">
        <v>634</v>
      </c>
      <c r="K5">
        <v>8905202264316</v>
      </c>
      <c r="L5" t="s">
        <v>635</v>
      </c>
      <c r="M5" t="s">
        <v>54</v>
      </c>
      <c r="N5">
        <v>5495</v>
      </c>
      <c r="O5">
        <v>5495</v>
      </c>
      <c r="P5">
        <v>1</v>
      </c>
      <c r="Q5">
        <v>5495</v>
      </c>
      <c r="R5">
        <v>2198</v>
      </c>
      <c r="S5">
        <v>0</v>
      </c>
      <c r="T5">
        <v>3297</v>
      </c>
      <c r="U5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6C85-A842-C142-83F4-B3DC37FCA7FB}">
  <dimension ref="A1:U20"/>
  <sheetViews>
    <sheetView workbookViewId="0">
      <selection activeCell="A2" sqref="A2:U20"/>
    </sheetView>
  </sheetViews>
  <sheetFormatPr baseColWidth="10" defaultColWidth="10.83203125" defaultRowHeight="15" x14ac:dyDescent="0.2"/>
  <cols>
    <col min="8" max="8" width="14.33203125" bestFit="1" customWidth="1"/>
    <col min="9" max="9" width="16.83203125" style="15" bestFit="1" customWidth="1"/>
    <col min="11" max="11" width="24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62</v>
      </c>
      <c r="B2" t="s">
        <v>208</v>
      </c>
      <c r="C2" t="s">
        <v>135</v>
      </c>
      <c r="D2" t="s">
        <v>23</v>
      </c>
      <c r="E2" t="s">
        <v>24</v>
      </c>
      <c r="F2" t="s">
        <v>25</v>
      </c>
      <c r="G2" t="s">
        <v>160</v>
      </c>
      <c r="H2" t="s">
        <v>27</v>
      </c>
      <c r="I2">
        <v>8905202263180</v>
      </c>
      <c r="J2" t="s">
        <v>209</v>
      </c>
      <c r="K2">
        <v>8905202263180</v>
      </c>
      <c r="L2" t="s">
        <v>210</v>
      </c>
      <c r="M2" t="s">
        <v>54</v>
      </c>
      <c r="N2">
        <v>5495</v>
      </c>
      <c r="O2">
        <v>5495</v>
      </c>
      <c r="P2">
        <v>1</v>
      </c>
      <c r="Q2">
        <v>5495</v>
      </c>
      <c r="R2">
        <v>2198</v>
      </c>
      <c r="S2">
        <v>0</v>
      </c>
      <c r="T2">
        <v>3297</v>
      </c>
      <c r="U2" t="s">
        <v>55</v>
      </c>
    </row>
    <row r="3" spans="1:21" x14ac:dyDescent="0.2">
      <c r="A3" t="s">
        <v>62</v>
      </c>
      <c r="B3" t="s">
        <v>201</v>
      </c>
      <c r="C3" t="s">
        <v>202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8905202264897</v>
      </c>
      <c r="J3" t="s">
        <v>203</v>
      </c>
      <c r="K3">
        <v>8905202264897</v>
      </c>
      <c r="L3" t="s">
        <v>191</v>
      </c>
      <c r="M3" t="s">
        <v>61</v>
      </c>
      <c r="N3">
        <v>2995</v>
      </c>
      <c r="O3">
        <v>2995</v>
      </c>
      <c r="P3">
        <v>1</v>
      </c>
      <c r="Q3">
        <v>2995</v>
      </c>
      <c r="R3">
        <v>599</v>
      </c>
      <c r="S3">
        <v>0</v>
      </c>
      <c r="T3">
        <v>2396</v>
      </c>
      <c r="U3" t="s">
        <v>45</v>
      </c>
    </row>
    <row r="4" spans="1:21" x14ac:dyDescent="0.2">
      <c r="A4" t="s">
        <v>62</v>
      </c>
      <c r="B4" t="s">
        <v>201</v>
      </c>
      <c r="C4" t="s">
        <v>204</v>
      </c>
      <c r="D4" t="s">
        <v>23</v>
      </c>
      <c r="E4" t="s">
        <v>24</v>
      </c>
      <c r="F4" t="s">
        <v>25</v>
      </c>
      <c r="G4" t="s">
        <v>160</v>
      </c>
      <c r="H4" t="s">
        <v>27</v>
      </c>
      <c r="I4">
        <v>8905202263104</v>
      </c>
      <c r="J4" t="s">
        <v>205</v>
      </c>
      <c r="K4" t="s">
        <v>206</v>
      </c>
      <c r="L4" t="s">
        <v>207</v>
      </c>
      <c r="M4" t="s">
        <v>44</v>
      </c>
      <c r="N4">
        <v>5495</v>
      </c>
      <c r="O4">
        <v>5495</v>
      </c>
      <c r="P4">
        <v>1</v>
      </c>
      <c r="Q4">
        <v>5495</v>
      </c>
      <c r="R4">
        <v>2198</v>
      </c>
      <c r="S4">
        <v>0</v>
      </c>
      <c r="T4">
        <v>3297</v>
      </c>
      <c r="U4" t="s">
        <v>45</v>
      </c>
    </row>
    <row r="5" spans="1:21" x14ac:dyDescent="0.2">
      <c r="A5" t="s">
        <v>62</v>
      </c>
      <c r="B5" t="s">
        <v>197</v>
      </c>
      <c r="C5" t="s">
        <v>198</v>
      </c>
      <c r="D5" t="s">
        <v>23</v>
      </c>
      <c r="E5" t="s">
        <v>136</v>
      </c>
      <c r="F5" t="s">
        <v>25</v>
      </c>
      <c r="G5" t="s">
        <v>26</v>
      </c>
      <c r="H5" t="s">
        <v>27</v>
      </c>
      <c r="I5">
        <v>8905202268871</v>
      </c>
      <c r="J5" t="s">
        <v>199</v>
      </c>
      <c r="K5">
        <v>8905202268871</v>
      </c>
      <c r="L5" t="s">
        <v>200</v>
      </c>
      <c r="M5" t="s">
        <v>54</v>
      </c>
      <c r="N5">
        <v>1995</v>
      </c>
      <c r="O5">
        <v>1995</v>
      </c>
      <c r="P5">
        <v>1</v>
      </c>
      <c r="Q5">
        <v>1995</v>
      </c>
      <c r="R5">
        <v>399</v>
      </c>
      <c r="S5">
        <v>0</v>
      </c>
      <c r="T5">
        <v>1596</v>
      </c>
      <c r="U5" t="s">
        <v>50</v>
      </c>
    </row>
    <row r="6" spans="1:21" x14ac:dyDescent="0.2">
      <c r="A6" t="s">
        <v>62</v>
      </c>
      <c r="B6" t="s">
        <v>195</v>
      </c>
      <c r="C6" t="s">
        <v>196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8905202269076</v>
      </c>
      <c r="J6" t="s">
        <v>142</v>
      </c>
      <c r="K6" t="s">
        <v>143</v>
      </c>
      <c r="L6" t="s">
        <v>144</v>
      </c>
      <c r="M6" t="s">
        <v>44</v>
      </c>
      <c r="N6">
        <v>3495</v>
      </c>
      <c r="O6">
        <v>3495</v>
      </c>
      <c r="P6">
        <v>1</v>
      </c>
      <c r="Q6">
        <v>3495</v>
      </c>
      <c r="R6">
        <v>0</v>
      </c>
      <c r="S6">
        <v>0</v>
      </c>
      <c r="T6">
        <v>2446.5</v>
      </c>
      <c r="U6" t="s">
        <v>31</v>
      </c>
    </row>
    <row r="7" spans="1:21" x14ac:dyDescent="0.2">
      <c r="A7" t="s">
        <v>62</v>
      </c>
      <c r="B7" t="s">
        <v>193</v>
      </c>
      <c r="C7" t="s">
        <v>194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>
        <v>8905202264729</v>
      </c>
      <c r="J7" t="s">
        <v>28</v>
      </c>
      <c r="K7">
        <v>8905202264729</v>
      </c>
      <c r="L7" t="s">
        <v>29</v>
      </c>
      <c r="M7" t="s">
        <v>30</v>
      </c>
      <c r="N7">
        <v>2995</v>
      </c>
      <c r="O7">
        <v>2995</v>
      </c>
      <c r="P7">
        <v>1</v>
      </c>
      <c r="Q7">
        <v>2995</v>
      </c>
      <c r="R7">
        <v>599</v>
      </c>
      <c r="S7">
        <v>0</v>
      </c>
      <c r="T7">
        <v>2396</v>
      </c>
      <c r="U7" t="s">
        <v>45</v>
      </c>
    </row>
    <row r="8" spans="1:21" x14ac:dyDescent="0.2">
      <c r="A8" t="s">
        <v>62</v>
      </c>
      <c r="B8" t="s">
        <v>187</v>
      </c>
      <c r="C8" t="s">
        <v>188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8905202269083</v>
      </c>
      <c r="J8" t="s">
        <v>189</v>
      </c>
      <c r="K8" t="s">
        <v>190</v>
      </c>
      <c r="L8" t="s">
        <v>191</v>
      </c>
      <c r="M8" t="s">
        <v>61</v>
      </c>
      <c r="N8">
        <v>3495</v>
      </c>
      <c r="O8">
        <v>3495</v>
      </c>
      <c r="P8">
        <v>1</v>
      </c>
      <c r="Q8">
        <v>3495</v>
      </c>
      <c r="R8">
        <v>699</v>
      </c>
      <c r="S8">
        <v>0</v>
      </c>
      <c r="T8">
        <v>2796</v>
      </c>
      <c r="U8" t="s">
        <v>39</v>
      </c>
    </row>
    <row r="9" spans="1:21" x14ac:dyDescent="0.2">
      <c r="A9" t="s">
        <v>62</v>
      </c>
      <c r="B9" t="s">
        <v>187</v>
      </c>
      <c r="C9" t="s">
        <v>188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>
        <v>8905202269403</v>
      </c>
      <c r="J9" t="s">
        <v>192</v>
      </c>
      <c r="K9">
        <v>8905202269403</v>
      </c>
      <c r="L9" t="s">
        <v>149</v>
      </c>
      <c r="M9" t="s">
        <v>38</v>
      </c>
      <c r="N9">
        <v>4495</v>
      </c>
      <c r="O9">
        <v>4495</v>
      </c>
      <c r="P9">
        <v>1</v>
      </c>
      <c r="Q9">
        <v>4495</v>
      </c>
      <c r="R9">
        <v>899</v>
      </c>
      <c r="S9">
        <v>0</v>
      </c>
      <c r="T9">
        <v>3596</v>
      </c>
      <c r="U9" t="s">
        <v>39</v>
      </c>
    </row>
    <row r="10" spans="1:21" x14ac:dyDescent="0.2">
      <c r="A10" t="s">
        <v>62</v>
      </c>
      <c r="B10" t="s">
        <v>185</v>
      </c>
      <c r="C10" t="s">
        <v>186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>
        <v>8905202264729</v>
      </c>
      <c r="J10" t="s">
        <v>28</v>
      </c>
      <c r="K10">
        <v>8905202264729</v>
      </c>
      <c r="L10" t="s">
        <v>29</v>
      </c>
      <c r="M10" t="s">
        <v>30</v>
      </c>
      <c r="N10">
        <v>2995</v>
      </c>
      <c r="O10">
        <v>2995</v>
      </c>
      <c r="P10">
        <v>1</v>
      </c>
      <c r="Q10">
        <v>2995</v>
      </c>
      <c r="R10">
        <v>599</v>
      </c>
      <c r="S10">
        <v>0</v>
      </c>
      <c r="T10">
        <v>2396</v>
      </c>
      <c r="U10" t="s">
        <v>45</v>
      </c>
    </row>
    <row r="11" spans="1:21" x14ac:dyDescent="0.2">
      <c r="A11" t="s">
        <v>62</v>
      </c>
      <c r="B11" t="s">
        <v>178</v>
      </c>
      <c r="C11" t="s">
        <v>179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>
        <v>8905202265016</v>
      </c>
      <c r="J11" t="s">
        <v>180</v>
      </c>
      <c r="K11">
        <v>8905202265016</v>
      </c>
      <c r="L11" t="s">
        <v>49</v>
      </c>
      <c r="M11" t="s">
        <v>38</v>
      </c>
      <c r="N11">
        <v>2995</v>
      </c>
      <c r="O11">
        <v>2995</v>
      </c>
      <c r="P11">
        <v>1</v>
      </c>
      <c r="Q11">
        <v>2995</v>
      </c>
      <c r="R11">
        <v>599</v>
      </c>
      <c r="S11">
        <v>0</v>
      </c>
      <c r="T11">
        <v>2396</v>
      </c>
      <c r="U11" t="s">
        <v>45</v>
      </c>
    </row>
    <row r="12" spans="1:21" s="47" customFormat="1" x14ac:dyDescent="0.2">
      <c r="A12" t="s">
        <v>62</v>
      </c>
      <c r="B12" t="s">
        <v>178</v>
      </c>
      <c r="C12" t="s">
        <v>181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>
        <v>8905202269335</v>
      </c>
      <c r="J12" t="s">
        <v>182</v>
      </c>
      <c r="K12" t="s">
        <v>183</v>
      </c>
      <c r="L12" t="s">
        <v>184</v>
      </c>
      <c r="M12" t="s">
        <v>61</v>
      </c>
      <c r="N12">
        <v>3495</v>
      </c>
      <c r="O12">
        <v>3495</v>
      </c>
      <c r="P12">
        <v>1</v>
      </c>
      <c r="Q12">
        <v>3495</v>
      </c>
      <c r="R12">
        <v>699</v>
      </c>
      <c r="S12">
        <v>0</v>
      </c>
      <c r="T12">
        <v>2796</v>
      </c>
      <c r="U12" t="s">
        <v>45</v>
      </c>
    </row>
    <row r="13" spans="1:21" x14ac:dyDescent="0.2">
      <c r="A13" t="s">
        <v>62</v>
      </c>
      <c r="B13" t="s">
        <v>175</v>
      </c>
      <c r="C13" t="s">
        <v>176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>
        <v>8905202269380</v>
      </c>
      <c r="J13" t="s">
        <v>177</v>
      </c>
      <c r="K13">
        <v>8905202269380</v>
      </c>
      <c r="L13" t="s">
        <v>60</v>
      </c>
      <c r="M13" t="s">
        <v>61</v>
      </c>
      <c r="N13">
        <v>4495</v>
      </c>
      <c r="O13">
        <v>4495</v>
      </c>
      <c r="P13">
        <v>1</v>
      </c>
      <c r="Q13">
        <v>4495</v>
      </c>
      <c r="R13">
        <v>899</v>
      </c>
      <c r="S13">
        <v>0</v>
      </c>
      <c r="T13">
        <v>3596</v>
      </c>
      <c r="U13" t="s">
        <v>45</v>
      </c>
    </row>
    <row r="14" spans="1:21" x14ac:dyDescent="0.2">
      <c r="A14" t="s">
        <v>62</v>
      </c>
      <c r="B14" t="s">
        <v>170</v>
      </c>
      <c r="C14" t="s">
        <v>171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8905202264811</v>
      </c>
      <c r="J14" t="s">
        <v>172</v>
      </c>
      <c r="K14">
        <v>8905202264811</v>
      </c>
      <c r="L14" t="s">
        <v>173</v>
      </c>
      <c r="M14" t="s">
        <v>38</v>
      </c>
      <c r="N14">
        <v>4495</v>
      </c>
      <c r="O14">
        <v>4495</v>
      </c>
      <c r="P14">
        <v>1</v>
      </c>
      <c r="Q14">
        <v>4495</v>
      </c>
      <c r="R14">
        <v>899</v>
      </c>
      <c r="S14">
        <v>0</v>
      </c>
      <c r="T14">
        <v>3596</v>
      </c>
      <c r="U14" t="s">
        <v>45</v>
      </c>
    </row>
    <row r="15" spans="1:21" x14ac:dyDescent="0.2">
      <c r="A15" t="s">
        <v>62</v>
      </c>
      <c r="B15" t="s">
        <v>170</v>
      </c>
      <c r="C15" t="s">
        <v>171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>
        <v>8905202264972</v>
      </c>
      <c r="J15" t="s">
        <v>174</v>
      </c>
      <c r="K15">
        <v>8905202264972</v>
      </c>
      <c r="L15" t="s">
        <v>144</v>
      </c>
      <c r="M15" t="s">
        <v>44</v>
      </c>
      <c r="N15">
        <v>2495</v>
      </c>
      <c r="O15">
        <v>2495</v>
      </c>
      <c r="P15">
        <v>1</v>
      </c>
      <c r="Q15">
        <v>2495</v>
      </c>
      <c r="R15">
        <v>499</v>
      </c>
      <c r="S15">
        <v>0</v>
      </c>
      <c r="T15">
        <v>1996</v>
      </c>
      <c r="U15" t="s">
        <v>45</v>
      </c>
    </row>
    <row r="16" spans="1:21" x14ac:dyDescent="0.2">
      <c r="A16" t="s">
        <v>62</v>
      </c>
      <c r="B16" t="s">
        <v>158</v>
      </c>
      <c r="C16" t="s">
        <v>159</v>
      </c>
      <c r="D16" t="s">
        <v>23</v>
      </c>
      <c r="E16" t="s">
        <v>24</v>
      </c>
      <c r="F16" t="s">
        <v>25</v>
      </c>
      <c r="G16" t="s">
        <v>160</v>
      </c>
      <c r="H16" t="s">
        <v>27</v>
      </c>
      <c r="I16">
        <v>8905202263135</v>
      </c>
      <c r="J16" t="s">
        <v>161</v>
      </c>
      <c r="K16" t="s">
        <v>162</v>
      </c>
      <c r="L16" t="s">
        <v>163</v>
      </c>
      <c r="M16" t="s">
        <v>38</v>
      </c>
      <c r="N16">
        <v>5495</v>
      </c>
      <c r="O16">
        <v>5495</v>
      </c>
      <c r="P16">
        <v>1</v>
      </c>
      <c r="Q16">
        <v>5495</v>
      </c>
      <c r="R16">
        <v>2198</v>
      </c>
      <c r="S16">
        <v>0</v>
      </c>
      <c r="T16">
        <v>3297</v>
      </c>
      <c r="U16" t="s">
        <v>45</v>
      </c>
    </row>
    <row r="17" spans="1:21" x14ac:dyDescent="0.2">
      <c r="A17" t="s">
        <v>62</v>
      </c>
      <c r="B17" t="s">
        <v>158</v>
      </c>
      <c r="C17" t="s">
        <v>164</v>
      </c>
      <c r="D17" t="s">
        <v>23</v>
      </c>
      <c r="E17" t="s">
        <v>24</v>
      </c>
      <c r="F17" t="s">
        <v>25</v>
      </c>
      <c r="G17" t="s">
        <v>160</v>
      </c>
      <c r="H17" t="s">
        <v>27</v>
      </c>
      <c r="I17">
        <v>8905202263142</v>
      </c>
      <c r="J17" t="s">
        <v>165</v>
      </c>
      <c r="K17" t="s">
        <v>166</v>
      </c>
      <c r="L17" t="s">
        <v>167</v>
      </c>
      <c r="M17" t="s">
        <v>54</v>
      </c>
      <c r="N17">
        <v>5495</v>
      </c>
      <c r="O17">
        <v>5495</v>
      </c>
      <c r="P17">
        <v>1</v>
      </c>
      <c r="Q17">
        <v>5495</v>
      </c>
      <c r="R17">
        <v>2198</v>
      </c>
      <c r="S17">
        <v>0</v>
      </c>
      <c r="T17">
        <v>3297</v>
      </c>
      <c r="U17" t="s">
        <v>50</v>
      </c>
    </row>
    <row r="18" spans="1:21" x14ac:dyDescent="0.2">
      <c r="A18" t="s">
        <v>62</v>
      </c>
      <c r="B18" t="s">
        <v>158</v>
      </c>
      <c r="C18" t="s">
        <v>164</v>
      </c>
      <c r="D18" t="s">
        <v>23</v>
      </c>
      <c r="E18" t="s">
        <v>24</v>
      </c>
      <c r="F18" t="s">
        <v>25</v>
      </c>
      <c r="G18" t="s">
        <v>160</v>
      </c>
      <c r="H18" t="s">
        <v>27</v>
      </c>
      <c r="I18">
        <v>8905202264477</v>
      </c>
      <c r="J18" t="s">
        <v>168</v>
      </c>
      <c r="K18">
        <v>8905202264477</v>
      </c>
      <c r="L18" t="s">
        <v>169</v>
      </c>
      <c r="M18" t="s">
        <v>61</v>
      </c>
      <c r="N18">
        <v>5495</v>
      </c>
      <c r="O18">
        <v>5495</v>
      </c>
      <c r="P18">
        <v>1</v>
      </c>
      <c r="Q18">
        <v>5495</v>
      </c>
      <c r="R18">
        <v>2198</v>
      </c>
      <c r="S18">
        <v>0</v>
      </c>
      <c r="T18">
        <v>3297</v>
      </c>
      <c r="U18" t="s">
        <v>50</v>
      </c>
    </row>
    <row r="19" spans="1:21" x14ac:dyDescent="0.2">
      <c r="A19" t="s">
        <v>62</v>
      </c>
      <c r="B19" t="s">
        <v>153</v>
      </c>
      <c r="C19" t="s">
        <v>154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>
        <v>8905202269434</v>
      </c>
      <c r="J19" t="s">
        <v>155</v>
      </c>
      <c r="K19" t="s">
        <v>156</v>
      </c>
      <c r="L19" t="s">
        <v>157</v>
      </c>
      <c r="M19" t="s">
        <v>61</v>
      </c>
      <c r="N19">
        <v>3995</v>
      </c>
      <c r="O19">
        <v>3995</v>
      </c>
      <c r="P19">
        <v>1</v>
      </c>
      <c r="Q19">
        <v>3995</v>
      </c>
      <c r="R19">
        <v>799</v>
      </c>
      <c r="S19">
        <v>0</v>
      </c>
      <c r="T19">
        <v>3196</v>
      </c>
      <c r="U19" t="s">
        <v>45</v>
      </c>
    </row>
    <row r="20" spans="1:21" x14ac:dyDescent="0.2">
      <c r="A20" s="48" t="s">
        <v>62</v>
      </c>
      <c r="B20" s="48" t="s">
        <v>178</v>
      </c>
      <c r="C20" s="48" t="s">
        <v>188</v>
      </c>
      <c r="D20" s="48" t="s">
        <v>23</v>
      </c>
      <c r="E20" s="48" t="s">
        <v>24</v>
      </c>
      <c r="F20" s="48" t="s">
        <v>25</v>
      </c>
      <c r="G20" s="48" t="s">
        <v>26</v>
      </c>
      <c r="H20" s="48" t="s">
        <v>27</v>
      </c>
      <c r="I20" s="48">
        <v>8905202269403</v>
      </c>
      <c r="J20" s="48" t="s">
        <v>192</v>
      </c>
      <c r="K20" s="48">
        <v>8905202269403</v>
      </c>
      <c r="L20" s="48" t="s">
        <v>149</v>
      </c>
      <c r="M20" s="48" t="s">
        <v>38</v>
      </c>
      <c r="N20" s="48">
        <v>4495</v>
      </c>
      <c r="O20" s="48">
        <v>4495</v>
      </c>
      <c r="P20" s="48">
        <v>-1</v>
      </c>
      <c r="Q20" s="48">
        <v>-4495</v>
      </c>
      <c r="R20" s="48">
        <v>-899</v>
      </c>
      <c r="S20" s="48">
        <v>0</v>
      </c>
      <c r="T20" s="48">
        <v>-3596</v>
      </c>
      <c r="U20" s="48" t="s">
        <v>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43BD-79B8-664D-A5DD-E986EDC1EA2D}">
  <dimension ref="A1:U10"/>
  <sheetViews>
    <sheetView workbookViewId="0">
      <selection activeCell="A2" sqref="A2:U10"/>
    </sheetView>
  </sheetViews>
  <sheetFormatPr baseColWidth="10" defaultColWidth="10.83203125" defaultRowHeight="15" x14ac:dyDescent="0.2"/>
  <cols>
    <col min="11" max="11" width="20.6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62</v>
      </c>
      <c r="B2" t="s">
        <v>211</v>
      </c>
      <c r="C2" t="s">
        <v>212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8905202265047</v>
      </c>
      <c r="J2" t="s">
        <v>213</v>
      </c>
      <c r="K2" t="s">
        <v>214</v>
      </c>
      <c r="L2" t="s">
        <v>184</v>
      </c>
      <c r="M2" t="s">
        <v>61</v>
      </c>
      <c r="N2">
        <v>2995</v>
      </c>
      <c r="O2">
        <v>2995</v>
      </c>
      <c r="P2">
        <v>1</v>
      </c>
      <c r="Q2">
        <v>2995</v>
      </c>
      <c r="R2">
        <v>0</v>
      </c>
      <c r="S2">
        <v>0</v>
      </c>
      <c r="T2">
        <v>2995</v>
      </c>
      <c r="U2" t="s">
        <v>45</v>
      </c>
    </row>
    <row r="3" spans="1:21" x14ac:dyDescent="0.2">
      <c r="A3" t="s">
        <v>62</v>
      </c>
      <c r="B3" t="s">
        <v>215</v>
      </c>
      <c r="C3" t="s">
        <v>216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8905202264774</v>
      </c>
      <c r="J3" t="s">
        <v>217</v>
      </c>
      <c r="K3" t="s">
        <v>218</v>
      </c>
      <c r="L3" t="s">
        <v>144</v>
      </c>
      <c r="M3" t="s">
        <v>44</v>
      </c>
      <c r="N3">
        <v>2495</v>
      </c>
      <c r="O3">
        <v>2495</v>
      </c>
      <c r="P3">
        <v>1</v>
      </c>
      <c r="Q3">
        <v>2495</v>
      </c>
      <c r="R3">
        <v>748.5</v>
      </c>
      <c r="S3">
        <v>0</v>
      </c>
      <c r="T3">
        <v>1746.5</v>
      </c>
      <c r="U3" t="s">
        <v>50</v>
      </c>
    </row>
    <row r="4" spans="1:21" x14ac:dyDescent="0.2">
      <c r="A4" t="s">
        <v>62</v>
      </c>
      <c r="B4" t="s">
        <v>219</v>
      </c>
      <c r="C4" t="s">
        <v>220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8905202264743</v>
      </c>
      <c r="J4" t="s">
        <v>221</v>
      </c>
      <c r="K4" t="s">
        <v>222</v>
      </c>
      <c r="L4" t="s">
        <v>191</v>
      </c>
      <c r="M4" t="s">
        <v>61</v>
      </c>
      <c r="N4">
        <v>2495</v>
      </c>
      <c r="O4">
        <v>2495</v>
      </c>
      <c r="P4">
        <v>1</v>
      </c>
      <c r="Q4">
        <v>2495</v>
      </c>
      <c r="R4">
        <v>748.5</v>
      </c>
      <c r="S4">
        <v>0</v>
      </c>
      <c r="T4">
        <v>1746.5</v>
      </c>
      <c r="U4" t="s">
        <v>45</v>
      </c>
    </row>
    <row r="5" spans="1:21" x14ac:dyDescent="0.2">
      <c r="A5" t="s">
        <v>62</v>
      </c>
      <c r="B5" t="s">
        <v>219</v>
      </c>
      <c r="C5" t="s">
        <v>223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8905202269434</v>
      </c>
      <c r="J5" t="s">
        <v>155</v>
      </c>
      <c r="K5" t="s">
        <v>156</v>
      </c>
      <c r="L5" t="s">
        <v>157</v>
      </c>
      <c r="M5" t="s">
        <v>61</v>
      </c>
      <c r="N5">
        <v>3995</v>
      </c>
      <c r="O5">
        <v>3995</v>
      </c>
      <c r="P5">
        <v>1</v>
      </c>
      <c r="Q5">
        <v>3995</v>
      </c>
      <c r="R5">
        <v>1198.5</v>
      </c>
      <c r="S5">
        <v>279.64999999999998</v>
      </c>
      <c r="T5">
        <v>2516.85</v>
      </c>
      <c r="U5" t="s">
        <v>50</v>
      </c>
    </row>
    <row r="6" spans="1:21" x14ac:dyDescent="0.2">
      <c r="A6" t="s">
        <v>62</v>
      </c>
      <c r="B6" t="s">
        <v>224</v>
      </c>
      <c r="C6" t="s">
        <v>225</v>
      </c>
      <c r="D6" t="s">
        <v>23</v>
      </c>
      <c r="E6" t="s">
        <v>24</v>
      </c>
      <c r="F6" t="s">
        <v>25</v>
      </c>
      <c r="G6" t="s">
        <v>160</v>
      </c>
      <c r="H6" t="s">
        <v>27</v>
      </c>
      <c r="I6">
        <v>8905202264378</v>
      </c>
      <c r="J6" t="s">
        <v>226</v>
      </c>
      <c r="K6">
        <v>8905202264378</v>
      </c>
      <c r="L6" t="s">
        <v>227</v>
      </c>
      <c r="M6" t="s">
        <v>44</v>
      </c>
      <c r="N6">
        <v>5495</v>
      </c>
      <c r="O6">
        <v>5495</v>
      </c>
      <c r="P6">
        <v>1</v>
      </c>
      <c r="Q6">
        <v>5495</v>
      </c>
      <c r="R6">
        <v>2747.5</v>
      </c>
      <c r="S6">
        <v>0</v>
      </c>
      <c r="T6">
        <v>2747.5</v>
      </c>
      <c r="U6" t="s">
        <v>45</v>
      </c>
    </row>
    <row r="7" spans="1:21" s="47" customFormat="1" x14ac:dyDescent="0.2">
      <c r="A7" t="s">
        <v>62</v>
      </c>
      <c r="B7" t="s">
        <v>228</v>
      </c>
      <c r="C7" t="s">
        <v>229</v>
      </c>
      <c r="D7" t="s">
        <v>23</v>
      </c>
      <c r="E7" t="s">
        <v>24</v>
      </c>
      <c r="F7" t="s">
        <v>25</v>
      </c>
      <c r="G7" t="s">
        <v>160</v>
      </c>
      <c r="H7" t="s">
        <v>27</v>
      </c>
      <c r="I7">
        <v>8905202263104</v>
      </c>
      <c r="J7" t="s">
        <v>205</v>
      </c>
      <c r="K7" t="s">
        <v>206</v>
      </c>
      <c r="L7" t="s">
        <v>207</v>
      </c>
      <c r="M7" t="s">
        <v>44</v>
      </c>
      <c r="N7">
        <v>5495</v>
      </c>
      <c r="O7">
        <v>5495</v>
      </c>
      <c r="P7">
        <v>1</v>
      </c>
      <c r="Q7">
        <v>5495</v>
      </c>
      <c r="R7">
        <v>2747.5</v>
      </c>
      <c r="S7">
        <v>0</v>
      </c>
      <c r="T7">
        <v>2747.5</v>
      </c>
      <c r="U7" t="s">
        <v>45</v>
      </c>
    </row>
    <row r="8" spans="1:21" x14ac:dyDescent="0.2">
      <c r="A8" t="s">
        <v>62</v>
      </c>
      <c r="B8" t="s">
        <v>230</v>
      </c>
      <c r="C8" t="s">
        <v>231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8905202264927</v>
      </c>
      <c r="J8" t="s">
        <v>232</v>
      </c>
      <c r="K8" t="s">
        <v>233</v>
      </c>
      <c r="L8" t="s">
        <v>123</v>
      </c>
      <c r="M8" t="s">
        <v>44</v>
      </c>
      <c r="N8">
        <v>2995</v>
      </c>
      <c r="O8">
        <v>2995</v>
      </c>
      <c r="P8">
        <v>1</v>
      </c>
      <c r="Q8">
        <v>2995</v>
      </c>
      <c r="R8">
        <v>898.5</v>
      </c>
      <c r="S8">
        <v>0</v>
      </c>
      <c r="T8">
        <v>2096.5</v>
      </c>
      <c r="U8" t="s">
        <v>39</v>
      </c>
    </row>
    <row r="9" spans="1:21" x14ac:dyDescent="0.2">
      <c r="A9" t="s">
        <v>62</v>
      </c>
      <c r="B9" t="s">
        <v>234</v>
      </c>
      <c r="C9" t="s">
        <v>235</v>
      </c>
      <c r="D9" t="s">
        <v>23</v>
      </c>
      <c r="E9" t="s">
        <v>24</v>
      </c>
      <c r="F9" t="s">
        <v>25</v>
      </c>
      <c r="G9" t="s">
        <v>160</v>
      </c>
      <c r="H9" t="s">
        <v>27</v>
      </c>
      <c r="I9">
        <v>8905202264293</v>
      </c>
      <c r="J9" t="s">
        <v>236</v>
      </c>
      <c r="K9">
        <v>8905202264293</v>
      </c>
      <c r="L9" t="s">
        <v>237</v>
      </c>
      <c r="M9" t="s">
        <v>61</v>
      </c>
      <c r="N9">
        <v>5495</v>
      </c>
      <c r="O9">
        <v>5495</v>
      </c>
      <c r="P9">
        <v>1</v>
      </c>
      <c r="Q9">
        <v>5495</v>
      </c>
      <c r="R9">
        <v>0</v>
      </c>
      <c r="S9">
        <v>0</v>
      </c>
      <c r="T9">
        <v>5495</v>
      </c>
      <c r="U9" t="s">
        <v>55</v>
      </c>
    </row>
    <row r="10" spans="1:21" x14ac:dyDescent="0.2">
      <c r="A10" s="48" t="s">
        <v>62</v>
      </c>
      <c r="B10" s="48" t="s">
        <v>228</v>
      </c>
      <c r="C10" s="48" t="s">
        <v>231</v>
      </c>
      <c r="D10" s="48" t="s">
        <v>23</v>
      </c>
      <c r="E10" s="48" t="s">
        <v>24</v>
      </c>
      <c r="F10" s="48" t="s">
        <v>25</v>
      </c>
      <c r="G10" s="48" t="s">
        <v>26</v>
      </c>
      <c r="H10" s="48" t="s">
        <v>27</v>
      </c>
      <c r="I10" s="48">
        <v>8905202264927</v>
      </c>
      <c r="J10" s="48" t="s">
        <v>232</v>
      </c>
      <c r="K10" s="48" t="s">
        <v>233</v>
      </c>
      <c r="L10" s="48" t="s">
        <v>123</v>
      </c>
      <c r="M10" s="48" t="s">
        <v>44</v>
      </c>
      <c r="N10" s="48">
        <v>2995</v>
      </c>
      <c r="O10" s="48">
        <v>2995</v>
      </c>
      <c r="P10" s="48">
        <v>-1</v>
      </c>
      <c r="Q10" s="48">
        <v>-2995</v>
      </c>
      <c r="R10" s="48">
        <v>-898.5</v>
      </c>
      <c r="S10" s="48">
        <v>0</v>
      </c>
      <c r="T10" s="48">
        <v>-2096.5</v>
      </c>
      <c r="U10" s="48" t="s">
        <v>647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CEF2-0283-0941-B56F-0D17866F630E}">
  <dimension ref="A1:U54"/>
  <sheetViews>
    <sheetView workbookViewId="0">
      <selection activeCell="A2" sqref="A2:U54"/>
    </sheetView>
  </sheetViews>
  <sheetFormatPr baseColWidth="10" defaultColWidth="10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62</v>
      </c>
      <c r="B2" t="s">
        <v>134</v>
      </c>
      <c r="C2" t="s">
        <v>135</v>
      </c>
      <c r="D2" t="s">
        <v>23</v>
      </c>
      <c r="E2" t="s">
        <v>136</v>
      </c>
      <c r="F2" t="s">
        <v>25</v>
      </c>
      <c r="G2" t="s">
        <v>26</v>
      </c>
      <c r="H2" t="s">
        <v>27</v>
      </c>
      <c r="I2">
        <v>8905202268901</v>
      </c>
      <c r="J2" t="s">
        <v>137</v>
      </c>
      <c r="K2">
        <v>8905202268901</v>
      </c>
      <c r="L2" t="s">
        <v>138</v>
      </c>
      <c r="M2" t="s">
        <v>61</v>
      </c>
      <c r="N2">
        <v>1995</v>
      </c>
      <c r="O2">
        <v>1995</v>
      </c>
      <c r="P2">
        <v>1</v>
      </c>
      <c r="Q2">
        <v>1995</v>
      </c>
      <c r="R2">
        <v>0</v>
      </c>
      <c r="S2">
        <v>0</v>
      </c>
      <c r="T2">
        <v>1995</v>
      </c>
      <c r="U2" t="s">
        <v>39</v>
      </c>
    </row>
    <row r="3" spans="1:21" x14ac:dyDescent="0.2">
      <c r="A3" t="s">
        <v>62</v>
      </c>
      <c r="B3" t="s">
        <v>134</v>
      </c>
      <c r="C3" t="s">
        <v>135</v>
      </c>
      <c r="D3" t="s">
        <v>23</v>
      </c>
      <c r="E3" t="s">
        <v>136</v>
      </c>
      <c r="F3" t="s">
        <v>25</v>
      </c>
      <c r="G3" t="s">
        <v>26</v>
      </c>
      <c r="H3" t="s">
        <v>27</v>
      </c>
      <c r="I3">
        <v>8905202269250</v>
      </c>
      <c r="J3" t="s">
        <v>139</v>
      </c>
      <c r="K3">
        <v>8905202269250</v>
      </c>
      <c r="L3" t="s">
        <v>140</v>
      </c>
      <c r="M3" t="s">
        <v>61</v>
      </c>
      <c r="N3">
        <v>1995</v>
      </c>
      <c r="O3">
        <v>1995</v>
      </c>
      <c r="P3">
        <v>1</v>
      </c>
      <c r="Q3">
        <v>1995</v>
      </c>
      <c r="R3">
        <v>0</v>
      </c>
      <c r="S3">
        <v>0</v>
      </c>
      <c r="T3">
        <v>1995</v>
      </c>
      <c r="U3" t="s">
        <v>39</v>
      </c>
    </row>
    <row r="4" spans="1:21" x14ac:dyDescent="0.2">
      <c r="A4" t="s">
        <v>62</v>
      </c>
      <c r="B4" t="s">
        <v>134</v>
      </c>
      <c r="C4" t="s">
        <v>141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8905202269076</v>
      </c>
      <c r="J4" t="s">
        <v>142</v>
      </c>
      <c r="K4" t="s">
        <v>143</v>
      </c>
      <c r="L4" t="s">
        <v>144</v>
      </c>
      <c r="M4" t="s">
        <v>44</v>
      </c>
      <c r="N4">
        <v>3495</v>
      </c>
      <c r="O4">
        <v>3495</v>
      </c>
      <c r="P4">
        <v>1</v>
      </c>
      <c r="Q4">
        <v>3495</v>
      </c>
      <c r="R4">
        <v>0</v>
      </c>
      <c r="S4">
        <v>0</v>
      </c>
      <c r="T4">
        <v>3495</v>
      </c>
      <c r="U4" t="s">
        <v>145</v>
      </c>
    </row>
    <row r="5" spans="1:21" x14ac:dyDescent="0.2">
      <c r="A5" t="s">
        <v>62</v>
      </c>
      <c r="B5" t="s">
        <v>134</v>
      </c>
      <c r="C5" t="s">
        <v>146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8905202264866</v>
      </c>
      <c r="J5" t="s">
        <v>147</v>
      </c>
      <c r="K5" t="s">
        <v>148</v>
      </c>
      <c r="L5" t="s">
        <v>149</v>
      </c>
      <c r="M5" t="s">
        <v>38</v>
      </c>
      <c r="N5">
        <v>3995</v>
      </c>
      <c r="O5">
        <v>3995</v>
      </c>
      <c r="P5">
        <v>1</v>
      </c>
      <c r="Q5">
        <v>3995</v>
      </c>
      <c r="R5">
        <v>0</v>
      </c>
      <c r="S5">
        <v>0</v>
      </c>
      <c r="T5">
        <v>3995</v>
      </c>
      <c r="U5" t="s">
        <v>55</v>
      </c>
    </row>
    <row r="6" spans="1:21" x14ac:dyDescent="0.2">
      <c r="A6" t="s">
        <v>62</v>
      </c>
      <c r="B6" t="s">
        <v>132</v>
      </c>
      <c r="C6" t="s">
        <v>133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8905202269328</v>
      </c>
      <c r="J6" t="s">
        <v>121</v>
      </c>
      <c r="K6" t="s">
        <v>122</v>
      </c>
      <c r="L6" t="s">
        <v>123</v>
      </c>
      <c r="M6" t="s">
        <v>44</v>
      </c>
      <c r="N6">
        <v>3495</v>
      </c>
      <c r="O6">
        <v>3495</v>
      </c>
      <c r="P6">
        <v>1</v>
      </c>
      <c r="Q6">
        <v>3495</v>
      </c>
      <c r="R6">
        <v>0</v>
      </c>
      <c r="S6">
        <v>0</v>
      </c>
      <c r="T6">
        <v>3495</v>
      </c>
      <c r="U6" t="s">
        <v>45</v>
      </c>
    </row>
    <row r="7" spans="1:21" x14ac:dyDescent="0.2">
      <c r="A7" t="s">
        <v>62</v>
      </c>
      <c r="B7" t="s">
        <v>128</v>
      </c>
      <c r="C7" t="s">
        <v>129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>
        <v>8905202264873</v>
      </c>
      <c r="J7" t="s">
        <v>130</v>
      </c>
      <c r="K7" t="s">
        <v>131</v>
      </c>
      <c r="L7" t="s">
        <v>94</v>
      </c>
      <c r="M7" t="s">
        <v>44</v>
      </c>
      <c r="N7">
        <v>3995</v>
      </c>
      <c r="O7">
        <v>3995</v>
      </c>
      <c r="P7">
        <v>1</v>
      </c>
      <c r="Q7">
        <v>3995</v>
      </c>
      <c r="R7">
        <v>0</v>
      </c>
      <c r="S7">
        <v>0</v>
      </c>
      <c r="T7">
        <v>3995</v>
      </c>
      <c r="U7" t="s">
        <v>50</v>
      </c>
    </row>
    <row r="8" spans="1:21" x14ac:dyDescent="0.2">
      <c r="A8" t="s">
        <v>62</v>
      </c>
      <c r="B8" t="s">
        <v>124</v>
      </c>
      <c r="C8" t="s">
        <v>125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8905202269359</v>
      </c>
      <c r="J8" t="s">
        <v>126</v>
      </c>
      <c r="K8" t="s">
        <v>127</v>
      </c>
      <c r="L8" t="s">
        <v>87</v>
      </c>
      <c r="M8" t="s">
        <v>38</v>
      </c>
      <c r="N8">
        <v>3495</v>
      </c>
      <c r="O8">
        <v>3495</v>
      </c>
      <c r="P8">
        <v>1</v>
      </c>
      <c r="Q8">
        <v>3495</v>
      </c>
      <c r="R8">
        <v>0</v>
      </c>
      <c r="S8">
        <v>0</v>
      </c>
      <c r="T8">
        <v>3495</v>
      </c>
      <c r="U8" t="s">
        <v>50</v>
      </c>
    </row>
    <row r="9" spans="1:21" x14ac:dyDescent="0.2">
      <c r="A9" t="s">
        <v>62</v>
      </c>
      <c r="B9" t="s">
        <v>119</v>
      </c>
      <c r="C9" t="s">
        <v>120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>
        <v>8905202269328</v>
      </c>
      <c r="J9" t="s">
        <v>121</v>
      </c>
      <c r="K9" t="s">
        <v>122</v>
      </c>
      <c r="L9" t="s">
        <v>123</v>
      </c>
      <c r="M9" t="s">
        <v>44</v>
      </c>
      <c r="N9">
        <v>3495</v>
      </c>
      <c r="O9">
        <v>3495</v>
      </c>
      <c r="P9">
        <v>1</v>
      </c>
      <c r="Q9">
        <v>3495</v>
      </c>
      <c r="R9">
        <v>0</v>
      </c>
      <c r="S9">
        <v>0</v>
      </c>
      <c r="T9">
        <v>3495</v>
      </c>
      <c r="U9" t="s">
        <v>45</v>
      </c>
    </row>
    <row r="10" spans="1:21" x14ac:dyDescent="0.2">
      <c r="A10" t="s">
        <v>62</v>
      </c>
      <c r="B10" t="s">
        <v>114</v>
      </c>
      <c r="C10" t="s">
        <v>115</v>
      </c>
      <c r="D10" t="s">
        <v>23</v>
      </c>
      <c r="E10" t="s">
        <v>24</v>
      </c>
      <c r="F10" t="s">
        <v>25</v>
      </c>
      <c r="G10" t="s">
        <v>34</v>
      </c>
      <c r="H10" t="s">
        <v>27</v>
      </c>
      <c r="I10">
        <v>8905302263225</v>
      </c>
      <c r="J10" t="s">
        <v>116</v>
      </c>
      <c r="K10" t="s">
        <v>117</v>
      </c>
      <c r="L10" t="s">
        <v>118</v>
      </c>
      <c r="M10" t="s">
        <v>44</v>
      </c>
      <c r="N10">
        <v>5999</v>
      </c>
      <c r="O10">
        <v>5999</v>
      </c>
      <c r="P10">
        <v>1</v>
      </c>
      <c r="Q10">
        <v>5999</v>
      </c>
      <c r="R10">
        <v>0</v>
      </c>
      <c r="S10">
        <v>0</v>
      </c>
      <c r="T10">
        <v>5999</v>
      </c>
      <c r="U10" t="s">
        <v>45</v>
      </c>
    </row>
    <row r="11" spans="1:21" x14ac:dyDescent="0.2">
      <c r="A11" t="s">
        <v>62</v>
      </c>
      <c r="B11" t="s">
        <v>106</v>
      </c>
      <c r="C11" t="s">
        <v>107</v>
      </c>
      <c r="D11" t="s">
        <v>23</v>
      </c>
      <c r="E11" t="s">
        <v>24</v>
      </c>
      <c r="F11" t="s">
        <v>25</v>
      </c>
      <c r="G11" t="s">
        <v>34</v>
      </c>
      <c r="H11" t="s">
        <v>27</v>
      </c>
      <c r="I11">
        <v>8905302263224</v>
      </c>
      <c r="J11" t="s">
        <v>108</v>
      </c>
      <c r="K11" t="s">
        <v>109</v>
      </c>
      <c r="L11" t="s">
        <v>110</v>
      </c>
      <c r="M11" t="s">
        <v>61</v>
      </c>
      <c r="N11">
        <v>5999</v>
      </c>
      <c r="O11">
        <v>5999</v>
      </c>
      <c r="P11">
        <v>1</v>
      </c>
      <c r="Q11">
        <v>5999</v>
      </c>
      <c r="R11">
        <v>1799.7</v>
      </c>
      <c r="S11">
        <v>0</v>
      </c>
      <c r="T11">
        <v>4199.3</v>
      </c>
      <c r="U11" t="s">
        <v>55</v>
      </c>
    </row>
    <row r="12" spans="1:21" x14ac:dyDescent="0.2">
      <c r="A12" t="s">
        <v>62</v>
      </c>
      <c r="B12" t="s">
        <v>106</v>
      </c>
      <c r="C12" t="s">
        <v>107</v>
      </c>
      <c r="D12" t="s">
        <v>23</v>
      </c>
      <c r="E12" t="s">
        <v>24</v>
      </c>
      <c r="F12" t="s">
        <v>25</v>
      </c>
      <c r="G12" t="s">
        <v>34</v>
      </c>
      <c r="H12" t="s">
        <v>27</v>
      </c>
      <c r="I12">
        <v>8905302263227</v>
      </c>
      <c r="J12" t="s">
        <v>111</v>
      </c>
      <c r="K12" t="s">
        <v>112</v>
      </c>
      <c r="L12" t="s">
        <v>113</v>
      </c>
      <c r="M12" t="s">
        <v>61</v>
      </c>
      <c r="N12">
        <v>5999</v>
      </c>
      <c r="O12">
        <v>5999</v>
      </c>
      <c r="P12">
        <v>1</v>
      </c>
      <c r="Q12">
        <v>5999</v>
      </c>
      <c r="R12">
        <v>1799.7</v>
      </c>
      <c r="S12">
        <v>0</v>
      </c>
      <c r="T12">
        <v>4199.3</v>
      </c>
      <c r="U12" t="s">
        <v>55</v>
      </c>
    </row>
    <row r="13" spans="1:21" x14ac:dyDescent="0.2">
      <c r="A13" t="s">
        <v>62</v>
      </c>
      <c r="B13" t="s">
        <v>79</v>
      </c>
      <c r="C13" t="s">
        <v>80</v>
      </c>
      <c r="D13" t="s">
        <v>23</v>
      </c>
      <c r="E13" t="s">
        <v>24</v>
      </c>
      <c r="F13" t="s">
        <v>64</v>
      </c>
      <c r="G13" t="s">
        <v>65</v>
      </c>
      <c r="H13" t="s">
        <v>27</v>
      </c>
      <c r="I13">
        <v>8905302263213</v>
      </c>
      <c r="J13" t="s">
        <v>81</v>
      </c>
      <c r="K13" t="s">
        <v>82</v>
      </c>
      <c r="L13" t="s">
        <v>83</v>
      </c>
      <c r="M13" t="s">
        <v>84</v>
      </c>
      <c r="N13">
        <v>5999</v>
      </c>
      <c r="O13">
        <v>5999</v>
      </c>
      <c r="P13">
        <v>1</v>
      </c>
      <c r="Q13">
        <v>5999</v>
      </c>
      <c r="R13">
        <v>1799.7</v>
      </c>
      <c r="S13">
        <v>0</v>
      </c>
      <c r="T13">
        <v>4199.3</v>
      </c>
      <c r="U13" t="s">
        <v>50</v>
      </c>
    </row>
    <row r="14" spans="1:21" x14ac:dyDescent="0.2">
      <c r="A14" t="s">
        <v>62</v>
      </c>
      <c r="B14" t="s">
        <v>79</v>
      </c>
      <c r="C14" t="s">
        <v>80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8905202264910</v>
      </c>
      <c r="J14" t="s">
        <v>85</v>
      </c>
      <c r="K14" t="s">
        <v>86</v>
      </c>
      <c r="L14" t="s">
        <v>87</v>
      </c>
      <c r="M14" t="s">
        <v>38</v>
      </c>
      <c r="N14">
        <v>2995</v>
      </c>
      <c r="O14">
        <v>2995</v>
      </c>
      <c r="P14">
        <v>1</v>
      </c>
      <c r="Q14">
        <v>2995</v>
      </c>
      <c r="R14">
        <v>898.5</v>
      </c>
      <c r="S14">
        <v>0</v>
      </c>
      <c r="T14">
        <v>2096.5</v>
      </c>
      <c r="U14" t="s">
        <v>50</v>
      </c>
    </row>
    <row r="15" spans="1:21" x14ac:dyDescent="0.2">
      <c r="A15" t="s">
        <v>62</v>
      </c>
      <c r="B15" t="s">
        <v>79</v>
      </c>
      <c r="C15" t="s">
        <v>88</v>
      </c>
      <c r="D15" t="s">
        <v>23</v>
      </c>
      <c r="E15" t="s">
        <v>24</v>
      </c>
      <c r="F15" t="s">
        <v>25</v>
      </c>
      <c r="G15" t="s">
        <v>34</v>
      </c>
      <c r="H15" t="s">
        <v>27</v>
      </c>
      <c r="I15">
        <v>8905302263230</v>
      </c>
      <c r="J15" t="s">
        <v>89</v>
      </c>
      <c r="K15" t="s">
        <v>90</v>
      </c>
      <c r="L15" t="s">
        <v>91</v>
      </c>
      <c r="M15" t="s">
        <v>61</v>
      </c>
      <c r="N15">
        <v>5999</v>
      </c>
      <c r="O15">
        <v>5999</v>
      </c>
      <c r="P15">
        <v>1</v>
      </c>
      <c r="Q15">
        <v>5999</v>
      </c>
      <c r="R15">
        <v>899.85</v>
      </c>
      <c r="S15">
        <v>0</v>
      </c>
      <c r="T15">
        <v>5099.1499999999996</v>
      </c>
      <c r="U15" t="s">
        <v>45</v>
      </c>
    </row>
    <row r="16" spans="1:21" x14ac:dyDescent="0.2">
      <c r="A16" t="s">
        <v>62</v>
      </c>
      <c r="B16" t="s">
        <v>79</v>
      </c>
      <c r="C16" t="s">
        <v>92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>
        <v>8905202264606</v>
      </c>
      <c r="J16" t="s">
        <v>93</v>
      </c>
      <c r="K16">
        <v>8905202264606</v>
      </c>
      <c r="L16" t="s">
        <v>94</v>
      </c>
      <c r="M16" t="s">
        <v>44</v>
      </c>
      <c r="N16">
        <v>3495</v>
      </c>
      <c r="O16">
        <v>3495</v>
      </c>
      <c r="P16">
        <v>1</v>
      </c>
      <c r="Q16">
        <v>3495</v>
      </c>
      <c r="R16">
        <v>1048.5</v>
      </c>
      <c r="S16">
        <v>0</v>
      </c>
      <c r="T16">
        <v>2446.5</v>
      </c>
      <c r="U16" t="s">
        <v>45</v>
      </c>
    </row>
    <row r="17" spans="1:21" x14ac:dyDescent="0.2">
      <c r="A17" t="s">
        <v>62</v>
      </c>
      <c r="B17" t="s">
        <v>79</v>
      </c>
      <c r="C17" t="s">
        <v>92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8905202269427</v>
      </c>
      <c r="J17" t="s">
        <v>95</v>
      </c>
      <c r="K17" t="s">
        <v>96</v>
      </c>
      <c r="L17" t="s">
        <v>97</v>
      </c>
      <c r="M17" t="s">
        <v>44</v>
      </c>
      <c r="N17">
        <v>3995</v>
      </c>
      <c r="O17">
        <v>3995</v>
      </c>
      <c r="P17">
        <v>1</v>
      </c>
      <c r="Q17">
        <v>3995</v>
      </c>
      <c r="R17">
        <v>1198.5</v>
      </c>
      <c r="S17">
        <v>0</v>
      </c>
      <c r="T17">
        <v>2796.5</v>
      </c>
      <c r="U17" t="s">
        <v>45</v>
      </c>
    </row>
    <row r="18" spans="1:21" x14ac:dyDescent="0.2">
      <c r="A18" t="s">
        <v>62</v>
      </c>
      <c r="B18" t="s">
        <v>79</v>
      </c>
      <c r="C18" t="s">
        <v>98</v>
      </c>
      <c r="D18" t="s">
        <v>23</v>
      </c>
      <c r="E18" t="s">
        <v>24</v>
      </c>
      <c r="F18" t="s">
        <v>25</v>
      </c>
      <c r="G18" t="s">
        <v>34</v>
      </c>
      <c r="H18" t="s">
        <v>27</v>
      </c>
      <c r="I18">
        <v>8905302263245</v>
      </c>
      <c r="J18" t="s">
        <v>99</v>
      </c>
      <c r="K18" t="s">
        <v>100</v>
      </c>
      <c r="L18" t="s">
        <v>101</v>
      </c>
      <c r="M18" t="s">
        <v>44</v>
      </c>
      <c r="N18">
        <v>4495</v>
      </c>
      <c r="O18">
        <v>4495</v>
      </c>
      <c r="P18">
        <v>1</v>
      </c>
      <c r="Q18">
        <v>4495</v>
      </c>
      <c r="R18">
        <v>1348.5</v>
      </c>
      <c r="S18">
        <v>0</v>
      </c>
      <c r="T18">
        <v>3146.5</v>
      </c>
      <c r="U18" t="s">
        <v>45</v>
      </c>
    </row>
    <row r="19" spans="1:21" x14ac:dyDescent="0.2">
      <c r="A19" t="s">
        <v>62</v>
      </c>
      <c r="B19" t="s">
        <v>79</v>
      </c>
      <c r="C19" t="s">
        <v>98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>
        <v>8905202264729</v>
      </c>
      <c r="J19" t="s">
        <v>28</v>
      </c>
      <c r="K19">
        <v>8905202264729</v>
      </c>
      <c r="L19" t="s">
        <v>29</v>
      </c>
      <c r="M19" t="s">
        <v>30</v>
      </c>
      <c r="N19">
        <v>2995</v>
      </c>
      <c r="O19">
        <v>2995</v>
      </c>
      <c r="P19">
        <v>1</v>
      </c>
      <c r="Q19">
        <v>2995</v>
      </c>
      <c r="R19">
        <v>898.5</v>
      </c>
      <c r="S19">
        <v>0</v>
      </c>
      <c r="T19">
        <v>2096.5</v>
      </c>
      <c r="U19" t="s">
        <v>45</v>
      </c>
    </row>
    <row r="20" spans="1:21" x14ac:dyDescent="0.2">
      <c r="A20" t="s">
        <v>62</v>
      </c>
      <c r="B20" t="s">
        <v>79</v>
      </c>
      <c r="C20" t="s">
        <v>102</v>
      </c>
      <c r="D20" t="s">
        <v>23</v>
      </c>
      <c r="E20" t="s">
        <v>24</v>
      </c>
      <c r="F20" t="s">
        <v>64</v>
      </c>
      <c r="G20" t="s">
        <v>65</v>
      </c>
      <c r="H20" t="s">
        <v>27</v>
      </c>
      <c r="I20">
        <v>8905302263212</v>
      </c>
      <c r="J20" t="s">
        <v>103</v>
      </c>
      <c r="K20" t="s">
        <v>104</v>
      </c>
      <c r="L20" t="s">
        <v>105</v>
      </c>
      <c r="M20" t="s">
        <v>44</v>
      </c>
      <c r="N20">
        <v>5999</v>
      </c>
      <c r="O20">
        <v>5999</v>
      </c>
      <c r="P20">
        <v>1</v>
      </c>
      <c r="Q20">
        <v>5999</v>
      </c>
      <c r="R20">
        <v>899.85</v>
      </c>
      <c r="S20">
        <v>0</v>
      </c>
      <c r="T20">
        <v>5099.1499999999996</v>
      </c>
      <c r="U20" t="s">
        <v>45</v>
      </c>
    </row>
    <row r="21" spans="1:21" x14ac:dyDescent="0.2">
      <c r="A21" t="s">
        <v>62</v>
      </c>
      <c r="B21" t="s">
        <v>69</v>
      </c>
      <c r="C21" t="s">
        <v>70</v>
      </c>
      <c r="D21" t="s">
        <v>23</v>
      </c>
      <c r="E21" t="s">
        <v>24</v>
      </c>
      <c r="F21" t="s">
        <v>25</v>
      </c>
      <c r="G21" t="s">
        <v>34</v>
      </c>
      <c r="H21" t="s">
        <v>27</v>
      </c>
      <c r="I21">
        <v>8905302263231</v>
      </c>
      <c r="J21" t="s">
        <v>71</v>
      </c>
      <c r="K21" t="s">
        <v>72</v>
      </c>
      <c r="L21" t="s">
        <v>73</v>
      </c>
      <c r="M21" t="s">
        <v>44</v>
      </c>
      <c r="N21">
        <v>5999</v>
      </c>
      <c r="O21">
        <v>5999</v>
      </c>
      <c r="P21">
        <v>1</v>
      </c>
      <c r="Q21">
        <v>5999</v>
      </c>
      <c r="R21">
        <v>899.85</v>
      </c>
      <c r="S21">
        <v>0</v>
      </c>
      <c r="T21">
        <v>5099.1499999999996</v>
      </c>
      <c r="U21" t="s">
        <v>74</v>
      </c>
    </row>
    <row r="22" spans="1:21" x14ac:dyDescent="0.2">
      <c r="A22" t="s">
        <v>62</v>
      </c>
      <c r="B22" t="s">
        <v>69</v>
      </c>
      <c r="C22" t="s">
        <v>75</v>
      </c>
      <c r="D22" t="s">
        <v>23</v>
      </c>
      <c r="E22" t="s">
        <v>24</v>
      </c>
      <c r="F22" t="s">
        <v>25</v>
      </c>
      <c r="G22" t="s">
        <v>34</v>
      </c>
      <c r="H22" t="s">
        <v>27</v>
      </c>
      <c r="I22">
        <v>8905302263236</v>
      </c>
      <c r="J22" t="s">
        <v>76</v>
      </c>
      <c r="K22" t="s">
        <v>77</v>
      </c>
      <c r="L22" t="s">
        <v>78</v>
      </c>
      <c r="M22" t="s">
        <v>54</v>
      </c>
      <c r="N22">
        <v>5999</v>
      </c>
      <c r="O22">
        <v>5999</v>
      </c>
      <c r="P22">
        <v>1</v>
      </c>
      <c r="Q22">
        <v>5999</v>
      </c>
      <c r="R22">
        <v>899.85</v>
      </c>
      <c r="S22">
        <v>0</v>
      </c>
      <c r="T22">
        <v>5099.1499999999996</v>
      </c>
      <c r="U22" t="s">
        <v>50</v>
      </c>
    </row>
    <row r="23" spans="1:21" x14ac:dyDescent="0.2">
      <c r="A23" t="s">
        <v>20</v>
      </c>
      <c r="B23" t="s">
        <v>56</v>
      </c>
      <c r="C23" t="s">
        <v>57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>
        <v>8905202264842</v>
      </c>
      <c r="J23" t="s">
        <v>58</v>
      </c>
      <c r="K23" t="s">
        <v>59</v>
      </c>
      <c r="L23" t="s">
        <v>60</v>
      </c>
      <c r="M23" t="s">
        <v>61</v>
      </c>
      <c r="N23">
        <v>3995</v>
      </c>
      <c r="O23">
        <v>3995</v>
      </c>
      <c r="P23">
        <v>1</v>
      </c>
      <c r="Q23">
        <v>3995</v>
      </c>
      <c r="R23">
        <v>599.25</v>
      </c>
      <c r="S23">
        <v>0</v>
      </c>
      <c r="T23">
        <v>3395.75</v>
      </c>
      <c r="U23" t="s">
        <v>45</v>
      </c>
    </row>
    <row r="24" spans="1:21" x14ac:dyDescent="0.2">
      <c r="A24" t="s">
        <v>62</v>
      </c>
      <c r="B24" t="s">
        <v>56</v>
      </c>
      <c r="C24" t="s">
        <v>63</v>
      </c>
      <c r="D24" t="s">
        <v>23</v>
      </c>
      <c r="E24" t="s">
        <v>24</v>
      </c>
      <c r="F24" t="s">
        <v>64</v>
      </c>
      <c r="G24" t="s">
        <v>65</v>
      </c>
      <c r="H24" t="s">
        <v>27</v>
      </c>
      <c r="I24">
        <v>8905302263211</v>
      </c>
      <c r="J24" t="s">
        <v>66</v>
      </c>
      <c r="K24" t="s">
        <v>67</v>
      </c>
      <c r="L24" t="s">
        <v>68</v>
      </c>
      <c r="M24" t="s">
        <v>61</v>
      </c>
      <c r="N24">
        <v>5999</v>
      </c>
      <c r="O24">
        <v>5999</v>
      </c>
      <c r="P24">
        <v>1</v>
      </c>
      <c r="Q24">
        <v>5999</v>
      </c>
      <c r="R24">
        <v>1799.7</v>
      </c>
      <c r="S24">
        <v>0</v>
      </c>
      <c r="T24">
        <v>4199.3</v>
      </c>
      <c r="U24" t="s">
        <v>50</v>
      </c>
    </row>
    <row r="25" spans="1:21" x14ac:dyDescent="0.2">
      <c r="A25" t="s">
        <v>62</v>
      </c>
      <c r="B25" t="s">
        <v>56</v>
      </c>
      <c r="C25" t="s">
        <v>63</v>
      </c>
      <c r="D25" t="s">
        <v>23</v>
      </c>
      <c r="E25" t="s">
        <v>24</v>
      </c>
      <c r="F25" t="s">
        <v>25</v>
      </c>
      <c r="G25" t="s">
        <v>34</v>
      </c>
      <c r="H25" t="s">
        <v>27</v>
      </c>
      <c r="I25">
        <v>8905302263226</v>
      </c>
      <c r="J25" t="s">
        <v>35</v>
      </c>
      <c r="K25" t="s">
        <v>36</v>
      </c>
      <c r="L25" t="s">
        <v>37</v>
      </c>
      <c r="M25" t="s">
        <v>38</v>
      </c>
      <c r="N25">
        <v>5999</v>
      </c>
      <c r="O25">
        <v>5999</v>
      </c>
      <c r="P25">
        <v>1</v>
      </c>
      <c r="Q25">
        <v>5999</v>
      </c>
      <c r="R25">
        <v>1799.7</v>
      </c>
      <c r="S25">
        <v>0</v>
      </c>
      <c r="T25">
        <v>4199.3</v>
      </c>
      <c r="U25" t="s">
        <v>50</v>
      </c>
    </row>
    <row r="26" spans="1:21" x14ac:dyDescent="0.2">
      <c r="A26" t="s">
        <v>20</v>
      </c>
      <c r="B26" t="s">
        <v>32</v>
      </c>
      <c r="C26" t="s">
        <v>33</v>
      </c>
      <c r="D26" t="s">
        <v>23</v>
      </c>
      <c r="E26" t="s">
        <v>24</v>
      </c>
      <c r="F26" t="s">
        <v>25</v>
      </c>
      <c r="G26" t="s">
        <v>34</v>
      </c>
      <c r="H26" t="s">
        <v>27</v>
      </c>
      <c r="I26">
        <v>8905302263226</v>
      </c>
      <c r="J26" t="s">
        <v>35</v>
      </c>
      <c r="K26" t="s">
        <v>36</v>
      </c>
      <c r="L26" t="s">
        <v>37</v>
      </c>
      <c r="M26" t="s">
        <v>38</v>
      </c>
      <c r="N26">
        <v>5999</v>
      </c>
      <c r="O26">
        <v>5999</v>
      </c>
      <c r="P26">
        <v>1</v>
      </c>
      <c r="Q26">
        <v>5999</v>
      </c>
      <c r="R26">
        <v>899.85</v>
      </c>
      <c r="S26">
        <v>0</v>
      </c>
      <c r="T26">
        <v>5099.1499999999996</v>
      </c>
      <c r="U26" t="s">
        <v>39</v>
      </c>
    </row>
    <row r="27" spans="1:21" x14ac:dyDescent="0.2">
      <c r="A27" t="s">
        <v>20</v>
      </c>
      <c r="B27" t="s">
        <v>32</v>
      </c>
      <c r="C27" t="s">
        <v>40</v>
      </c>
      <c r="D27" t="s">
        <v>23</v>
      </c>
      <c r="E27" t="s">
        <v>24</v>
      </c>
      <c r="F27" t="s">
        <v>25</v>
      </c>
      <c r="G27" t="s">
        <v>34</v>
      </c>
      <c r="H27" t="s">
        <v>27</v>
      </c>
      <c r="I27">
        <v>8905302263234</v>
      </c>
      <c r="J27" t="s">
        <v>41</v>
      </c>
      <c r="K27" t="s">
        <v>42</v>
      </c>
      <c r="L27" t="s">
        <v>43</v>
      </c>
      <c r="M27" t="s">
        <v>44</v>
      </c>
      <c r="N27">
        <v>5999</v>
      </c>
      <c r="O27">
        <v>5999</v>
      </c>
      <c r="P27">
        <v>1</v>
      </c>
      <c r="Q27">
        <v>5999</v>
      </c>
      <c r="R27">
        <v>899.85</v>
      </c>
      <c r="S27">
        <v>0</v>
      </c>
      <c r="T27">
        <v>5099.1499999999996</v>
      </c>
      <c r="U27" t="s">
        <v>45</v>
      </c>
    </row>
    <row r="28" spans="1:21" x14ac:dyDescent="0.2">
      <c r="A28" t="s">
        <v>20</v>
      </c>
      <c r="B28" t="s">
        <v>32</v>
      </c>
      <c r="C28" t="s">
        <v>46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>
        <v>8905202269106</v>
      </c>
      <c r="J28" t="s">
        <v>47</v>
      </c>
      <c r="K28" t="s">
        <v>48</v>
      </c>
      <c r="L28" t="s">
        <v>49</v>
      </c>
      <c r="M28" t="s">
        <v>38</v>
      </c>
      <c r="N28">
        <v>3495</v>
      </c>
      <c r="O28">
        <v>3495</v>
      </c>
      <c r="P28">
        <v>1</v>
      </c>
      <c r="Q28">
        <v>3495</v>
      </c>
      <c r="R28">
        <v>524.25</v>
      </c>
      <c r="S28">
        <v>0</v>
      </c>
      <c r="T28">
        <v>2970.75</v>
      </c>
      <c r="U28" t="s">
        <v>50</v>
      </c>
    </row>
    <row r="29" spans="1:21" x14ac:dyDescent="0.2">
      <c r="A29" t="s">
        <v>20</v>
      </c>
      <c r="B29" t="s">
        <v>32</v>
      </c>
      <c r="C29" t="s">
        <v>51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>
        <v>8905202264620</v>
      </c>
      <c r="J29" t="s">
        <v>52</v>
      </c>
      <c r="K29">
        <v>8905202264620</v>
      </c>
      <c r="L29" t="s">
        <v>53</v>
      </c>
      <c r="M29" t="s">
        <v>54</v>
      </c>
      <c r="N29">
        <v>3495</v>
      </c>
      <c r="O29">
        <v>3495</v>
      </c>
      <c r="P29">
        <v>1</v>
      </c>
      <c r="Q29">
        <v>3495</v>
      </c>
      <c r="R29">
        <v>524.25</v>
      </c>
      <c r="S29">
        <v>0</v>
      </c>
      <c r="T29">
        <v>2970.75</v>
      </c>
      <c r="U29" t="s">
        <v>55</v>
      </c>
    </row>
    <row r="30" spans="1:21" x14ac:dyDescent="0.2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>
        <v>8905202264729</v>
      </c>
      <c r="J30" t="s">
        <v>28</v>
      </c>
      <c r="K30">
        <v>8905202264729</v>
      </c>
      <c r="L30" t="s">
        <v>29</v>
      </c>
      <c r="M30" t="s">
        <v>30</v>
      </c>
      <c r="N30">
        <v>2995</v>
      </c>
      <c r="O30">
        <v>2995</v>
      </c>
      <c r="P30">
        <v>1</v>
      </c>
      <c r="Q30">
        <v>2995</v>
      </c>
      <c r="R30">
        <v>0</v>
      </c>
      <c r="S30">
        <v>0</v>
      </c>
      <c r="T30">
        <v>2995</v>
      </c>
      <c r="U30" t="s">
        <v>31</v>
      </c>
    </row>
    <row r="31" spans="1:21" x14ac:dyDescent="0.2">
      <c r="A31" t="s">
        <v>20</v>
      </c>
      <c r="B31" t="s">
        <v>275</v>
      </c>
      <c r="C31" t="s">
        <v>276</v>
      </c>
      <c r="D31" t="s">
        <v>23</v>
      </c>
      <c r="E31" t="s">
        <v>24</v>
      </c>
      <c r="F31" t="s">
        <v>25</v>
      </c>
      <c r="G31" t="s">
        <v>34</v>
      </c>
      <c r="H31" t="s">
        <v>27</v>
      </c>
      <c r="I31">
        <v>8905302263233</v>
      </c>
      <c r="J31" t="s">
        <v>277</v>
      </c>
      <c r="K31" t="s">
        <v>278</v>
      </c>
      <c r="L31" t="s">
        <v>279</v>
      </c>
      <c r="M31" t="s">
        <v>61</v>
      </c>
      <c r="N31">
        <v>5999</v>
      </c>
      <c r="O31">
        <v>5999</v>
      </c>
      <c r="P31">
        <v>1</v>
      </c>
      <c r="Q31">
        <v>5999</v>
      </c>
      <c r="R31">
        <v>0</v>
      </c>
      <c r="S31">
        <v>0</v>
      </c>
      <c r="T31">
        <v>5999</v>
      </c>
      <c r="U31" t="s">
        <v>55</v>
      </c>
    </row>
    <row r="32" spans="1:21" x14ac:dyDescent="0.2">
      <c r="A32" t="s">
        <v>62</v>
      </c>
      <c r="B32" t="s">
        <v>275</v>
      </c>
      <c r="C32" t="s">
        <v>298</v>
      </c>
      <c r="D32" t="s">
        <v>23</v>
      </c>
      <c r="E32" t="s">
        <v>24</v>
      </c>
      <c r="F32" t="s">
        <v>64</v>
      </c>
      <c r="G32" t="s">
        <v>65</v>
      </c>
      <c r="H32" t="s">
        <v>27</v>
      </c>
      <c r="I32">
        <v>8905302263211</v>
      </c>
      <c r="J32" t="s">
        <v>66</v>
      </c>
      <c r="K32" t="s">
        <v>67</v>
      </c>
      <c r="L32" t="s">
        <v>68</v>
      </c>
      <c r="M32" t="s">
        <v>61</v>
      </c>
      <c r="N32">
        <v>5999</v>
      </c>
      <c r="O32">
        <v>5999</v>
      </c>
      <c r="P32">
        <v>1</v>
      </c>
      <c r="Q32">
        <v>5999</v>
      </c>
      <c r="R32">
        <v>0</v>
      </c>
      <c r="S32">
        <v>0</v>
      </c>
      <c r="T32">
        <v>5999</v>
      </c>
      <c r="U32" t="s">
        <v>45</v>
      </c>
    </row>
    <row r="33" spans="1:21" x14ac:dyDescent="0.2">
      <c r="A33" t="s">
        <v>20</v>
      </c>
      <c r="B33" t="s">
        <v>268</v>
      </c>
      <c r="C33" t="s">
        <v>135</v>
      </c>
      <c r="D33" t="s">
        <v>23</v>
      </c>
      <c r="E33" t="s">
        <v>24</v>
      </c>
      <c r="F33" t="s">
        <v>64</v>
      </c>
      <c r="G33" t="s">
        <v>65</v>
      </c>
      <c r="H33" t="s">
        <v>27</v>
      </c>
      <c r="I33">
        <v>8905302263177</v>
      </c>
      <c r="J33" t="s">
        <v>269</v>
      </c>
      <c r="K33" t="s">
        <v>270</v>
      </c>
      <c r="L33" t="s">
        <v>271</v>
      </c>
      <c r="M33" t="s">
        <v>44</v>
      </c>
      <c r="N33">
        <v>5999</v>
      </c>
      <c r="O33">
        <v>5999</v>
      </c>
      <c r="P33">
        <v>1</v>
      </c>
      <c r="Q33">
        <v>5999</v>
      </c>
      <c r="R33">
        <v>0</v>
      </c>
      <c r="S33">
        <v>0</v>
      </c>
      <c r="T33">
        <v>5999</v>
      </c>
      <c r="U33" t="s">
        <v>55</v>
      </c>
    </row>
    <row r="34" spans="1:21" x14ac:dyDescent="0.2">
      <c r="A34" t="s">
        <v>20</v>
      </c>
      <c r="B34" t="s">
        <v>268</v>
      </c>
      <c r="C34" t="s">
        <v>135</v>
      </c>
      <c r="D34" t="s">
        <v>23</v>
      </c>
      <c r="E34" t="s">
        <v>24</v>
      </c>
      <c r="F34" t="s">
        <v>64</v>
      </c>
      <c r="G34" t="s">
        <v>65</v>
      </c>
      <c r="H34" t="s">
        <v>27</v>
      </c>
      <c r="I34">
        <v>8905302263190</v>
      </c>
      <c r="J34" t="s">
        <v>272</v>
      </c>
      <c r="K34" t="s">
        <v>273</v>
      </c>
      <c r="L34" t="s">
        <v>274</v>
      </c>
      <c r="M34" t="s">
        <v>61</v>
      </c>
      <c r="N34">
        <v>7999</v>
      </c>
      <c r="O34">
        <v>7999</v>
      </c>
      <c r="P34">
        <v>1</v>
      </c>
      <c r="Q34">
        <v>7999</v>
      </c>
      <c r="R34">
        <v>0</v>
      </c>
      <c r="S34">
        <v>0</v>
      </c>
      <c r="T34">
        <v>7999</v>
      </c>
      <c r="U34" t="s">
        <v>55</v>
      </c>
    </row>
    <row r="35" spans="1:21" x14ac:dyDescent="0.2">
      <c r="A35" t="s">
        <v>62</v>
      </c>
      <c r="B35" t="s">
        <v>268</v>
      </c>
      <c r="C35" t="s">
        <v>297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>
        <v>8905202264842</v>
      </c>
      <c r="J35" t="s">
        <v>58</v>
      </c>
      <c r="K35" t="s">
        <v>59</v>
      </c>
      <c r="L35" t="s">
        <v>60</v>
      </c>
      <c r="M35" t="s">
        <v>61</v>
      </c>
      <c r="N35">
        <v>3995</v>
      </c>
      <c r="O35">
        <v>3995</v>
      </c>
      <c r="P35">
        <v>1</v>
      </c>
      <c r="Q35">
        <v>3995</v>
      </c>
      <c r="R35">
        <v>0</v>
      </c>
      <c r="S35">
        <v>0</v>
      </c>
      <c r="T35">
        <v>3995</v>
      </c>
      <c r="U35" t="s">
        <v>284</v>
      </c>
    </row>
    <row r="36" spans="1:21" x14ac:dyDescent="0.2">
      <c r="A36" t="s">
        <v>20</v>
      </c>
      <c r="B36" t="s">
        <v>264</v>
      </c>
      <c r="C36" t="s">
        <v>135</v>
      </c>
      <c r="D36" t="s">
        <v>23</v>
      </c>
      <c r="E36" t="s">
        <v>24</v>
      </c>
      <c r="F36" t="s">
        <v>64</v>
      </c>
      <c r="G36" t="s">
        <v>65</v>
      </c>
      <c r="H36" t="s">
        <v>27</v>
      </c>
      <c r="I36">
        <v>8905302263180</v>
      </c>
      <c r="J36" t="s">
        <v>265</v>
      </c>
      <c r="K36" t="s">
        <v>266</v>
      </c>
      <c r="L36" t="s">
        <v>267</v>
      </c>
      <c r="M36" t="s">
        <v>54</v>
      </c>
      <c r="N36">
        <v>5999</v>
      </c>
      <c r="O36">
        <v>5999</v>
      </c>
      <c r="P36">
        <v>1</v>
      </c>
      <c r="Q36">
        <v>5999</v>
      </c>
      <c r="R36">
        <v>0</v>
      </c>
      <c r="S36">
        <v>0</v>
      </c>
      <c r="T36">
        <v>5999</v>
      </c>
      <c r="U36" t="s">
        <v>55</v>
      </c>
    </row>
    <row r="37" spans="1:21" x14ac:dyDescent="0.2">
      <c r="A37" t="s">
        <v>62</v>
      </c>
      <c r="B37" t="s">
        <v>264</v>
      </c>
      <c r="C37" t="s">
        <v>293</v>
      </c>
      <c r="D37" t="s">
        <v>23</v>
      </c>
      <c r="E37" t="s">
        <v>24</v>
      </c>
      <c r="F37" t="s">
        <v>64</v>
      </c>
      <c r="G37" t="s">
        <v>294</v>
      </c>
      <c r="H37" t="s">
        <v>27</v>
      </c>
      <c r="I37">
        <v>8905202268994</v>
      </c>
      <c r="J37" t="s">
        <v>295</v>
      </c>
      <c r="K37">
        <v>8905202268994</v>
      </c>
      <c r="L37" t="s">
        <v>296</v>
      </c>
      <c r="M37" t="s">
        <v>44</v>
      </c>
      <c r="N37">
        <v>2995</v>
      </c>
      <c r="O37">
        <v>2995</v>
      </c>
      <c r="P37">
        <v>1</v>
      </c>
      <c r="Q37">
        <v>2995</v>
      </c>
      <c r="R37">
        <v>0</v>
      </c>
      <c r="S37">
        <v>0</v>
      </c>
      <c r="T37">
        <v>2995</v>
      </c>
      <c r="U37" t="s">
        <v>55</v>
      </c>
    </row>
    <row r="38" spans="1:21" x14ac:dyDescent="0.2">
      <c r="A38" t="s">
        <v>20</v>
      </c>
      <c r="B38" t="s">
        <v>262</v>
      </c>
      <c r="C38" t="s">
        <v>263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>
        <v>8905202264729</v>
      </c>
      <c r="J38" t="s">
        <v>28</v>
      </c>
      <c r="K38">
        <v>8905202264729</v>
      </c>
      <c r="L38" t="s">
        <v>29</v>
      </c>
      <c r="M38" t="s">
        <v>30</v>
      </c>
      <c r="N38">
        <v>2995</v>
      </c>
      <c r="O38">
        <v>2995</v>
      </c>
      <c r="P38">
        <v>1</v>
      </c>
      <c r="Q38">
        <v>2995</v>
      </c>
      <c r="R38">
        <v>0</v>
      </c>
      <c r="S38">
        <v>0</v>
      </c>
      <c r="T38">
        <v>2995</v>
      </c>
      <c r="U38" t="s">
        <v>45</v>
      </c>
    </row>
    <row r="39" spans="1:21" x14ac:dyDescent="0.2">
      <c r="A39" t="s">
        <v>20</v>
      </c>
      <c r="B39" t="s">
        <v>260</v>
      </c>
      <c r="C39" t="s">
        <v>261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>
        <v>8905202264729</v>
      </c>
      <c r="J39" t="s">
        <v>28</v>
      </c>
      <c r="K39">
        <v>8905202264729</v>
      </c>
      <c r="L39" t="s">
        <v>29</v>
      </c>
      <c r="M39" t="s">
        <v>30</v>
      </c>
      <c r="N39">
        <v>2995</v>
      </c>
      <c r="O39">
        <v>2995</v>
      </c>
      <c r="P39">
        <v>1</v>
      </c>
      <c r="Q39">
        <v>2995</v>
      </c>
      <c r="R39">
        <v>0</v>
      </c>
      <c r="S39">
        <v>0</v>
      </c>
      <c r="T39">
        <v>2995</v>
      </c>
      <c r="U39" t="s">
        <v>45</v>
      </c>
    </row>
    <row r="40" spans="1:21" x14ac:dyDescent="0.2">
      <c r="A40" t="s">
        <v>62</v>
      </c>
      <c r="B40" t="s">
        <v>260</v>
      </c>
      <c r="C40" t="s">
        <v>289</v>
      </c>
      <c r="D40" t="s">
        <v>23</v>
      </c>
      <c r="E40" t="s">
        <v>24</v>
      </c>
      <c r="F40" t="s">
        <v>64</v>
      </c>
      <c r="G40" t="s">
        <v>65</v>
      </c>
      <c r="H40" t="s">
        <v>27</v>
      </c>
      <c r="I40">
        <v>8905302263203</v>
      </c>
      <c r="J40" t="s">
        <v>290</v>
      </c>
      <c r="K40" t="s">
        <v>291</v>
      </c>
      <c r="L40" t="s">
        <v>292</v>
      </c>
      <c r="M40" t="s">
        <v>44</v>
      </c>
      <c r="N40">
        <v>6999</v>
      </c>
      <c r="O40">
        <v>6999</v>
      </c>
      <c r="P40">
        <v>1</v>
      </c>
      <c r="Q40">
        <v>6999</v>
      </c>
      <c r="R40">
        <v>0</v>
      </c>
      <c r="S40">
        <v>0</v>
      </c>
      <c r="T40">
        <v>6999</v>
      </c>
      <c r="U40" t="s">
        <v>45</v>
      </c>
    </row>
    <row r="41" spans="1:21" x14ac:dyDescent="0.2">
      <c r="A41" t="s">
        <v>20</v>
      </c>
      <c r="B41" t="s">
        <v>247</v>
      </c>
      <c r="C41" t="s">
        <v>248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>
        <v>8905202264859</v>
      </c>
      <c r="J41" t="s">
        <v>249</v>
      </c>
      <c r="K41" t="s">
        <v>250</v>
      </c>
      <c r="L41" t="s">
        <v>251</v>
      </c>
      <c r="M41" t="s">
        <v>84</v>
      </c>
      <c r="N41">
        <v>3995</v>
      </c>
      <c r="O41">
        <v>3995</v>
      </c>
      <c r="P41">
        <v>1</v>
      </c>
      <c r="Q41">
        <v>3995</v>
      </c>
      <c r="R41">
        <v>1198.5</v>
      </c>
      <c r="S41">
        <v>0</v>
      </c>
      <c r="T41">
        <v>2796.5</v>
      </c>
      <c r="U41" t="s">
        <v>31</v>
      </c>
    </row>
    <row r="42" spans="1:21" x14ac:dyDescent="0.2">
      <c r="A42" t="s">
        <v>20</v>
      </c>
      <c r="B42" t="s">
        <v>247</v>
      </c>
      <c r="C42" t="s">
        <v>248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>
        <v>8905202269410</v>
      </c>
      <c r="J42" t="s">
        <v>252</v>
      </c>
      <c r="K42">
        <v>8905202269410</v>
      </c>
      <c r="L42" t="s">
        <v>251</v>
      </c>
      <c r="M42" t="s">
        <v>84</v>
      </c>
      <c r="N42">
        <v>4495</v>
      </c>
      <c r="O42">
        <v>4495</v>
      </c>
      <c r="P42">
        <v>1</v>
      </c>
      <c r="Q42">
        <v>4495</v>
      </c>
      <c r="R42">
        <v>1348.5</v>
      </c>
      <c r="S42">
        <v>0</v>
      </c>
      <c r="T42">
        <v>3146.5</v>
      </c>
      <c r="U42" t="s">
        <v>31</v>
      </c>
    </row>
    <row r="43" spans="1:21" x14ac:dyDescent="0.2">
      <c r="A43" t="s">
        <v>20</v>
      </c>
      <c r="B43" t="s">
        <v>247</v>
      </c>
      <c r="C43" t="s">
        <v>253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>
        <v>8905202264897</v>
      </c>
      <c r="J43" t="s">
        <v>203</v>
      </c>
      <c r="K43">
        <v>8905202264897</v>
      </c>
      <c r="L43" t="s">
        <v>191</v>
      </c>
      <c r="M43" t="s">
        <v>61</v>
      </c>
      <c r="N43">
        <v>2995</v>
      </c>
      <c r="O43">
        <v>2995</v>
      </c>
      <c r="P43">
        <v>1</v>
      </c>
      <c r="Q43">
        <v>2995</v>
      </c>
      <c r="R43">
        <v>449.25</v>
      </c>
      <c r="S43">
        <v>0</v>
      </c>
      <c r="T43">
        <v>2545.75</v>
      </c>
      <c r="U43" t="s">
        <v>254</v>
      </c>
    </row>
    <row r="44" spans="1:21" x14ac:dyDescent="0.2">
      <c r="A44" t="s">
        <v>20</v>
      </c>
      <c r="B44" t="s">
        <v>247</v>
      </c>
      <c r="C44" t="s">
        <v>255</v>
      </c>
      <c r="D44" t="s">
        <v>23</v>
      </c>
      <c r="E44" t="s">
        <v>24</v>
      </c>
      <c r="F44" t="s">
        <v>64</v>
      </c>
      <c r="G44" t="s">
        <v>65</v>
      </c>
      <c r="H44" t="s">
        <v>27</v>
      </c>
      <c r="I44">
        <v>8905302263181</v>
      </c>
      <c r="J44" t="s">
        <v>256</v>
      </c>
      <c r="K44" t="s">
        <v>257</v>
      </c>
      <c r="L44" t="s">
        <v>258</v>
      </c>
      <c r="M44" t="s">
        <v>61</v>
      </c>
      <c r="N44">
        <v>5999</v>
      </c>
      <c r="O44">
        <v>5999</v>
      </c>
      <c r="P44">
        <v>1</v>
      </c>
      <c r="Q44">
        <v>5999</v>
      </c>
      <c r="R44">
        <v>899.85</v>
      </c>
      <c r="S44">
        <v>0</v>
      </c>
      <c r="T44">
        <v>5099.1499999999996</v>
      </c>
      <c r="U44" t="s">
        <v>259</v>
      </c>
    </row>
    <row r="45" spans="1:21" x14ac:dyDescent="0.2">
      <c r="A45" t="s">
        <v>62</v>
      </c>
      <c r="B45" t="s">
        <v>247</v>
      </c>
      <c r="C45" t="s">
        <v>280</v>
      </c>
      <c r="D45" t="s">
        <v>23</v>
      </c>
      <c r="E45" t="s">
        <v>24</v>
      </c>
      <c r="F45" t="s">
        <v>25</v>
      </c>
      <c r="G45" t="s">
        <v>34</v>
      </c>
      <c r="H45" t="s">
        <v>27</v>
      </c>
      <c r="I45">
        <v>8905302263244</v>
      </c>
      <c r="J45" t="s">
        <v>281</v>
      </c>
      <c r="K45" t="s">
        <v>282</v>
      </c>
      <c r="L45" t="s">
        <v>283</v>
      </c>
      <c r="M45" t="s">
        <v>54</v>
      </c>
      <c r="N45">
        <v>4495</v>
      </c>
      <c r="O45">
        <v>4495</v>
      </c>
      <c r="P45">
        <v>1</v>
      </c>
      <c r="Q45">
        <v>4495</v>
      </c>
      <c r="R45">
        <v>674.25</v>
      </c>
      <c r="S45">
        <v>0</v>
      </c>
      <c r="T45">
        <v>3820.75</v>
      </c>
      <c r="U45" t="s">
        <v>284</v>
      </c>
    </row>
    <row r="46" spans="1:21" x14ac:dyDescent="0.2">
      <c r="A46" t="s">
        <v>62</v>
      </c>
      <c r="B46" t="s">
        <v>247</v>
      </c>
      <c r="C46" t="s">
        <v>285</v>
      </c>
      <c r="D46" t="s">
        <v>23</v>
      </c>
      <c r="E46" t="s">
        <v>136</v>
      </c>
      <c r="F46" t="s">
        <v>25</v>
      </c>
      <c r="G46" t="s">
        <v>26</v>
      </c>
      <c r="H46" t="s">
        <v>27</v>
      </c>
      <c r="I46">
        <v>8905202269250</v>
      </c>
      <c r="J46" t="s">
        <v>139</v>
      </c>
      <c r="K46">
        <v>8905202269250</v>
      </c>
      <c r="L46" t="s">
        <v>140</v>
      </c>
      <c r="M46" t="s">
        <v>61</v>
      </c>
      <c r="N46">
        <v>1995</v>
      </c>
      <c r="O46">
        <v>1995</v>
      </c>
      <c r="P46">
        <v>1</v>
      </c>
      <c r="Q46">
        <v>1995</v>
      </c>
      <c r="R46">
        <v>299.25</v>
      </c>
      <c r="S46">
        <v>0</v>
      </c>
      <c r="T46">
        <v>1695.75</v>
      </c>
      <c r="U46" t="s">
        <v>50</v>
      </c>
    </row>
    <row r="47" spans="1:21" x14ac:dyDescent="0.2">
      <c r="A47" t="s">
        <v>62</v>
      </c>
      <c r="B47" t="s">
        <v>247</v>
      </c>
      <c r="C47" t="s">
        <v>286</v>
      </c>
      <c r="D47" t="s">
        <v>23</v>
      </c>
      <c r="E47" t="s">
        <v>136</v>
      </c>
      <c r="F47" t="s">
        <v>25</v>
      </c>
      <c r="G47" t="s">
        <v>26</v>
      </c>
      <c r="H47" t="s">
        <v>27</v>
      </c>
      <c r="I47">
        <v>8905202268918</v>
      </c>
      <c r="J47" t="s">
        <v>287</v>
      </c>
      <c r="K47">
        <v>8905202268918</v>
      </c>
      <c r="L47" t="s">
        <v>288</v>
      </c>
      <c r="M47" t="s">
        <v>44</v>
      </c>
      <c r="N47">
        <v>1995</v>
      </c>
      <c r="O47">
        <v>1995</v>
      </c>
      <c r="P47">
        <v>1</v>
      </c>
      <c r="Q47">
        <v>1995</v>
      </c>
      <c r="R47">
        <v>299.25</v>
      </c>
      <c r="S47">
        <v>0</v>
      </c>
      <c r="T47">
        <v>1695.75</v>
      </c>
      <c r="U47" t="s">
        <v>45</v>
      </c>
    </row>
    <row r="48" spans="1:21" x14ac:dyDescent="0.2">
      <c r="A48" t="s">
        <v>62</v>
      </c>
      <c r="B48" t="s">
        <v>622</v>
      </c>
      <c r="C48" t="s">
        <v>623</v>
      </c>
      <c r="D48" t="s">
        <v>23</v>
      </c>
      <c r="E48" t="s">
        <v>24</v>
      </c>
      <c r="F48" t="s">
        <v>25</v>
      </c>
      <c r="G48" t="s">
        <v>34</v>
      </c>
      <c r="H48" t="s">
        <v>27</v>
      </c>
      <c r="I48">
        <v>8905302263239</v>
      </c>
      <c r="J48" t="s">
        <v>624</v>
      </c>
      <c r="K48" t="s">
        <v>625</v>
      </c>
      <c r="L48" t="s">
        <v>626</v>
      </c>
      <c r="M48" t="s">
        <v>38</v>
      </c>
      <c r="N48">
        <v>5999</v>
      </c>
      <c r="O48">
        <v>5999</v>
      </c>
      <c r="P48">
        <v>1</v>
      </c>
      <c r="Q48">
        <v>5999</v>
      </c>
      <c r="R48">
        <v>899.85</v>
      </c>
      <c r="S48">
        <v>0</v>
      </c>
      <c r="T48">
        <v>5099.1499999999996</v>
      </c>
      <c r="U48" t="s">
        <v>45</v>
      </c>
    </row>
    <row r="49" spans="1:21" x14ac:dyDescent="0.2">
      <c r="A49" t="s">
        <v>62</v>
      </c>
      <c r="B49" t="s">
        <v>622</v>
      </c>
      <c r="C49" t="s">
        <v>627</v>
      </c>
      <c r="D49" t="s">
        <v>23</v>
      </c>
      <c r="E49" t="s">
        <v>24</v>
      </c>
      <c r="F49" t="s">
        <v>25</v>
      </c>
      <c r="G49" t="s">
        <v>26</v>
      </c>
      <c r="H49" t="s">
        <v>27</v>
      </c>
      <c r="I49">
        <v>8905202264620</v>
      </c>
      <c r="J49" t="s">
        <v>52</v>
      </c>
      <c r="K49">
        <v>8905202264620</v>
      </c>
      <c r="L49" t="s">
        <v>53</v>
      </c>
      <c r="M49" t="s">
        <v>54</v>
      </c>
      <c r="N49">
        <v>3495</v>
      </c>
      <c r="O49">
        <v>3495</v>
      </c>
      <c r="P49">
        <v>1</v>
      </c>
      <c r="Q49">
        <v>3495</v>
      </c>
      <c r="R49">
        <v>1048.5</v>
      </c>
      <c r="S49">
        <v>0</v>
      </c>
      <c r="T49">
        <v>2446.5</v>
      </c>
      <c r="U49" t="s">
        <v>55</v>
      </c>
    </row>
    <row r="50" spans="1:21" x14ac:dyDescent="0.2">
      <c r="A50" t="s">
        <v>62</v>
      </c>
      <c r="B50" t="s">
        <v>622</v>
      </c>
      <c r="C50" t="s">
        <v>627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>
        <v>8905202269298</v>
      </c>
      <c r="J50" t="s">
        <v>628</v>
      </c>
      <c r="K50">
        <v>8905202269298</v>
      </c>
      <c r="L50" t="s">
        <v>53</v>
      </c>
      <c r="M50" t="s">
        <v>54</v>
      </c>
      <c r="N50">
        <v>3495</v>
      </c>
      <c r="O50">
        <v>3495</v>
      </c>
      <c r="P50">
        <v>1</v>
      </c>
      <c r="Q50">
        <v>3495</v>
      </c>
      <c r="R50">
        <v>1048.5</v>
      </c>
      <c r="S50">
        <v>0</v>
      </c>
      <c r="T50">
        <v>2446.5</v>
      </c>
      <c r="U50" t="s">
        <v>55</v>
      </c>
    </row>
    <row r="51" spans="1:21" x14ac:dyDescent="0.2">
      <c r="A51" t="s">
        <v>62</v>
      </c>
      <c r="B51" t="s">
        <v>622</v>
      </c>
      <c r="C51" t="s">
        <v>629</v>
      </c>
      <c r="D51" t="s">
        <v>23</v>
      </c>
      <c r="E51" t="s">
        <v>136</v>
      </c>
      <c r="F51" t="s">
        <v>25</v>
      </c>
      <c r="G51" t="s">
        <v>26</v>
      </c>
      <c r="H51" t="s">
        <v>27</v>
      </c>
      <c r="I51">
        <v>8905202268888</v>
      </c>
      <c r="J51" t="s">
        <v>630</v>
      </c>
      <c r="K51">
        <v>8905202268888</v>
      </c>
      <c r="L51" t="s">
        <v>631</v>
      </c>
      <c r="M51" t="s">
        <v>369</v>
      </c>
      <c r="N51">
        <v>1995</v>
      </c>
      <c r="O51">
        <v>1995</v>
      </c>
      <c r="P51">
        <v>1</v>
      </c>
      <c r="Q51">
        <v>1995</v>
      </c>
      <c r="R51">
        <v>299.25</v>
      </c>
      <c r="S51">
        <v>0</v>
      </c>
      <c r="T51">
        <v>1695.75</v>
      </c>
      <c r="U51" t="s">
        <v>45</v>
      </c>
    </row>
    <row r="52" spans="1:21" x14ac:dyDescent="0.2">
      <c r="A52" t="s">
        <v>62</v>
      </c>
      <c r="B52" t="s">
        <v>613</v>
      </c>
      <c r="C52" t="s">
        <v>614</v>
      </c>
      <c r="D52" t="s">
        <v>23</v>
      </c>
      <c r="E52" t="s">
        <v>24</v>
      </c>
      <c r="F52" t="s">
        <v>25</v>
      </c>
      <c r="G52" t="s">
        <v>34</v>
      </c>
      <c r="H52" t="s">
        <v>27</v>
      </c>
      <c r="I52">
        <v>8905302263234</v>
      </c>
      <c r="J52" t="s">
        <v>41</v>
      </c>
      <c r="K52" t="s">
        <v>42</v>
      </c>
      <c r="L52" t="s">
        <v>43</v>
      </c>
      <c r="M52" t="s">
        <v>44</v>
      </c>
      <c r="N52">
        <v>5999</v>
      </c>
      <c r="O52">
        <v>5999</v>
      </c>
      <c r="P52">
        <v>1</v>
      </c>
      <c r="Q52">
        <v>5999</v>
      </c>
      <c r="R52">
        <v>899.85</v>
      </c>
      <c r="S52">
        <v>0</v>
      </c>
      <c r="T52">
        <v>5099.1499999999996</v>
      </c>
      <c r="U52" t="s">
        <v>45</v>
      </c>
    </row>
    <row r="53" spans="1:21" x14ac:dyDescent="0.2">
      <c r="A53" t="s">
        <v>62</v>
      </c>
      <c r="B53" t="s">
        <v>613</v>
      </c>
      <c r="C53" t="s">
        <v>615</v>
      </c>
      <c r="D53" t="s">
        <v>23</v>
      </c>
      <c r="E53" t="s">
        <v>24</v>
      </c>
      <c r="F53" t="s">
        <v>25</v>
      </c>
      <c r="G53" t="s">
        <v>34</v>
      </c>
      <c r="H53" t="s">
        <v>27</v>
      </c>
      <c r="I53">
        <v>8905302263232</v>
      </c>
      <c r="J53" t="s">
        <v>616</v>
      </c>
      <c r="K53" t="s">
        <v>617</v>
      </c>
      <c r="L53" t="s">
        <v>618</v>
      </c>
      <c r="M53" t="s">
        <v>38</v>
      </c>
      <c r="N53">
        <v>5999</v>
      </c>
      <c r="O53">
        <v>5999</v>
      </c>
      <c r="P53">
        <v>1</v>
      </c>
      <c r="Q53">
        <v>5999</v>
      </c>
      <c r="R53">
        <v>1799.7</v>
      </c>
      <c r="S53">
        <v>0</v>
      </c>
      <c r="T53">
        <v>4199.3</v>
      </c>
      <c r="U53" t="s">
        <v>45</v>
      </c>
    </row>
    <row r="54" spans="1:21" x14ac:dyDescent="0.2">
      <c r="A54" t="s">
        <v>62</v>
      </c>
      <c r="B54" t="s">
        <v>613</v>
      </c>
      <c r="C54" t="s">
        <v>615</v>
      </c>
      <c r="D54" t="s">
        <v>23</v>
      </c>
      <c r="E54" t="s">
        <v>24</v>
      </c>
      <c r="F54" t="s">
        <v>25</v>
      </c>
      <c r="G54" t="s">
        <v>34</v>
      </c>
      <c r="H54" t="s">
        <v>27</v>
      </c>
      <c r="I54">
        <v>8905302263243</v>
      </c>
      <c r="J54" t="s">
        <v>619</v>
      </c>
      <c r="K54" t="s">
        <v>620</v>
      </c>
      <c r="L54" t="s">
        <v>621</v>
      </c>
      <c r="M54" t="s">
        <v>38</v>
      </c>
      <c r="N54">
        <v>5999</v>
      </c>
      <c r="O54">
        <v>5999</v>
      </c>
      <c r="P54">
        <v>1</v>
      </c>
      <c r="Q54">
        <v>5999</v>
      </c>
      <c r="R54">
        <v>1799.7</v>
      </c>
      <c r="S54">
        <v>0</v>
      </c>
      <c r="T54">
        <v>4199.3</v>
      </c>
      <c r="U54" t="s">
        <v>45</v>
      </c>
    </row>
  </sheetData>
  <sortState xmlns:xlrd2="http://schemas.microsoft.com/office/spreadsheetml/2017/richdata2" ref="A2:U54">
    <sortCondition ref="B2:B54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D972-C211-ED44-A597-F99964CF8822}">
  <dimension ref="A1:U59"/>
  <sheetViews>
    <sheetView workbookViewId="0">
      <selection activeCell="P1" sqref="P1:P1048576"/>
    </sheetView>
  </sheetViews>
  <sheetFormatPr baseColWidth="10" defaultColWidth="10.83203125" defaultRowHeight="15" x14ac:dyDescent="0.2"/>
  <cols>
    <col min="5" max="5" width="16.83203125" bestFit="1" customWidth="1"/>
    <col min="21" max="21" width="27.6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62</v>
      </c>
      <c r="B2" t="s">
        <v>415</v>
      </c>
      <c r="C2" t="s">
        <v>418</v>
      </c>
      <c r="D2" t="s">
        <v>23</v>
      </c>
      <c r="E2" t="s">
        <v>24</v>
      </c>
      <c r="F2" t="s">
        <v>25</v>
      </c>
      <c r="G2" t="s">
        <v>34</v>
      </c>
      <c r="H2" t="s">
        <v>27</v>
      </c>
      <c r="I2">
        <v>8905302263228</v>
      </c>
      <c r="J2" t="s">
        <v>421</v>
      </c>
      <c r="K2" t="s">
        <v>420</v>
      </c>
      <c r="L2" t="s">
        <v>419</v>
      </c>
      <c r="M2" t="s">
        <v>44</v>
      </c>
      <c r="N2">
        <v>5999</v>
      </c>
      <c r="O2">
        <v>5999</v>
      </c>
      <c r="P2">
        <v>1</v>
      </c>
      <c r="Q2">
        <v>5999</v>
      </c>
      <c r="R2">
        <v>1799.7</v>
      </c>
      <c r="S2">
        <v>0</v>
      </c>
      <c r="T2">
        <v>4199.3</v>
      </c>
      <c r="U2" t="s">
        <v>259</v>
      </c>
    </row>
    <row r="3" spans="1:21" x14ac:dyDescent="0.2">
      <c r="A3" t="s">
        <v>62</v>
      </c>
      <c r="B3" t="s">
        <v>415</v>
      </c>
      <c r="C3" t="s">
        <v>418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8905202264880</v>
      </c>
      <c r="J3" t="s">
        <v>417</v>
      </c>
      <c r="K3">
        <v>8905202264880</v>
      </c>
      <c r="L3" t="s">
        <v>416</v>
      </c>
      <c r="M3" t="s">
        <v>54</v>
      </c>
      <c r="N3">
        <v>2995</v>
      </c>
      <c r="O3">
        <v>2995</v>
      </c>
      <c r="P3">
        <v>1</v>
      </c>
      <c r="Q3">
        <v>2995</v>
      </c>
      <c r="R3">
        <v>898.5</v>
      </c>
      <c r="S3">
        <v>0</v>
      </c>
      <c r="T3">
        <v>2096.5</v>
      </c>
      <c r="U3" t="s">
        <v>259</v>
      </c>
    </row>
    <row r="4" spans="1:21" x14ac:dyDescent="0.2">
      <c r="A4" t="s">
        <v>62</v>
      </c>
      <c r="B4" t="s">
        <v>415</v>
      </c>
      <c r="C4" t="s">
        <v>414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8905202265009</v>
      </c>
      <c r="J4" t="s">
        <v>413</v>
      </c>
      <c r="K4">
        <v>8905202265009</v>
      </c>
      <c r="L4" t="s">
        <v>412</v>
      </c>
      <c r="M4" t="s">
        <v>84</v>
      </c>
      <c r="N4">
        <v>2995</v>
      </c>
      <c r="O4">
        <v>2995</v>
      </c>
      <c r="P4">
        <v>1</v>
      </c>
      <c r="Q4">
        <v>2995</v>
      </c>
      <c r="R4">
        <v>449.25</v>
      </c>
      <c r="S4">
        <v>0</v>
      </c>
      <c r="T4">
        <v>2545.75</v>
      </c>
      <c r="U4" t="s">
        <v>45</v>
      </c>
    </row>
    <row r="5" spans="1:21" x14ac:dyDescent="0.2">
      <c r="A5" t="s">
        <v>62</v>
      </c>
      <c r="B5" t="s">
        <v>426</v>
      </c>
      <c r="C5" t="s">
        <v>425</v>
      </c>
      <c r="D5" t="s">
        <v>23</v>
      </c>
      <c r="E5" t="s">
        <v>24</v>
      </c>
      <c r="F5" t="s">
        <v>25</v>
      </c>
      <c r="G5" t="s">
        <v>34</v>
      </c>
      <c r="H5" t="s">
        <v>27</v>
      </c>
      <c r="I5">
        <v>8905302263248</v>
      </c>
      <c r="J5" t="s">
        <v>424</v>
      </c>
      <c r="K5" t="s">
        <v>423</v>
      </c>
      <c r="L5" t="s">
        <v>422</v>
      </c>
      <c r="M5" t="s">
        <v>38</v>
      </c>
      <c r="N5">
        <v>5999</v>
      </c>
      <c r="O5">
        <v>5999</v>
      </c>
      <c r="P5">
        <v>1</v>
      </c>
      <c r="Q5">
        <v>5999</v>
      </c>
      <c r="R5">
        <v>0</v>
      </c>
      <c r="S5">
        <v>0</v>
      </c>
      <c r="T5">
        <v>5999</v>
      </c>
      <c r="U5" t="s">
        <v>50</v>
      </c>
    </row>
    <row r="6" spans="1:21" x14ac:dyDescent="0.2">
      <c r="A6" t="s">
        <v>20</v>
      </c>
      <c r="B6" t="s">
        <v>467</v>
      </c>
      <c r="C6" t="s">
        <v>466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8905202264729</v>
      </c>
      <c r="J6" t="s">
        <v>28</v>
      </c>
      <c r="K6">
        <v>8905202264729</v>
      </c>
      <c r="L6" t="s">
        <v>29</v>
      </c>
      <c r="M6" t="s">
        <v>30</v>
      </c>
      <c r="N6">
        <v>2995</v>
      </c>
      <c r="O6">
        <v>2995</v>
      </c>
      <c r="P6">
        <v>1</v>
      </c>
      <c r="Q6">
        <v>2995</v>
      </c>
      <c r="R6">
        <v>0</v>
      </c>
      <c r="S6">
        <v>0</v>
      </c>
      <c r="T6">
        <v>2995</v>
      </c>
      <c r="U6" t="s">
        <v>45</v>
      </c>
    </row>
    <row r="7" spans="1:21" x14ac:dyDescent="0.2">
      <c r="A7" t="s">
        <v>20</v>
      </c>
      <c r="B7" t="s">
        <v>469</v>
      </c>
      <c r="C7" t="s">
        <v>470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>
        <v>8905202264873</v>
      </c>
      <c r="J7" t="s">
        <v>130</v>
      </c>
      <c r="K7" t="s">
        <v>131</v>
      </c>
      <c r="L7" t="s">
        <v>94</v>
      </c>
      <c r="M7" t="s">
        <v>44</v>
      </c>
      <c r="N7">
        <v>3995</v>
      </c>
      <c r="O7">
        <v>3995</v>
      </c>
      <c r="P7">
        <v>1</v>
      </c>
      <c r="Q7">
        <v>3995</v>
      </c>
      <c r="R7">
        <v>0</v>
      </c>
      <c r="S7">
        <v>0</v>
      </c>
      <c r="T7">
        <v>3995</v>
      </c>
      <c r="U7" t="s">
        <v>45</v>
      </c>
    </row>
    <row r="8" spans="1:21" x14ac:dyDescent="0.2">
      <c r="A8" t="s">
        <v>20</v>
      </c>
      <c r="B8" t="s">
        <v>469</v>
      </c>
      <c r="C8" t="s">
        <v>468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8905202264910</v>
      </c>
      <c r="J8" t="s">
        <v>85</v>
      </c>
      <c r="K8" t="s">
        <v>86</v>
      </c>
      <c r="L8" t="s">
        <v>87</v>
      </c>
      <c r="M8" t="s">
        <v>38</v>
      </c>
      <c r="N8">
        <v>2995</v>
      </c>
      <c r="O8">
        <v>2995</v>
      </c>
      <c r="P8">
        <v>1</v>
      </c>
      <c r="Q8">
        <v>2995</v>
      </c>
      <c r="R8">
        <v>0</v>
      </c>
      <c r="S8">
        <v>0</v>
      </c>
      <c r="T8">
        <v>2995</v>
      </c>
      <c r="U8" t="s">
        <v>55</v>
      </c>
    </row>
    <row r="9" spans="1:21" x14ac:dyDescent="0.2">
      <c r="A9" t="s">
        <v>20</v>
      </c>
      <c r="B9" t="s">
        <v>472</v>
      </c>
      <c r="C9" t="s">
        <v>471</v>
      </c>
      <c r="D9" t="s">
        <v>23</v>
      </c>
      <c r="E9" t="s">
        <v>24</v>
      </c>
      <c r="F9" t="s">
        <v>64</v>
      </c>
      <c r="G9" t="s">
        <v>65</v>
      </c>
      <c r="H9" t="s">
        <v>27</v>
      </c>
      <c r="I9">
        <v>8905302263205</v>
      </c>
      <c r="J9" t="s">
        <v>461</v>
      </c>
      <c r="K9" t="s">
        <v>460</v>
      </c>
      <c r="L9" t="s">
        <v>459</v>
      </c>
      <c r="M9" t="s">
        <v>38</v>
      </c>
      <c r="N9">
        <v>6999</v>
      </c>
      <c r="O9">
        <v>6999</v>
      </c>
      <c r="P9">
        <v>1</v>
      </c>
      <c r="Q9">
        <v>6999</v>
      </c>
      <c r="R9">
        <v>0</v>
      </c>
      <c r="S9">
        <v>0</v>
      </c>
      <c r="T9">
        <v>6999</v>
      </c>
      <c r="U9" t="s">
        <v>50</v>
      </c>
    </row>
    <row r="10" spans="1:21" x14ac:dyDescent="0.2">
      <c r="A10" t="s">
        <v>62</v>
      </c>
      <c r="B10" t="s">
        <v>431</v>
      </c>
      <c r="C10" t="s">
        <v>435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>
        <v>8905202264705</v>
      </c>
      <c r="J10" t="s">
        <v>438</v>
      </c>
      <c r="K10" t="s">
        <v>437</v>
      </c>
      <c r="L10" t="s">
        <v>436</v>
      </c>
      <c r="M10" t="s">
        <v>30</v>
      </c>
      <c r="N10">
        <v>3495</v>
      </c>
      <c r="O10">
        <v>3495</v>
      </c>
      <c r="P10">
        <v>1</v>
      </c>
      <c r="Q10">
        <v>3495</v>
      </c>
      <c r="R10">
        <v>0</v>
      </c>
      <c r="S10">
        <v>0</v>
      </c>
      <c r="T10">
        <v>3495</v>
      </c>
      <c r="U10" t="s">
        <v>55</v>
      </c>
    </row>
    <row r="11" spans="1:21" x14ac:dyDescent="0.2">
      <c r="A11" t="s">
        <v>62</v>
      </c>
      <c r="B11" t="s">
        <v>431</v>
      </c>
      <c r="C11" t="s">
        <v>435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>
        <v>8905202264859</v>
      </c>
      <c r="J11" t="s">
        <v>249</v>
      </c>
      <c r="K11" t="s">
        <v>250</v>
      </c>
      <c r="L11" t="s">
        <v>251</v>
      </c>
      <c r="M11" t="s">
        <v>84</v>
      </c>
      <c r="N11">
        <v>3995</v>
      </c>
      <c r="O11">
        <v>3995</v>
      </c>
      <c r="P11">
        <v>1</v>
      </c>
      <c r="Q11">
        <v>3995</v>
      </c>
      <c r="R11">
        <v>0</v>
      </c>
      <c r="S11">
        <v>0</v>
      </c>
      <c r="T11">
        <v>3995</v>
      </c>
      <c r="U11" t="s">
        <v>55</v>
      </c>
    </row>
    <row r="12" spans="1:21" x14ac:dyDescent="0.2">
      <c r="A12" t="s">
        <v>62</v>
      </c>
      <c r="B12" t="s">
        <v>431</v>
      </c>
      <c r="C12" t="s">
        <v>430</v>
      </c>
      <c r="D12" t="s">
        <v>23</v>
      </c>
      <c r="E12" t="s">
        <v>24</v>
      </c>
      <c r="F12" t="s">
        <v>64</v>
      </c>
      <c r="G12" t="s">
        <v>65</v>
      </c>
      <c r="H12" t="s">
        <v>27</v>
      </c>
      <c r="I12">
        <v>8905302263198</v>
      </c>
      <c r="J12" t="s">
        <v>434</v>
      </c>
      <c r="K12" t="s">
        <v>433</v>
      </c>
      <c r="L12" t="s">
        <v>432</v>
      </c>
      <c r="M12" t="s">
        <v>44</v>
      </c>
      <c r="N12">
        <v>6999</v>
      </c>
      <c r="O12">
        <v>6999</v>
      </c>
      <c r="P12">
        <v>1</v>
      </c>
      <c r="Q12">
        <v>6999</v>
      </c>
      <c r="R12">
        <v>0</v>
      </c>
      <c r="S12">
        <v>0</v>
      </c>
      <c r="T12">
        <v>6999</v>
      </c>
      <c r="U12" t="s">
        <v>50</v>
      </c>
    </row>
    <row r="13" spans="1:21" x14ac:dyDescent="0.2">
      <c r="A13" t="s">
        <v>62</v>
      </c>
      <c r="B13" t="s">
        <v>431</v>
      </c>
      <c r="C13" t="s">
        <v>430</v>
      </c>
      <c r="D13" t="s">
        <v>23</v>
      </c>
      <c r="E13" t="s">
        <v>24</v>
      </c>
      <c r="F13" t="s">
        <v>64</v>
      </c>
      <c r="G13" t="s">
        <v>65</v>
      </c>
      <c r="H13" t="s">
        <v>27</v>
      </c>
      <c r="I13">
        <v>8905302263208</v>
      </c>
      <c r="J13" t="s">
        <v>429</v>
      </c>
      <c r="K13" t="s">
        <v>428</v>
      </c>
      <c r="L13" t="s">
        <v>427</v>
      </c>
      <c r="M13" t="s">
        <v>44</v>
      </c>
      <c r="N13">
        <v>5999</v>
      </c>
      <c r="O13">
        <v>5999</v>
      </c>
      <c r="P13">
        <v>1</v>
      </c>
      <c r="Q13">
        <v>5999</v>
      </c>
      <c r="R13">
        <v>0</v>
      </c>
      <c r="S13">
        <v>0</v>
      </c>
      <c r="T13">
        <v>5999</v>
      </c>
      <c r="U13" t="s">
        <v>50</v>
      </c>
    </row>
    <row r="14" spans="1:21" x14ac:dyDescent="0.2">
      <c r="A14" t="s">
        <v>20</v>
      </c>
      <c r="B14" t="s">
        <v>443</v>
      </c>
      <c r="C14" t="s">
        <v>482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8905202264842</v>
      </c>
      <c r="J14" t="s">
        <v>58</v>
      </c>
      <c r="K14" t="s">
        <v>59</v>
      </c>
      <c r="L14" t="s">
        <v>60</v>
      </c>
      <c r="M14" t="s">
        <v>61</v>
      </c>
      <c r="N14">
        <v>3995</v>
      </c>
      <c r="O14">
        <v>3995</v>
      </c>
      <c r="P14">
        <v>1</v>
      </c>
      <c r="Q14">
        <v>3995</v>
      </c>
      <c r="R14">
        <v>599.25</v>
      </c>
      <c r="S14">
        <v>0</v>
      </c>
      <c r="T14">
        <v>3395.75</v>
      </c>
      <c r="U14" t="s">
        <v>55</v>
      </c>
    </row>
    <row r="15" spans="1:21" x14ac:dyDescent="0.2">
      <c r="A15" t="s">
        <v>20</v>
      </c>
      <c r="B15" t="s">
        <v>443</v>
      </c>
      <c r="C15" t="s">
        <v>479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>
        <v>8905202264675</v>
      </c>
      <c r="J15" t="s">
        <v>481</v>
      </c>
      <c r="K15" t="s">
        <v>480</v>
      </c>
      <c r="L15" t="s">
        <v>53</v>
      </c>
      <c r="M15" t="s">
        <v>54</v>
      </c>
      <c r="N15">
        <v>2995</v>
      </c>
      <c r="O15">
        <v>2995</v>
      </c>
      <c r="P15">
        <v>1</v>
      </c>
      <c r="Q15">
        <v>2995</v>
      </c>
      <c r="R15">
        <v>898.5</v>
      </c>
      <c r="S15">
        <v>0</v>
      </c>
      <c r="T15">
        <v>2096.5</v>
      </c>
      <c r="U15" t="s">
        <v>259</v>
      </c>
    </row>
    <row r="16" spans="1:21" x14ac:dyDescent="0.2">
      <c r="A16" t="s">
        <v>20</v>
      </c>
      <c r="B16" t="s">
        <v>443</v>
      </c>
      <c r="C16" t="s">
        <v>479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>
        <v>8905202269090</v>
      </c>
      <c r="J16" t="s">
        <v>478</v>
      </c>
      <c r="K16" t="s">
        <v>477</v>
      </c>
      <c r="L16" t="s">
        <v>416</v>
      </c>
      <c r="M16" t="s">
        <v>54</v>
      </c>
      <c r="N16">
        <v>3495</v>
      </c>
      <c r="O16">
        <v>3495</v>
      </c>
      <c r="P16">
        <v>1</v>
      </c>
      <c r="Q16">
        <v>3495</v>
      </c>
      <c r="R16">
        <v>1048.5</v>
      </c>
      <c r="S16">
        <v>0</v>
      </c>
      <c r="T16">
        <v>2446.5</v>
      </c>
      <c r="U16" t="s">
        <v>259</v>
      </c>
    </row>
    <row r="17" spans="1:21" x14ac:dyDescent="0.2">
      <c r="A17" t="s">
        <v>20</v>
      </c>
      <c r="B17" t="s">
        <v>443</v>
      </c>
      <c r="C17" t="s">
        <v>476</v>
      </c>
      <c r="D17" t="s">
        <v>23</v>
      </c>
      <c r="E17" t="s">
        <v>24</v>
      </c>
      <c r="F17" t="s">
        <v>64</v>
      </c>
      <c r="G17" t="s">
        <v>65</v>
      </c>
      <c r="H17" t="s">
        <v>27</v>
      </c>
      <c r="I17">
        <v>8905302263202</v>
      </c>
      <c r="J17" t="s">
        <v>475</v>
      </c>
      <c r="K17" t="s">
        <v>474</v>
      </c>
      <c r="L17" t="s">
        <v>473</v>
      </c>
      <c r="M17" t="s">
        <v>61</v>
      </c>
      <c r="N17">
        <v>6999</v>
      </c>
      <c r="O17">
        <v>6999</v>
      </c>
      <c r="P17">
        <v>1</v>
      </c>
      <c r="Q17">
        <v>6999</v>
      </c>
      <c r="R17">
        <v>1049.8499999999999</v>
      </c>
      <c r="S17">
        <v>0</v>
      </c>
      <c r="T17">
        <v>5949.15</v>
      </c>
      <c r="U17" t="s">
        <v>55</v>
      </c>
    </row>
    <row r="18" spans="1:21" x14ac:dyDescent="0.2">
      <c r="A18" t="s">
        <v>62</v>
      </c>
      <c r="B18" t="s">
        <v>443</v>
      </c>
      <c r="C18" t="s">
        <v>444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>
        <v>8905202264705</v>
      </c>
      <c r="J18" t="s">
        <v>438</v>
      </c>
      <c r="K18" t="s">
        <v>437</v>
      </c>
      <c r="L18" t="s">
        <v>436</v>
      </c>
      <c r="M18" t="s">
        <v>30</v>
      </c>
      <c r="N18">
        <v>3495</v>
      </c>
      <c r="O18">
        <v>3495</v>
      </c>
      <c r="P18">
        <v>1</v>
      </c>
      <c r="Q18">
        <v>3495</v>
      </c>
      <c r="R18">
        <v>524.25</v>
      </c>
      <c r="S18">
        <v>0</v>
      </c>
      <c r="T18">
        <v>2970.75</v>
      </c>
      <c r="U18" t="s">
        <v>50</v>
      </c>
    </row>
    <row r="19" spans="1:21" x14ac:dyDescent="0.2">
      <c r="A19" t="s">
        <v>62</v>
      </c>
      <c r="B19" t="s">
        <v>443</v>
      </c>
      <c r="C19" t="s">
        <v>442</v>
      </c>
      <c r="D19" t="s">
        <v>23</v>
      </c>
      <c r="E19" t="s">
        <v>24</v>
      </c>
      <c r="F19" t="s">
        <v>25</v>
      </c>
      <c r="G19" t="s">
        <v>34</v>
      </c>
      <c r="H19" t="s">
        <v>27</v>
      </c>
      <c r="I19">
        <v>8905302263249</v>
      </c>
      <c r="J19" t="s">
        <v>441</v>
      </c>
      <c r="K19" t="s">
        <v>440</v>
      </c>
      <c r="L19" t="s">
        <v>439</v>
      </c>
      <c r="M19" t="s">
        <v>84</v>
      </c>
      <c r="N19">
        <v>5999</v>
      </c>
      <c r="O19">
        <v>5999</v>
      </c>
      <c r="P19">
        <v>1</v>
      </c>
      <c r="Q19">
        <v>5999</v>
      </c>
      <c r="R19">
        <v>899.85</v>
      </c>
      <c r="S19">
        <v>0</v>
      </c>
      <c r="T19">
        <v>5099.1499999999996</v>
      </c>
      <c r="U19" t="s">
        <v>284</v>
      </c>
    </row>
    <row r="20" spans="1:21" x14ac:dyDescent="0.2">
      <c r="A20" t="s">
        <v>20</v>
      </c>
      <c r="B20" t="s">
        <v>487</v>
      </c>
      <c r="C20" t="s">
        <v>486</v>
      </c>
      <c r="D20" t="s">
        <v>23</v>
      </c>
      <c r="E20" t="s">
        <v>24</v>
      </c>
      <c r="F20" t="s">
        <v>64</v>
      </c>
      <c r="G20" t="s">
        <v>65</v>
      </c>
      <c r="H20" t="s">
        <v>27</v>
      </c>
      <c r="I20">
        <v>8905302263183</v>
      </c>
      <c r="J20" t="s">
        <v>485</v>
      </c>
      <c r="K20" t="s">
        <v>484</v>
      </c>
      <c r="L20" t="s">
        <v>483</v>
      </c>
      <c r="M20" t="s">
        <v>38</v>
      </c>
      <c r="N20">
        <v>5999</v>
      </c>
      <c r="O20">
        <v>5999</v>
      </c>
      <c r="P20">
        <v>1</v>
      </c>
      <c r="Q20">
        <v>5999</v>
      </c>
      <c r="R20">
        <v>899.85</v>
      </c>
      <c r="S20">
        <v>0</v>
      </c>
      <c r="T20">
        <v>5099.1499999999996</v>
      </c>
      <c r="U20" t="s">
        <v>259</v>
      </c>
    </row>
    <row r="21" spans="1:21" x14ac:dyDescent="0.2">
      <c r="A21" t="s">
        <v>62</v>
      </c>
      <c r="B21" t="s">
        <v>448</v>
      </c>
      <c r="C21" t="s">
        <v>453</v>
      </c>
      <c r="D21" t="s">
        <v>23</v>
      </c>
      <c r="E21" t="s">
        <v>24</v>
      </c>
      <c r="F21" t="s">
        <v>25</v>
      </c>
      <c r="G21" t="s">
        <v>34</v>
      </c>
      <c r="H21" t="s">
        <v>27</v>
      </c>
      <c r="I21">
        <v>8905302263251</v>
      </c>
      <c r="J21" t="s">
        <v>452</v>
      </c>
      <c r="K21" t="s">
        <v>451</v>
      </c>
      <c r="L21" t="s">
        <v>450</v>
      </c>
      <c r="M21" t="s">
        <v>61</v>
      </c>
      <c r="N21">
        <v>4999</v>
      </c>
      <c r="O21">
        <v>4999</v>
      </c>
      <c r="P21">
        <v>1</v>
      </c>
      <c r="Q21">
        <v>4999</v>
      </c>
      <c r="R21">
        <v>749.85</v>
      </c>
      <c r="S21">
        <v>0</v>
      </c>
      <c r="T21">
        <v>4249.1499999999996</v>
      </c>
      <c r="U21" t="s">
        <v>449</v>
      </c>
    </row>
    <row r="22" spans="1:21" x14ac:dyDescent="0.2">
      <c r="A22" t="s">
        <v>62</v>
      </c>
      <c r="B22" t="s">
        <v>448</v>
      </c>
      <c r="C22" t="s">
        <v>102</v>
      </c>
      <c r="D22" t="s">
        <v>23</v>
      </c>
      <c r="E22" t="s">
        <v>24</v>
      </c>
      <c r="F22" t="s">
        <v>25</v>
      </c>
      <c r="G22" t="s">
        <v>34</v>
      </c>
      <c r="H22" t="s">
        <v>27</v>
      </c>
      <c r="I22">
        <v>8905302263235</v>
      </c>
      <c r="J22" t="s">
        <v>447</v>
      </c>
      <c r="K22" t="s">
        <v>446</v>
      </c>
      <c r="L22" t="s">
        <v>445</v>
      </c>
      <c r="M22" t="s">
        <v>38</v>
      </c>
      <c r="N22">
        <v>5999</v>
      </c>
      <c r="O22">
        <v>5999</v>
      </c>
      <c r="P22">
        <v>1</v>
      </c>
      <c r="Q22">
        <v>5999</v>
      </c>
      <c r="R22">
        <v>899.85</v>
      </c>
      <c r="S22">
        <v>0</v>
      </c>
      <c r="T22">
        <v>5099.1499999999996</v>
      </c>
      <c r="U22" t="s">
        <v>45</v>
      </c>
    </row>
    <row r="23" spans="1:21" x14ac:dyDescent="0.2">
      <c r="A23" t="s">
        <v>20</v>
      </c>
      <c r="B23" t="s">
        <v>455</v>
      </c>
      <c r="C23" t="s">
        <v>488</v>
      </c>
      <c r="D23" t="s">
        <v>23</v>
      </c>
      <c r="E23" t="s">
        <v>24</v>
      </c>
      <c r="F23" t="s">
        <v>64</v>
      </c>
      <c r="G23" t="s">
        <v>65</v>
      </c>
      <c r="H23" t="s">
        <v>27</v>
      </c>
      <c r="I23">
        <v>8905302263192</v>
      </c>
      <c r="J23" t="s">
        <v>465</v>
      </c>
      <c r="K23" t="s">
        <v>464</v>
      </c>
      <c r="L23" t="s">
        <v>463</v>
      </c>
      <c r="M23" t="s">
        <v>38</v>
      </c>
      <c r="N23">
        <v>7999</v>
      </c>
      <c r="O23">
        <v>7999</v>
      </c>
      <c r="P23">
        <v>1</v>
      </c>
      <c r="Q23">
        <v>7999</v>
      </c>
      <c r="R23">
        <v>1199.8499999999999</v>
      </c>
      <c r="S23">
        <v>0</v>
      </c>
      <c r="T23">
        <v>6799.15</v>
      </c>
      <c r="U23" t="s">
        <v>31</v>
      </c>
    </row>
    <row r="24" spans="1:21" x14ac:dyDescent="0.2">
      <c r="A24" t="s">
        <v>62</v>
      </c>
      <c r="B24" t="s">
        <v>455</v>
      </c>
      <c r="C24" t="s">
        <v>462</v>
      </c>
      <c r="D24" t="s">
        <v>23</v>
      </c>
      <c r="E24" t="s">
        <v>24</v>
      </c>
      <c r="F24" t="s">
        <v>64</v>
      </c>
      <c r="G24" t="s">
        <v>65</v>
      </c>
      <c r="H24" t="s">
        <v>27</v>
      </c>
      <c r="I24">
        <v>8905302263192</v>
      </c>
      <c r="J24" t="s">
        <v>465</v>
      </c>
      <c r="K24" t="s">
        <v>464</v>
      </c>
      <c r="L24" t="s">
        <v>463</v>
      </c>
      <c r="M24" t="s">
        <v>38</v>
      </c>
      <c r="N24">
        <v>7999</v>
      </c>
      <c r="O24">
        <v>7999</v>
      </c>
      <c r="P24">
        <v>1</v>
      </c>
      <c r="Q24">
        <v>7999</v>
      </c>
      <c r="R24">
        <v>2399.6999999999998</v>
      </c>
      <c r="S24">
        <v>0</v>
      </c>
      <c r="T24">
        <v>5599.3</v>
      </c>
      <c r="U24" t="s">
        <v>50</v>
      </c>
    </row>
    <row r="25" spans="1:21" x14ac:dyDescent="0.2">
      <c r="A25" t="s">
        <v>62</v>
      </c>
      <c r="B25" t="s">
        <v>455</v>
      </c>
      <c r="C25" t="s">
        <v>462</v>
      </c>
      <c r="D25" t="s">
        <v>23</v>
      </c>
      <c r="E25" t="s">
        <v>24</v>
      </c>
      <c r="F25" t="s">
        <v>64</v>
      </c>
      <c r="G25" t="s">
        <v>65</v>
      </c>
      <c r="H25" t="s">
        <v>27</v>
      </c>
      <c r="I25">
        <v>8905302263205</v>
      </c>
      <c r="J25" t="s">
        <v>461</v>
      </c>
      <c r="K25" t="s">
        <v>460</v>
      </c>
      <c r="L25" t="s">
        <v>459</v>
      </c>
      <c r="M25" t="s">
        <v>38</v>
      </c>
      <c r="N25">
        <v>6999</v>
      </c>
      <c r="O25">
        <v>6999</v>
      </c>
      <c r="P25">
        <v>1</v>
      </c>
      <c r="Q25">
        <v>6999</v>
      </c>
      <c r="R25">
        <v>2099.6999999999998</v>
      </c>
      <c r="S25">
        <v>0</v>
      </c>
      <c r="T25">
        <v>4899.3</v>
      </c>
      <c r="U25" t="s">
        <v>50</v>
      </c>
    </row>
    <row r="26" spans="1:21" s="47" customFormat="1" x14ac:dyDescent="0.2">
      <c r="A26" t="s">
        <v>62</v>
      </c>
      <c r="B26" t="s">
        <v>455</v>
      </c>
      <c r="C26" t="s">
        <v>458</v>
      </c>
      <c r="D26" t="s">
        <v>23</v>
      </c>
      <c r="E26" t="s">
        <v>24</v>
      </c>
      <c r="F26" t="s">
        <v>64</v>
      </c>
      <c r="G26" t="s">
        <v>359</v>
      </c>
      <c r="H26" t="s">
        <v>27</v>
      </c>
      <c r="I26">
        <v>8905202268710</v>
      </c>
      <c r="J26" t="s">
        <v>457</v>
      </c>
      <c r="K26">
        <v>8905202268710</v>
      </c>
      <c r="L26" t="s">
        <v>456</v>
      </c>
      <c r="M26" t="s">
        <v>38</v>
      </c>
      <c r="N26">
        <v>3995</v>
      </c>
      <c r="O26">
        <v>3995</v>
      </c>
      <c r="P26">
        <v>1</v>
      </c>
      <c r="Q26">
        <v>3995</v>
      </c>
      <c r="R26">
        <v>599.25</v>
      </c>
      <c r="S26">
        <v>0</v>
      </c>
      <c r="T26">
        <v>3395.75</v>
      </c>
      <c r="U26" t="s">
        <v>55</v>
      </c>
    </row>
    <row r="27" spans="1:21" x14ac:dyDescent="0.2">
      <c r="A27" t="s">
        <v>62</v>
      </c>
      <c r="B27" t="s">
        <v>455</v>
      </c>
      <c r="C27" t="s">
        <v>454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>
        <v>8905202264873</v>
      </c>
      <c r="J27" t="s">
        <v>130</v>
      </c>
      <c r="K27" t="s">
        <v>131</v>
      </c>
      <c r="L27" t="s">
        <v>94</v>
      </c>
      <c r="M27" t="s">
        <v>44</v>
      </c>
      <c r="N27">
        <v>3995</v>
      </c>
      <c r="O27">
        <v>3995</v>
      </c>
      <c r="P27">
        <v>1</v>
      </c>
      <c r="Q27">
        <v>3995</v>
      </c>
      <c r="R27">
        <v>599.25</v>
      </c>
      <c r="S27">
        <v>0</v>
      </c>
      <c r="T27">
        <v>3395.75</v>
      </c>
      <c r="U27" t="s">
        <v>50</v>
      </c>
    </row>
    <row r="28" spans="1:21" x14ac:dyDescent="0.2">
      <c r="A28" t="s">
        <v>62</v>
      </c>
      <c r="B28" t="s">
        <v>527</v>
      </c>
      <c r="C28" t="s">
        <v>528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>
        <v>8905202264682</v>
      </c>
      <c r="J28" t="s">
        <v>529</v>
      </c>
      <c r="K28" t="s">
        <v>530</v>
      </c>
      <c r="L28" t="s">
        <v>149</v>
      </c>
      <c r="M28" t="s">
        <v>38</v>
      </c>
      <c r="N28">
        <v>2995</v>
      </c>
      <c r="O28">
        <v>2995</v>
      </c>
      <c r="P28">
        <v>1</v>
      </c>
      <c r="Q28">
        <v>2995</v>
      </c>
      <c r="R28">
        <v>898.5</v>
      </c>
      <c r="S28">
        <v>0</v>
      </c>
      <c r="T28">
        <v>2096.5</v>
      </c>
      <c r="U28" t="s">
        <v>50</v>
      </c>
    </row>
    <row r="29" spans="1:21" x14ac:dyDescent="0.2">
      <c r="A29" t="s">
        <v>62</v>
      </c>
      <c r="B29" t="s">
        <v>527</v>
      </c>
      <c r="C29" t="s">
        <v>528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>
        <v>8905202269281</v>
      </c>
      <c r="J29" t="s">
        <v>531</v>
      </c>
      <c r="K29" t="s">
        <v>532</v>
      </c>
      <c r="L29" t="s">
        <v>60</v>
      </c>
      <c r="M29" t="s">
        <v>61</v>
      </c>
      <c r="N29">
        <v>3495</v>
      </c>
      <c r="O29">
        <v>3495</v>
      </c>
      <c r="P29">
        <v>1</v>
      </c>
      <c r="Q29">
        <v>3495</v>
      </c>
      <c r="R29">
        <v>1048.5</v>
      </c>
      <c r="S29">
        <v>0</v>
      </c>
      <c r="T29">
        <v>2446.5</v>
      </c>
      <c r="U29" t="s">
        <v>50</v>
      </c>
    </row>
    <row r="30" spans="1:21" x14ac:dyDescent="0.2">
      <c r="A30" t="s">
        <v>62</v>
      </c>
      <c r="B30" t="s">
        <v>563</v>
      </c>
      <c r="C30" t="s">
        <v>564</v>
      </c>
      <c r="D30" t="s">
        <v>23</v>
      </c>
      <c r="E30" t="s">
        <v>24</v>
      </c>
      <c r="F30" t="s">
        <v>64</v>
      </c>
      <c r="G30" t="s">
        <v>65</v>
      </c>
      <c r="H30" t="s">
        <v>27</v>
      </c>
      <c r="I30">
        <v>8905302263201</v>
      </c>
      <c r="J30" t="s">
        <v>565</v>
      </c>
      <c r="K30" t="s">
        <v>566</v>
      </c>
      <c r="L30" t="s">
        <v>567</v>
      </c>
      <c r="M30" t="s">
        <v>84</v>
      </c>
      <c r="N30">
        <v>6999</v>
      </c>
      <c r="O30">
        <v>6999</v>
      </c>
      <c r="P30">
        <v>1</v>
      </c>
      <c r="Q30">
        <v>6999</v>
      </c>
      <c r="R30">
        <v>2099.6999999999998</v>
      </c>
      <c r="S30">
        <v>0</v>
      </c>
      <c r="T30">
        <v>4899.3</v>
      </c>
      <c r="U30" t="s">
        <v>50</v>
      </c>
    </row>
    <row r="31" spans="1:21" x14ac:dyDescent="0.2">
      <c r="A31" t="s">
        <v>62</v>
      </c>
      <c r="B31" t="s">
        <v>563</v>
      </c>
      <c r="C31" t="s">
        <v>564</v>
      </c>
      <c r="D31" t="s">
        <v>23</v>
      </c>
      <c r="E31" t="s">
        <v>136</v>
      </c>
      <c r="F31" t="s">
        <v>25</v>
      </c>
      <c r="G31" t="s">
        <v>26</v>
      </c>
      <c r="H31" t="s">
        <v>27</v>
      </c>
      <c r="I31">
        <v>8905202269243</v>
      </c>
      <c r="J31" t="s">
        <v>568</v>
      </c>
      <c r="K31">
        <v>8905202269243</v>
      </c>
      <c r="L31" t="s">
        <v>569</v>
      </c>
      <c r="M31" t="s">
        <v>38</v>
      </c>
      <c r="N31">
        <v>1995</v>
      </c>
      <c r="O31">
        <v>1995</v>
      </c>
      <c r="P31">
        <v>1</v>
      </c>
      <c r="Q31">
        <v>1995</v>
      </c>
      <c r="R31">
        <v>598.5</v>
      </c>
      <c r="S31">
        <v>0</v>
      </c>
      <c r="T31">
        <v>1396.5</v>
      </c>
      <c r="U31" t="s">
        <v>50</v>
      </c>
    </row>
    <row r="32" spans="1:21" x14ac:dyDescent="0.2">
      <c r="A32" t="s">
        <v>62</v>
      </c>
      <c r="B32" t="s">
        <v>559</v>
      </c>
      <c r="C32" t="s">
        <v>560</v>
      </c>
      <c r="D32" t="s">
        <v>23</v>
      </c>
      <c r="E32" t="s">
        <v>24</v>
      </c>
      <c r="F32" t="s">
        <v>64</v>
      </c>
      <c r="G32" t="s">
        <v>294</v>
      </c>
      <c r="H32" t="s">
        <v>27</v>
      </c>
      <c r="I32">
        <v>8905202269069</v>
      </c>
      <c r="J32" t="s">
        <v>561</v>
      </c>
      <c r="K32">
        <v>8905202269069</v>
      </c>
      <c r="L32" t="s">
        <v>562</v>
      </c>
      <c r="M32" t="s">
        <v>61</v>
      </c>
      <c r="N32">
        <v>2995</v>
      </c>
      <c r="O32">
        <v>2995</v>
      </c>
      <c r="P32">
        <v>1</v>
      </c>
      <c r="Q32">
        <v>2995</v>
      </c>
      <c r="R32">
        <v>449.25</v>
      </c>
      <c r="S32">
        <v>0</v>
      </c>
      <c r="T32">
        <v>2545.75</v>
      </c>
      <c r="U32" t="s">
        <v>45</v>
      </c>
    </row>
    <row r="33" spans="1:21" x14ac:dyDescent="0.2">
      <c r="A33" t="s">
        <v>62</v>
      </c>
      <c r="B33" t="s">
        <v>557</v>
      </c>
      <c r="C33" t="s">
        <v>558</v>
      </c>
      <c r="D33" t="s">
        <v>23</v>
      </c>
      <c r="E33" t="s">
        <v>24</v>
      </c>
      <c r="F33" t="s">
        <v>64</v>
      </c>
      <c r="G33" t="s">
        <v>65</v>
      </c>
      <c r="H33" t="s">
        <v>27</v>
      </c>
      <c r="I33">
        <v>8905302263203</v>
      </c>
      <c r="J33" t="s">
        <v>290</v>
      </c>
      <c r="K33" t="s">
        <v>291</v>
      </c>
      <c r="L33" t="s">
        <v>292</v>
      </c>
      <c r="M33" t="s">
        <v>44</v>
      </c>
      <c r="N33">
        <v>6999</v>
      </c>
      <c r="O33">
        <v>6999</v>
      </c>
      <c r="P33">
        <v>1</v>
      </c>
      <c r="Q33">
        <v>6999</v>
      </c>
      <c r="R33">
        <v>1049.8499999999999</v>
      </c>
      <c r="S33">
        <v>0</v>
      </c>
      <c r="T33">
        <v>5949.15</v>
      </c>
      <c r="U33" t="s">
        <v>45</v>
      </c>
    </row>
    <row r="34" spans="1:21" x14ac:dyDescent="0.2">
      <c r="A34" t="s">
        <v>20</v>
      </c>
      <c r="B34" t="s">
        <v>546</v>
      </c>
      <c r="C34" t="s">
        <v>547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>
        <v>8905202264606</v>
      </c>
      <c r="J34" t="s">
        <v>93</v>
      </c>
      <c r="K34">
        <v>8905202264606</v>
      </c>
      <c r="L34" t="s">
        <v>94</v>
      </c>
      <c r="M34" t="s">
        <v>44</v>
      </c>
      <c r="N34">
        <v>3495</v>
      </c>
      <c r="O34">
        <v>3495</v>
      </c>
      <c r="P34">
        <v>1</v>
      </c>
      <c r="Q34">
        <v>3495</v>
      </c>
      <c r="R34">
        <v>524.25</v>
      </c>
      <c r="S34">
        <v>0</v>
      </c>
      <c r="T34">
        <v>2970.75</v>
      </c>
      <c r="U34" t="s">
        <v>50</v>
      </c>
    </row>
    <row r="35" spans="1:21" x14ac:dyDescent="0.2">
      <c r="A35" t="s">
        <v>62</v>
      </c>
      <c r="B35" t="s">
        <v>550</v>
      </c>
      <c r="C35" t="s">
        <v>551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>
        <v>8905202264835</v>
      </c>
      <c r="J35" t="s">
        <v>552</v>
      </c>
      <c r="K35" t="s">
        <v>553</v>
      </c>
      <c r="L35" t="s">
        <v>53</v>
      </c>
      <c r="M35" t="s">
        <v>54</v>
      </c>
      <c r="N35">
        <v>3995</v>
      </c>
      <c r="O35">
        <v>3995</v>
      </c>
      <c r="P35">
        <v>1</v>
      </c>
      <c r="Q35">
        <v>3995</v>
      </c>
      <c r="R35">
        <v>1198.5</v>
      </c>
      <c r="S35">
        <v>0</v>
      </c>
      <c r="T35">
        <v>2796.5</v>
      </c>
      <c r="U35" t="s">
        <v>45</v>
      </c>
    </row>
    <row r="36" spans="1:21" x14ac:dyDescent="0.2">
      <c r="A36" t="s">
        <v>62</v>
      </c>
      <c r="B36" t="s">
        <v>550</v>
      </c>
      <c r="C36" t="s">
        <v>551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>
        <v>8905202269441</v>
      </c>
      <c r="J36" t="s">
        <v>554</v>
      </c>
      <c r="K36" t="s">
        <v>555</v>
      </c>
      <c r="L36" t="s">
        <v>556</v>
      </c>
      <c r="M36" t="s">
        <v>54</v>
      </c>
      <c r="N36">
        <v>3995</v>
      </c>
      <c r="O36">
        <v>3995</v>
      </c>
      <c r="P36">
        <v>1</v>
      </c>
      <c r="Q36">
        <v>3995</v>
      </c>
      <c r="R36">
        <v>1198.5</v>
      </c>
      <c r="S36">
        <v>0</v>
      </c>
      <c r="T36">
        <v>2796.5</v>
      </c>
      <c r="U36" t="s">
        <v>45</v>
      </c>
    </row>
    <row r="37" spans="1:21" x14ac:dyDescent="0.2">
      <c r="A37" t="s">
        <v>20</v>
      </c>
      <c r="B37" t="s">
        <v>541</v>
      </c>
      <c r="C37" t="s">
        <v>542</v>
      </c>
      <c r="D37" t="s">
        <v>23</v>
      </c>
      <c r="E37" t="s">
        <v>24</v>
      </c>
      <c r="F37" t="s">
        <v>64</v>
      </c>
      <c r="G37" t="s">
        <v>65</v>
      </c>
      <c r="H37" t="s">
        <v>27</v>
      </c>
      <c r="I37">
        <v>8905302263197</v>
      </c>
      <c r="J37" t="s">
        <v>543</v>
      </c>
      <c r="K37" t="s">
        <v>544</v>
      </c>
      <c r="L37" t="s">
        <v>545</v>
      </c>
      <c r="M37" t="s">
        <v>61</v>
      </c>
      <c r="N37">
        <v>6999</v>
      </c>
      <c r="O37">
        <v>6999</v>
      </c>
      <c r="P37">
        <v>1</v>
      </c>
      <c r="Q37">
        <v>6999</v>
      </c>
      <c r="R37">
        <v>1049.8499999999999</v>
      </c>
      <c r="S37">
        <v>0</v>
      </c>
      <c r="T37">
        <v>5949.15</v>
      </c>
      <c r="U37" t="s">
        <v>50</v>
      </c>
    </row>
    <row r="38" spans="1:21" x14ac:dyDescent="0.2">
      <c r="A38" t="s">
        <v>62</v>
      </c>
      <c r="B38" t="s">
        <v>548</v>
      </c>
      <c r="C38" t="s">
        <v>549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>
        <v>8905202264859</v>
      </c>
      <c r="J38" t="s">
        <v>249</v>
      </c>
      <c r="K38" t="s">
        <v>250</v>
      </c>
      <c r="L38" t="s">
        <v>251</v>
      </c>
      <c r="M38" t="s">
        <v>84</v>
      </c>
      <c r="N38">
        <v>3995</v>
      </c>
      <c r="O38">
        <v>3995</v>
      </c>
      <c r="P38">
        <v>1</v>
      </c>
      <c r="Q38">
        <v>3995</v>
      </c>
      <c r="R38">
        <v>599.25</v>
      </c>
      <c r="S38">
        <v>0</v>
      </c>
      <c r="T38">
        <v>3395.75</v>
      </c>
      <c r="U38" t="s">
        <v>31</v>
      </c>
    </row>
    <row r="39" spans="1:21" x14ac:dyDescent="0.2">
      <c r="A39" t="s">
        <v>62</v>
      </c>
      <c r="B39" t="s">
        <v>570</v>
      </c>
      <c r="C39" t="s">
        <v>571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>
        <v>8905202264637</v>
      </c>
      <c r="J39" t="s">
        <v>572</v>
      </c>
      <c r="K39">
        <v>8905202264637</v>
      </c>
      <c r="L39" t="s">
        <v>149</v>
      </c>
      <c r="M39" t="s">
        <v>38</v>
      </c>
      <c r="N39">
        <v>3495</v>
      </c>
      <c r="O39">
        <v>3495</v>
      </c>
      <c r="P39">
        <v>1</v>
      </c>
      <c r="Q39">
        <v>3495</v>
      </c>
      <c r="R39">
        <v>524.25</v>
      </c>
      <c r="S39">
        <v>0</v>
      </c>
      <c r="T39">
        <v>2970.75</v>
      </c>
      <c r="U39" t="s">
        <v>55</v>
      </c>
    </row>
    <row r="40" spans="1:21" x14ac:dyDescent="0.2">
      <c r="A40" t="s">
        <v>62</v>
      </c>
      <c r="B40" t="s">
        <v>573</v>
      </c>
      <c r="C40" t="s">
        <v>574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>
        <v>8905202269434</v>
      </c>
      <c r="J40" t="s">
        <v>155</v>
      </c>
      <c r="K40" t="s">
        <v>156</v>
      </c>
      <c r="L40" t="s">
        <v>157</v>
      </c>
      <c r="M40" t="s">
        <v>61</v>
      </c>
      <c r="N40">
        <v>3995</v>
      </c>
      <c r="O40">
        <v>3995</v>
      </c>
      <c r="P40">
        <v>1</v>
      </c>
      <c r="Q40">
        <v>3995</v>
      </c>
      <c r="R40">
        <v>599.25</v>
      </c>
      <c r="S40">
        <v>0</v>
      </c>
      <c r="T40">
        <v>3395.75</v>
      </c>
      <c r="U40" t="s">
        <v>50</v>
      </c>
    </row>
    <row r="41" spans="1:21" x14ac:dyDescent="0.2">
      <c r="A41" t="s">
        <v>575</v>
      </c>
      <c r="B41" t="s">
        <v>573</v>
      </c>
      <c r="C41" t="s">
        <v>576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>
        <v>8905202264873</v>
      </c>
      <c r="J41" t="s">
        <v>130</v>
      </c>
      <c r="K41" t="s">
        <v>131</v>
      </c>
      <c r="L41" t="s">
        <v>94</v>
      </c>
      <c r="M41" t="s">
        <v>44</v>
      </c>
      <c r="N41">
        <v>3995</v>
      </c>
      <c r="O41">
        <v>3995</v>
      </c>
      <c r="P41">
        <v>1</v>
      </c>
      <c r="Q41">
        <v>3995</v>
      </c>
      <c r="R41">
        <v>0</v>
      </c>
      <c r="S41">
        <v>0</v>
      </c>
      <c r="T41">
        <v>3995</v>
      </c>
      <c r="U41" t="s">
        <v>45</v>
      </c>
    </row>
    <row r="42" spans="1:21" x14ac:dyDescent="0.2">
      <c r="A42" t="s">
        <v>62</v>
      </c>
      <c r="B42" t="s">
        <v>577</v>
      </c>
      <c r="C42" t="s">
        <v>578</v>
      </c>
      <c r="D42" t="s">
        <v>23</v>
      </c>
      <c r="E42" t="s">
        <v>24</v>
      </c>
      <c r="F42" t="s">
        <v>25</v>
      </c>
      <c r="G42" t="s">
        <v>34</v>
      </c>
      <c r="H42" t="s">
        <v>27</v>
      </c>
      <c r="I42">
        <v>8905302263247</v>
      </c>
      <c r="J42" t="s">
        <v>579</v>
      </c>
      <c r="K42" t="s">
        <v>580</v>
      </c>
      <c r="L42" t="s">
        <v>581</v>
      </c>
      <c r="M42" t="s">
        <v>84</v>
      </c>
      <c r="N42">
        <v>4495</v>
      </c>
      <c r="O42">
        <v>4495</v>
      </c>
      <c r="P42">
        <v>1</v>
      </c>
      <c r="Q42">
        <v>4495</v>
      </c>
      <c r="R42">
        <v>674.25</v>
      </c>
      <c r="S42">
        <v>0</v>
      </c>
      <c r="T42">
        <v>3820.75</v>
      </c>
      <c r="U42" t="s">
        <v>582</v>
      </c>
    </row>
    <row r="43" spans="1:21" x14ac:dyDescent="0.2">
      <c r="A43" t="s">
        <v>62</v>
      </c>
      <c r="B43" t="s">
        <v>577</v>
      </c>
      <c r="C43" t="s">
        <v>583</v>
      </c>
      <c r="D43" t="s">
        <v>23</v>
      </c>
      <c r="E43" t="s">
        <v>24</v>
      </c>
      <c r="F43" t="s">
        <v>64</v>
      </c>
      <c r="G43" t="s">
        <v>65</v>
      </c>
      <c r="H43" t="s">
        <v>27</v>
      </c>
      <c r="I43">
        <v>8905302263200</v>
      </c>
      <c r="J43" t="s">
        <v>584</v>
      </c>
      <c r="K43" t="s">
        <v>585</v>
      </c>
      <c r="L43" t="s">
        <v>586</v>
      </c>
      <c r="M43" t="s">
        <v>38</v>
      </c>
      <c r="N43">
        <v>6999</v>
      </c>
      <c r="O43">
        <v>6999</v>
      </c>
      <c r="P43">
        <v>1</v>
      </c>
      <c r="Q43">
        <v>6999</v>
      </c>
      <c r="R43">
        <v>2099.6999999999998</v>
      </c>
      <c r="S43">
        <v>0</v>
      </c>
      <c r="T43">
        <v>4899.3</v>
      </c>
      <c r="U43" t="s">
        <v>55</v>
      </c>
    </row>
    <row r="44" spans="1:21" x14ac:dyDescent="0.2">
      <c r="A44" t="s">
        <v>62</v>
      </c>
      <c r="B44" t="s">
        <v>577</v>
      </c>
      <c r="C44" t="s">
        <v>583</v>
      </c>
      <c r="D44" t="s">
        <v>23</v>
      </c>
      <c r="E44" t="s">
        <v>24</v>
      </c>
      <c r="F44" t="s">
        <v>64</v>
      </c>
      <c r="G44" t="s">
        <v>65</v>
      </c>
      <c r="H44" t="s">
        <v>27</v>
      </c>
      <c r="I44">
        <v>8905302263206</v>
      </c>
      <c r="J44" t="s">
        <v>587</v>
      </c>
      <c r="K44" t="s">
        <v>588</v>
      </c>
      <c r="L44" t="s">
        <v>589</v>
      </c>
      <c r="M44" t="s">
        <v>84</v>
      </c>
      <c r="N44">
        <v>6999</v>
      </c>
      <c r="O44">
        <v>6999</v>
      </c>
      <c r="P44">
        <v>1</v>
      </c>
      <c r="Q44">
        <v>6999</v>
      </c>
      <c r="R44">
        <v>2099.6999999999998</v>
      </c>
      <c r="S44">
        <v>0</v>
      </c>
      <c r="T44">
        <v>4899.3</v>
      </c>
      <c r="U44" t="s">
        <v>55</v>
      </c>
    </row>
    <row r="45" spans="1:21" x14ac:dyDescent="0.2">
      <c r="A45" t="s">
        <v>62</v>
      </c>
      <c r="B45" t="s">
        <v>577</v>
      </c>
      <c r="C45" t="s">
        <v>590</v>
      </c>
      <c r="D45" t="s">
        <v>23</v>
      </c>
      <c r="E45" t="s">
        <v>24</v>
      </c>
      <c r="F45" t="s">
        <v>25</v>
      </c>
      <c r="G45" t="s">
        <v>34</v>
      </c>
      <c r="H45" t="s">
        <v>27</v>
      </c>
      <c r="I45">
        <v>8905302263253</v>
      </c>
      <c r="J45" t="s">
        <v>591</v>
      </c>
      <c r="K45" t="s">
        <v>592</v>
      </c>
      <c r="L45" t="s">
        <v>593</v>
      </c>
      <c r="M45" t="s">
        <v>54</v>
      </c>
      <c r="N45">
        <v>4999</v>
      </c>
      <c r="O45">
        <v>4999</v>
      </c>
      <c r="P45">
        <v>1</v>
      </c>
      <c r="Q45">
        <v>4999</v>
      </c>
      <c r="R45">
        <v>749.85</v>
      </c>
      <c r="S45">
        <v>0</v>
      </c>
      <c r="T45">
        <v>4249.1499999999996</v>
      </c>
      <c r="U45" t="s">
        <v>39</v>
      </c>
    </row>
    <row r="46" spans="1:21" x14ac:dyDescent="0.2">
      <c r="A46" t="s">
        <v>62</v>
      </c>
      <c r="B46" t="s">
        <v>594</v>
      </c>
      <c r="C46" t="s">
        <v>595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>
        <v>8905202264842</v>
      </c>
      <c r="J46" t="s">
        <v>58</v>
      </c>
      <c r="K46" t="s">
        <v>59</v>
      </c>
      <c r="L46" t="s">
        <v>60</v>
      </c>
      <c r="M46" t="s">
        <v>61</v>
      </c>
      <c r="N46">
        <v>3995</v>
      </c>
      <c r="O46">
        <v>3995</v>
      </c>
      <c r="P46">
        <v>1</v>
      </c>
      <c r="Q46">
        <v>3995</v>
      </c>
      <c r="R46">
        <v>599.25</v>
      </c>
      <c r="S46">
        <v>0</v>
      </c>
      <c r="T46">
        <v>3395.75</v>
      </c>
      <c r="U46" t="s">
        <v>50</v>
      </c>
    </row>
    <row r="47" spans="1:21" x14ac:dyDescent="0.2">
      <c r="A47" t="s">
        <v>62</v>
      </c>
      <c r="B47" t="s">
        <v>594</v>
      </c>
      <c r="C47" t="s">
        <v>596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>
        <v>8905202264880</v>
      </c>
      <c r="J47" t="s">
        <v>417</v>
      </c>
      <c r="K47">
        <v>8905202264880</v>
      </c>
      <c r="L47" t="s">
        <v>416</v>
      </c>
      <c r="M47" t="s">
        <v>54</v>
      </c>
      <c r="N47">
        <v>2995</v>
      </c>
      <c r="O47">
        <v>2995</v>
      </c>
      <c r="P47">
        <v>1</v>
      </c>
      <c r="Q47">
        <v>2995</v>
      </c>
      <c r="R47">
        <v>449.25</v>
      </c>
      <c r="S47">
        <v>0</v>
      </c>
      <c r="T47">
        <v>2545.75</v>
      </c>
      <c r="U47" t="s">
        <v>55</v>
      </c>
    </row>
    <row r="48" spans="1:21" x14ac:dyDescent="0.2">
      <c r="A48" t="s">
        <v>20</v>
      </c>
      <c r="B48" t="s">
        <v>597</v>
      </c>
      <c r="C48" t="s">
        <v>598</v>
      </c>
      <c r="D48" t="s">
        <v>23</v>
      </c>
      <c r="E48" t="s">
        <v>24</v>
      </c>
      <c r="F48" t="s">
        <v>64</v>
      </c>
      <c r="G48" t="s">
        <v>65</v>
      </c>
      <c r="H48" t="s">
        <v>27</v>
      </c>
      <c r="I48">
        <v>8905302263314</v>
      </c>
      <c r="J48" t="s">
        <v>599</v>
      </c>
      <c r="K48" t="s">
        <v>600</v>
      </c>
      <c r="L48" t="s">
        <v>601</v>
      </c>
      <c r="M48" t="s">
        <v>61</v>
      </c>
      <c r="N48">
        <v>6999</v>
      </c>
      <c r="O48">
        <v>6999</v>
      </c>
      <c r="P48">
        <v>1</v>
      </c>
      <c r="Q48">
        <v>6999</v>
      </c>
      <c r="R48">
        <v>2099.6999999999998</v>
      </c>
      <c r="S48">
        <v>0</v>
      </c>
      <c r="T48">
        <v>4899.3</v>
      </c>
      <c r="U48" t="s">
        <v>55</v>
      </c>
    </row>
    <row r="49" spans="1:21" x14ac:dyDescent="0.2">
      <c r="A49" t="s">
        <v>20</v>
      </c>
      <c r="B49" t="s">
        <v>597</v>
      </c>
      <c r="C49" t="s">
        <v>598</v>
      </c>
      <c r="D49" t="s">
        <v>23</v>
      </c>
      <c r="E49" t="s">
        <v>24</v>
      </c>
      <c r="F49" t="s">
        <v>64</v>
      </c>
      <c r="G49" t="s">
        <v>65</v>
      </c>
      <c r="H49" t="s">
        <v>27</v>
      </c>
      <c r="I49">
        <v>8905302263362</v>
      </c>
      <c r="J49" t="s">
        <v>602</v>
      </c>
      <c r="K49" t="s">
        <v>603</v>
      </c>
      <c r="L49" t="s">
        <v>604</v>
      </c>
      <c r="M49" t="s">
        <v>61</v>
      </c>
      <c r="N49">
        <v>7999</v>
      </c>
      <c r="O49">
        <v>7999</v>
      </c>
      <c r="P49">
        <v>1</v>
      </c>
      <c r="Q49">
        <v>7999</v>
      </c>
      <c r="R49">
        <v>2399.6999999999998</v>
      </c>
      <c r="S49">
        <v>0</v>
      </c>
      <c r="T49">
        <v>5599.3</v>
      </c>
      <c r="U49" t="s">
        <v>55</v>
      </c>
    </row>
    <row r="50" spans="1:21" x14ac:dyDescent="0.2">
      <c r="A50" t="s">
        <v>20</v>
      </c>
      <c r="B50" t="s">
        <v>597</v>
      </c>
      <c r="C50" t="s">
        <v>605</v>
      </c>
      <c r="D50" t="s">
        <v>23</v>
      </c>
      <c r="E50" t="s">
        <v>24</v>
      </c>
      <c r="F50" t="s">
        <v>25</v>
      </c>
      <c r="G50" t="s">
        <v>34</v>
      </c>
      <c r="H50" t="s">
        <v>27</v>
      </c>
      <c r="I50">
        <v>8905302263237</v>
      </c>
      <c r="J50" t="s">
        <v>606</v>
      </c>
      <c r="K50" t="s">
        <v>607</v>
      </c>
      <c r="L50" t="s">
        <v>608</v>
      </c>
      <c r="M50" t="s">
        <v>61</v>
      </c>
      <c r="N50">
        <v>5999</v>
      </c>
      <c r="O50">
        <v>5999</v>
      </c>
      <c r="P50">
        <v>1</v>
      </c>
      <c r="Q50">
        <v>5999</v>
      </c>
      <c r="R50">
        <v>899.85</v>
      </c>
      <c r="S50">
        <v>0</v>
      </c>
      <c r="T50">
        <v>5099.1499999999996</v>
      </c>
      <c r="U50" t="s">
        <v>45</v>
      </c>
    </row>
    <row r="51" spans="1:21" x14ac:dyDescent="0.2">
      <c r="A51" t="s">
        <v>20</v>
      </c>
      <c r="B51" t="s">
        <v>597</v>
      </c>
      <c r="C51" t="s">
        <v>609</v>
      </c>
      <c r="D51" t="s">
        <v>23</v>
      </c>
      <c r="E51" t="s">
        <v>24</v>
      </c>
      <c r="F51" t="s">
        <v>25</v>
      </c>
      <c r="G51" t="s">
        <v>34</v>
      </c>
      <c r="H51" t="s">
        <v>27</v>
      </c>
      <c r="I51">
        <v>8905302263345</v>
      </c>
      <c r="J51" t="s">
        <v>610</v>
      </c>
      <c r="K51" t="s">
        <v>611</v>
      </c>
      <c r="L51" t="s">
        <v>612</v>
      </c>
      <c r="M51" t="s">
        <v>61</v>
      </c>
      <c r="N51">
        <v>5999</v>
      </c>
      <c r="O51">
        <v>5999</v>
      </c>
      <c r="P51">
        <v>1</v>
      </c>
      <c r="Q51">
        <v>5999</v>
      </c>
      <c r="R51">
        <v>1799.7</v>
      </c>
      <c r="S51">
        <v>0</v>
      </c>
      <c r="T51">
        <v>4199.3</v>
      </c>
      <c r="U51" t="s">
        <v>50</v>
      </c>
    </row>
    <row r="52" spans="1:21" x14ac:dyDescent="0.2">
      <c r="A52" t="s">
        <v>20</v>
      </c>
      <c r="B52" t="s">
        <v>597</v>
      </c>
      <c r="C52" t="s">
        <v>609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>
        <v>8905202264743</v>
      </c>
      <c r="J52" t="s">
        <v>221</v>
      </c>
      <c r="K52" t="s">
        <v>222</v>
      </c>
      <c r="L52" t="s">
        <v>191</v>
      </c>
      <c r="M52" t="s">
        <v>61</v>
      </c>
      <c r="N52">
        <v>2495</v>
      </c>
      <c r="O52">
        <v>2495</v>
      </c>
      <c r="P52">
        <v>1</v>
      </c>
      <c r="Q52">
        <v>2495</v>
      </c>
      <c r="R52">
        <v>748.5</v>
      </c>
      <c r="S52">
        <v>0</v>
      </c>
      <c r="T52">
        <v>1746.5</v>
      </c>
      <c r="U52" t="s">
        <v>50</v>
      </c>
    </row>
    <row r="53" spans="1:21" x14ac:dyDescent="0.2">
      <c r="A53" t="s">
        <v>20</v>
      </c>
      <c r="B53" t="s">
        <v>636</v>
      </c>
      <c r="C53" t="s">
        <v>637</v>
      </c>
      <c r="D53" t="s">
        <v>23</v>
      </c>
      <c r="E53" t="s">
        <v>24</v>
      </c>
      <c r="F53" t="s">
        <v>25</v>
      </c>
      <c r="G53" t="s">
        <v>34</v>
      </c>
      <c r="H53" t="s">
        <v>27</v>
      </c>
      <c r="I53">
        <v>8905302263224</v>
      </c>
      <c r="J53" t="s">
        <v>108</v>
      </c>
      <c r="K53" t="s">
        <v>109</v>
      </c>
      <c r="L53" t="s">
        <v>110</v>
      </c>
      <c r="M53" t="s">
        <v>61</v>
      </c>
      <c r="N53">
        <v>5999</v>
      </c>
      <c r="O53">
        <v>5999</v>
      </c>
      <c r="P53">
        <v>1</v>
      </c>
      <c r="Q53">
        <v>5999</v>
      </c>
      <c r="R53">
        <v>899.85</v>
      </c>
      <c r="S53">
        <v>0</v>
      </c>
      <c r="T53">
        <v>5099.1499999999996</v>
      </c>
      <c r="U53" t="s">
        <v>45</v>
      </c>
    </row>
    <row r="54" spans="1:21" x14ac:dyDescent="0.2">
      <c r="A54" t="s">
        <v>20</v>
      </c>
      <c r="B54" t="s">
        <v>636</v>
      </c>
      <c r="C54" t="s">
        <v>638</v>
      </c>
      <c r="D54" t="s">
        <v>23</v>
      </c>
      <c r="E54" t="s">
        <v>24</v>
      </c>
      <c r="F54" t="s">
        <v>25</v>
      </c>
      <c r="G54" t="s">
        <v>34</v>
      </c>
      <c r="H54" t="s">
        <v>27</v>
      </c>
      <c r="I54">
        <v>8905302263238</v>
      </c>
      <c r="J54" t="s">
        <v>639</v>
      </c>
      <c r="K54" t="s">
        <v>640</v>
      </c>
      <c r="L54" t="s">
        <v>641</v>
      </c>
      <c r="M54" t="s">
        <v>44</v>
      </c>
      <c r="N54">
        <v>5999</v>
      </c>
      <c r="O54">
        <v>5999</v>
      </c>
      <c r="P54">
        <v>1</v>
      </c>
      <c r="Q54">
        <v>5999</v>
      </c>
      <c r="R54">
        <v>1799.7</v>
      </c>
      <c r="S54">
        <v>0</v>
      </c>
      <c r="T54">
        <v>4199.3</v>
      </c>
      <c r="U54" t="s">
        <v>642</v>
      </c>
    </row>
    <row r="55" spans="1:21" x14ac:dyDescent="0.2">
      <c r="A55" t="s">
        <v>20</v>
      </c>
      <c r="B55" t="s">
        <v>636</v>
      </c>
      <c r="C55" t="s">
        <v>638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>
        <v>8905202269274</v>
      </c>
      <c r="J55" t="s">
        <v>643</v>
      </c>
      <c r="K55" t="s">
        <v>644</v>
      </c>
      <c r="L55" t="s">
        <v>94</v>
      </c>
      <c r="M55" t="s">
        <v>44</v>
      </c>
      <c r="N55">
        <v>3495</v>
      </c>
      <c r="O55">
        <v>3495</v>
      </c>
      <c r="P55">
        <v>1</v>
      </c>
      <c r="Q55">
        <v>3495</v>
      </c>
      <c r="R55">
        <v>1048.5</v>
      </c>
      <c r="S55">
        <v>0</v>
      </c>
      <c r="T55">
        <v>2446.5</v>
      </c>
      <c r="U55" t="s">
        <v>642</v>
      </c>
    </row>
    <row r="56" spans="1:21" x14ac:dyDescent="0.2">
      <c r="A56" t="s">
        <v>62</v>
      </c>
      <c r="B56" t="s">
        <v>636</v>
      </c>
      <c r="C56" t="s">
        <v>645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>
        <v>8905202264897</v>
      </c>
      <c r="J56" t="s">
        <v>203</v>
      </c>
      <c r="K56">
        <v>8905202264897</v>
      </c>
      <c r="L56" t="s">
        <v>191</v>
      </c>
      <c r="M56" t="s">
        <v>61</v>
      </c>
      <c r="N56">
        <v>2995</v>
      </c>
      <c r="O56">
        <v>2995</v>
      </c>
      <c r="P56">
        <v>1</v>
      </c>
      <c r="Q56">
        <v>2995</v>
      </c>
      <c r="R56">
        <v>449.25</v>
      </c>
      <c r="S56">
        <v>0</v>
      </c>
      <c r="T56">
        <v>2545.75</v>
      </c>
      <c r="U56" t="s">
        <v>50</v>
      </c>
    </row>
    <row r="57" spans="1:21" x14ac:dyDescent="0.2">
      <c r="A57" t="s">
        <v>20</v>
      </c>
      <c r="B57" t="s">
        <v>648</v>
      </c>
      <c r="C57" t="s">
        <v>649</v>
      </c>
      <c r="D57" t="s">
        <v>23</v>
      </c>
      <c r="E57" t="s">
        <v>136</v>
      </c>
      <c r="F57" t="s">
        <v>25</v>
      </c>
      <c r="G57" t="s">
        <v>26</v>
      </c>
      <c r="H57" t="s">
        <v>27</v>
      </c>
      <c r="I57">
        <v>8905202269229</v>
      </c>
      <c r="J57" t="s">
        <v>650</v>
      </c>
      <c r="K57">
        <v>8905202269229</v>
      </c>
      <c r="L57" t="s">
        <v>651</v>
      </c>
      <c r="M57" t="s">
        <v>54</v>
      </c>
      <c r="N57">
        <v>1995</v>
      </c>
      <c r="O57">
        <v>1995</v>
      </c>
      <c r="P57">
        <v>1</v>
      </c>
      <c r="Q57">
        <v>1995</v>
      </c>
      <c r="R57">
        <v>299.25</v>
      </c>
      <c r="S57">
        <v>0</v>
      </c>
      <c r="T57">
        <v>1695.75</v>
      </c>
      <c r="U57" t="s">
        <v>50</v>
      </c>
    </row>
    <row r="58" spans="1:21" x14ac:dyDescent="0.2">
      <c r="A58" s="48" t="s">
        <v>62</v>
      </c>
      <c r="B58" s="48" t="s">
        <v>646</v>
      </c>
      <c r="C58" s="48" t="s">
        <v>574</v>
      </c>
      <c r="D58" s="48" t="s">
        <v>23</v>
      </c>
      <c r="E58" s="48" t="s">
        <v>24</v>
      </c>
      <c r="F58" s="48" t="s">
        <v>25</v>
      </c>
      <c r="G58" s="48" t="s">
        <v>26</v>
      </c>
      <c r="H58" s="48" t="s">
        <v>27</v>
      </c>
      <c r="I58" s="48">
        <v>8905202269434</v>
      </c>
      <c r="J58" s="48" t="s">
        <v>155</v>
      </c>
      <c r="K58" s="48" t="s">
        <v>156</v>
      </c>
      <c r="L58" s="48" t="s">
        <v>157</v>
      </c>
      <c r="M58" s="48" t="s">
        <v>61</v>
      </c>
      <c r="N58" s="48">
        <v>3995</v>
      </c>
      <c r="O58" s="48">
        <v>3995</v>
      </c>
      <c r="P58" s="48">
        <v>-1</v>
      </c>
      <c r="Q58" s="48">
        <v>-3995</v>
      </c>
      <c r="R58" s="48">
        <v>-599.25</v>
      </c>
      <c r="S58" s="48">
        <v>0</v>
      </c>
      <c r="T58" s="48">
        <v>-3395.75</v>
      </c>
      <c r="U58" s="48" t="s">
        <v>647</v>
      </c>
    </row>
    <row r="59" spans="1:21" x14ac:dyDescent="0.2">
      <c r="A59" s="48" t="s">
        <v>62</v>
      </c>
      <c r="B59" s="48" t="s">
        <v>527</v>
      </c>
      <c r="C59" s="48" t="s">
        <v>458</v>
      </c>
      <c r="D59" s="48" t="s">
        <v>23</v>
      </c>
      <c r="E59" s="48" t="s">
        <v>24</v>
      </c>
      <c r="F59" s="48" t="s">
        <v>64</v>
      </c>
      <c r="G59" s="48" t="s">
        <v>359</v>
      </c>
      <c r="H59" s="48" t="s">
        <v>27</v>
      </c>
      <c r="I59" s="48">
        <v>8905202268710</v>
      </c>
      <c r="J59" s="48" t="s">
        <v>457</v>
      </c>
      <c r="K59" s="48">
        <v>8905202268710</v>
      </c>
      <c r="L59" s="48" t="s">
        <v>456</v>
      </c>
      <c r="M59" s="48" t="s">
        <v>38</v>
      </c>
      <c r="N59" s="48">
        <v>3995</v>
      </c>
      <c r="O59" s="48">
        <v>3995</v>
      </c>
      <c r="P59" s="48">
        <v>-1</v>
      </c>
      <c r="Q59" s="48">
        <v>-3995</v>
      </c>
      <c r="R59" s="48">
        <v>-599.25</v>
      </c>
      <c r="S59" s="48">
        <v>0</v>
      </c>
      <c r="T59" s="48">
        <v>-3395.75</v>
      </c>
      <c r="U59" s="48" t="s">
        <v>647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C630-1F0D-9345-B240-FE73A7D376EE}">
  <dimension ref="A1:U115"/>
  <sheetViews>
    <sheetView workbookViewId="0">
      <selection activeCell="P1" sqref="P1:P1048576"/>
    </sheetView>
  </sheetViews>
  <sheetFormatPr baseColWidth="10" defaultRowHeight="15" x14ac:dyDescent="0.2"/>
  <cols>
    <col min="9" max="9" width="16.83203125" bestFit="1" customWidth="1"/>
    <col min="11" max="11" width="25" bestFit="1" customWidth="1"/>
    <col min="12" max="12" width="55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668</v>
      </c>
      <c r="C2" t="s">
        <v>652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8905202264866</v>
      </c>
      <c r="J2" t="s">
        <v>147</v>
      </c>
      <c r="K2" t="s">
        <v>148</v>
      </c>
      <c r="L2" t="s">
        <v>149</v>
      </c>
      <c r="M2" t="s">
        <v>38</v>
      </c>
      <c r="N2">
        <v>3995</v>
      </c>
      <c r="O2">
        <v>3995</v>
      </c>
      <c r="P2">
        <v>1</v>
      </c>
      <c r="Q2">
        <v>3995</v>
      </c>
      <c r="R2">
        <v>0</v>
      </c>
      <c r="S2">
        <v>0</v>
      </c>
      <c r="T2">
        <v>3995</v>
      </c>
      <c r="U2" t="s">
        <v>45</v>
      </c>
    </row>
    <row r="3" spans="1:21" x14ac:dyDescent="0.2">
      <c r="A3" t="s">
        <v>20</v>
      </c>
      <c r="B3" t="s">
        <v>668</v>
      </c>
      <c r="C3" t="s">
        <v>653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8905202264965</v>
      </c>
      <c r="J3" t="s">
        <v>654</v>
      </c>
      <c r="K3">
        <v>8905202264965</v>
      </c>
      <c r="L3" t="s">
        <v>49</v>
      </c>
      <c r="M3" t="s">
        <v>38</v>
      </c>
      <c r="N3">
        <v>2495</v>
      </c>
      <c r="O3">
        <v>2495</v>
      </c>
      <c r="P3">
        <v>1</v>
      </c>
      <c r="Q3">
        <v>2495</v>
      </c>
      <c r="R3">
        <v>0</v>
      </c>
      <c r="S3">
        <v>0</v>
      </c>
      <c r="T3">
        <v>2495</v>
      </c>
      <c r="U3" t="s">
        <v>45</v>
      </c>
    </row>
    <row r="4" spans="1:21" x14ac:dyDescent="0.2">
      <c r="A4" t="s">
        <v>20</v>
      </c>
      <c r="B4" t="s">
        <v>668</v>
      </c>
      <c r="C4" t="s">
        <v>655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8905202269434</v>
      </c>
      <c r="J4" t="s">
        <v>155</v>
      </c>
      <c r="K4" t="s">
        <v>156</v>
      </c>
      <c r="L4" t="s">
        <v>157</v>
      </c>
      <c r="M4" t="s">
        <v>61</v>
      </c>
      <c r="N4">
        <v>3995</v>
      </c>
      <c r="O4">
        <v>3995</v>
      </c>
      <c r="P4">
        <v>2</v>
      </c>
      <c r="Q4">
        <v>7990</v>
      </c>
      <c r="R4">
        <v>0</v>
      </c>
      <c r="S4">
        <v>0</v>
      </c>
      <c r="T4">
        <v>7990</v>
      </c>
      <c r="U4" t="s">
        <v>45</v>
      </c>
    </row>
    <row r="5" spans="1:21" x14ac:dyDescent="0.2">
      <c r="A5" t="s">
        <v>20</v>
      </c>
      <c r="B5" t="s">
        <v>668</v>
      </c>
      <c r="C5" t="s">
        <v>656</v>
      </c>
      <c r="D5" t="s">
        <v>23</v>
      </c>
      <c r="E5" t="s">
        <v>136</v>
      </c>
      <c r="F5" t="s">
        <v>25</v>
      </c>
      <c r="G5" t="s">
        <v>26</v>
      </c>
      <c r="H5" t="s">
        <v>27</v>
      </c>
      <c r="I5">
        <v>8905202268901</v>
      </c>
      <c r="J5" t="s">
        <v>137</v>
      </c>
      <c r="K5">
        <v>8905202268901</v>
      </c>
      <c r="L5" t="s">
        <v>138</v>
      </c>
      <c r="M5" t="s">
        <v>61</v>
      </c>
      <c r="N5">
        <v>1995</v>
      </c>
      <c r="O5">
        <v>1995</v>
      </c>
      <c r="P5">
        <v>1</v>
      </c>
      <c r="Q5">
        <v>1995</v>
      </c>
      <c r="R5">
        <v>0</v>
      </c>
      <c r="S5">
        <v>0</v>
      </c>
      <c r="T5">
        <v>1995</v>
      </c>
      <c r="U5" t="s">
        <v>50</v>
      </c>
    </row>
    <row r="6" spans="1:21" x14ac:dyDescent="0.2">
      <c r="A6" t="s">
        <v>20</v>
      </c>
      <c r="B6" t="s">
        <v>668</v>
      </c>
      <c r="C6" t="s">
        <v>657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8905202264705</v>
      </c>
      <c r="J6" t="s">
        <v>438</v>
      </c>
      <c r="K6" t="s">
        <v>437</v>
      </c>
      <c r="L6" t="s">
        <v>436</v>
      </c>
      <c r="M6" t="s">
        <v>30</v>
      </c>
      <c r="N6">
        <v>3495</v>
      </c>
      <c r="O6">
        <v>3495</v>
      </c>
      <c r="P6">
        <v>1</v>
      </c>
      <c r="Q6">
        <v>3495</v>
      </c>
      <c r="R6">
        <v>0</v>
      </c>
      <c r="S6">
        <v>0</v>
      </c>
      <c r="T6">
        <v>3495</v>
      </c>
      <c r="U6" t="s">
        <v>45</v>
      </c>
    </row>
    <row r="7" spans="1:21" x14ac:dyDescent="0.2">
      <c r="A7" t="s">
        <v>62</v>
      </c>
      <c r="B7" t="s">
        <v>668</v>
      </c>
      <c r="C7" t="s">
        <v>658</v>
      </c>
      <c r="D7" t="s">
        <v>23</v>
      </c>
      <c r="E7" t="s">
        <v>24</v>
      </c>
      <c r="F7" t="s">
        <v>25</v>
      </c>
      <c r="G7" t="s">
        <v>34</v>
      </c>
      <c r="H7" t="s">
        <v>27</v>
      </c>
      <c r="I7">
        <v>8905302263254</v>
      </c>
      <c r="J7" t="s">
        <v>659</v>
      </c>
      <c r="K7" t="s">
        <v>660</v>
      </c>
      <c r="L7" t="s">
        <v>661</v>
      </c>
      <c r="M7" t="s">
        <v>61</v>
      </c>
      <c r="N7">
        <v>4999</v>
      </c>
      <c r="O7">
        <v>4999</v>
      </c>
      <c r="P7">
        <v>1</v>
      </c>
      <c r="Q7">
        <v>4999</v>
      </c>
      <c r="R7">
        <v>0</v>
      </c>
      <c r="S7">
        <v>0</v>
      </c>
      <c r="T7">
        <v>4999</v>
      </c>
      <c r="U7" t="s">
        <v>45</v>
      </c>
    </row>
    <row r="8" spans="1:21" x14ac:dyDescent="0.2">
      <c r="A8" t="s">
        <v>62</v>
      </c>
      <c r="B8" t="s">
        <v>668</v>
      </c>
      <c r="C8" t="s">
        <v>662</v>
      </c>
      <c r="D8" t="s">
        <v>23</v>
      </c>
      <c r="E8" t="s">
        <v>24</v>
      </c>
      <c r="F8" t="s">
        <v>64</v>
      </c>
      <c r="G8" t="s">
        <v>65</v>
      </c>
      <c r="H8" t="s">
        <v>27</v>
      </c>
      <c r="I8">
        <v>8905302263192</v>
      </c>
      <c r="J8" t="s">
        <v>465</v>
      </c>
      <c r="K8" t="s">
        <v>464</v>
      </c>
      <c r="L8" t="s">
        <v>463</v>
      </c>
      <c r="M8" t="s">
        <v>38</v>
      </c>
      <c r="N8">
        <v>7999</v>
      </c>
      <c r="O8">
        <v>7999</v>
      </c>
      <c r="P8">
        <v>1</v>
      </c>
      <c r="Q8">
        <v>7999</v>
      </c>
      <c r="R8">
        <v>0</v>
      </c>
      <c r="S8">
        <v>0</v>
      </c>
      <c r="T8">
        <v>7999</v>
      </c>
      <c r="U8" t="s">
        <v>55</v>
      </c>
    </row>
    <row r="9" spans="1:21" x14ac:dyDescent="0.2">
      <c r="A9" t="s">
        <v>62</v>
      </c>
      <c r="B9" t="s">
        <v>663</v>
      </c>
      <c r="C9" t="s">
        <v>664</v>
      </c>
      <c r="D9" t="s">
        <v>23</v>
      </c>
      <c r="E9" t="s">
        <v>24</v>
      </c>
      <c r="F9" t="s">
        <v>25</v>
      </c>
      <c r="G9" t="s">
        <v>34</v>
      </c>
      <c r="H9" t="s">
        <v>27</v>
      </c>
      <c r="I9">
        <v>8905302263259</v>
      </c>
      <c r="J9" t="s">
        <v>665</v>
      </c>
      <c r="K9" t="s">
        <v>666</v>
      </c>
      <c r="L9" t="s">
        <v>667</v>
      </c>
      <c r="M9" t="s">
        <v>54</v>
      </c>
      <c r="N9">
        <v>5999</v>
      </c>
      <c r="O9">
        <v>5999</v>
      </c>
      <c r="P9">
        <v>1</v>
      </c>
      <c r="Q9">
        <v>5999</v>
      </c>
      <c r="R9">
        <v>899.85</v>
      </c>
      <c r="S9">
        <v>0</v>
      </c>
      <c r="T9">
        <v>5099.1499999999996</v>
      </c>
      <c r="U9" t="s">
        <v>55</v>
      </c>
    </row>
    <row r="10" spans="1:21" x14ac:dyDescent="0.2">
      <c r="A10" t="s">
        <v>575</v>
      </c>
      <c r="B10" t="s">
        <v>663</v>
      </c>
      <c r="C10" t="s">
        <v>669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>
        <v>8905202264712</v>
      </c>
      <c r="J10" t="s">
        <v>670</v>
      </c>
      <c r="K10" t="s">
        <v>671</v>
      </c>
      <c r="L10" t="s">
        <v>29</v>
      </c>
      <c r="M10" t="s">
        <v>30</v>
      </c>
      <c r="N10">
        <v>3495</v>
      </c>
      <c r="O10">
        <v>3495</v>
      </c>
      <c r="P10">
        <v>1</v>
      </c>
      <c r="Q10">
        <v>3495</v>
      </c>
      <c r="R10">
        <v>524.25</v>
      </c>
      <c r="S10">
        <v>0</v>
      </c>
      <c r="T10">
        <v>2970.75</v>
      </c>
      <c r="U10" t="s">
        <v>55</v>
      </c>
    </row>
    <row r="11" spans="1:21" x14ac:dyDescent="0.2">
      <c r="A11" t="s">
        <v>575</v>
      </c>
      <c r="B11" t="s">
        <v>663</v>
      </c>
      <c r="C11" t="s">
        <v>672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>
        <v>8905202264781</v>
      </c>
      <c r="J11" t="s">
        <v>673</v>
      </c>
      <c r="K11">
        <v>8905202264781</v>
      </c>
      <c r="L11" t="s">
        <v>674</v>
      </c>
      <c r="M11" t="s">
        <v>54</v>
      </c>
      <c r="N11">
        <v>4495</v>
      </c>
      <c r="O11">
        <v>4495</v>
      </c>
      <c r="P11">
        <v>1</v>
      </c>
      <c r="Q11">
        <v>4495</v>
      </c>
      <c r="R11">
        <v>674.25</v>
      </c>
      <c r="S11">
        <v>0</v>
      </c>
      <c r="T11">
        <v>3820.75</v>
      </c>
      <c r="U11" t="s">
        <v>45</v>
      </c>
    </row>
    <row r="12" spans="1:21" x14ac:dyDescent="0.2">
      <c r="A12" t="s">
        <v>20</v>
      </c>
      <c r="B12" t="s">
        <v>675</v>
      </c>
      <c r="C12" t="s">
        <v>676</v>
      </c>
      <c r="D12" t="s">
        <v>23</v>
      </c>
      <c r="E12" t="s">
        <v>24</v>
      </c>
      <c r="F12" t="s">
        <v>25</v>
      </c>
      <c r="G12" t="s">
        <v>34</v>
      </c>
      <c r="H12" t="s">
        <v>27</v>
      </c>
      <c r="I12">
        <v>8905302263345</v>
      </c>
      <c r="J12" t="s">
        <v>610</v>
      </c>
      <c r="K12" t="s">
        <v>611</v>
      </c>
      <c r="L12" t="s">
        <v>612</v>
      </c>
      <c r="M12" t="s">
        <v>61</v>
      </c>
      <c r="N12">
        <v>5999</v>
      </c>
      <c r="O12">
        <v>5999</v>
      </c>
      <c r="P12">
        <v>1</v>
      </c>
      <c r="Q12">
        <v>5999</v>
      </c>
      <c r="R12">
        <v>899.85</v>
      </c>
      <c r="S12">
        <v>0</v>
      </c>
      <c r="T12">
        <v>5099.1499999999996</v>
      </c>
      <c r="U12" t="s">
        <v>50</v>
      </c>
    </row>
    <row r="13" spans="1:21" x14ac:dyDescent="0.2">
      <c r="A13" t="s">
        <v>62</v>
      </c>
      <c r="B13" t="s">
        <v>675</v>
      </c>
      <c r="C13" t="s">
        <v>677</v>
      </c>
      <c r="D13" t="s">
        <v>23</v>
      </c>
      <c r="E13" t="s">
        <v>24</v>
      </c>
      <c r="F13" t="s">
        <v>25</v>
      </c>
      <c r="G13" t="s">
        <v>34</v>
      </c>
      <c r="H13" t="s">
        <v>27</v>
      </c>
      <c r="I13">
        <v>8905302263258</v>
      </c>
      <c r="J13" t="s">
        <v>678</v>
      </c>
      <c r="K13" t="s">
        <v>679</v>
      </c>
      <c r="L13" t="s">
        <v>37</v>
      </c>
      <c r="M13" t="s">
        <v>38</v>
      </c>
      <c r="N13">
        <v>5999</v>
      </c>
      <c r="O13">
        <v>5999</v>
      </c>
      <c r="P13">
        <v>1</v>
      </c>
      <c r="Q13">
        <v>5999</v>
      </c>
      <c r="R13">
        <v>899.85</v>
      </c>
      <c r="S13">
        <v>0</v>
      </c>
      <c r="T13">
        <v>5099.1499999999996</v>
      </c>
      <c r="U13" t="s">
        <v>50</v>
      </c>
    </row>
    <row r="14" spans="1:21" x14ac:dyDescent="0.2">
      <c r="A14" t="s">
        <v>62</v>
      </c>
      <c r="B14" t="s">
        <v>675</v>
      </c>
      <c r="C14" t="s">
        <v>680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8905202264835</v>
      </c>
      <c r="J14" t="s">
        <v>552</v>
      </c>
      <c r="K14" t="s">
        <v>553</v>
      </c>
      <c r="L14" t="s">
        <v>53</v>
      </c>
      <c r="M14" t="s">
        <v>54</v>
      </c>
      <c r="N14">
        <v>3995</v>
      </c>
      <c r="O14">
        <v>3995</v>
      </c>
      <c r="P14">
        <v>1</v>
      </c>
      <c r="Q14">
        <v>3995</v>
      </c>
      <c r="R14">
        <v>599.25</v>
      </c>
      <c r="S14">
        <v>0</v>
      </c>
      <c r="T14">
        <v>3395.75</v>
      </c>
      <c r="U14" t="s">
        <v>55</v>
      </c>
    </row>
    <row r="15" spans="1:21" x14ac:dyDescent="0.2">
      <c r="A15" t="s">
        <v>62</v>
      </c>
      <c r="B15" t="s">
        <v>681</v>
      </c>
      <c r="C15" t="s">
        <v>682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>
        <v>8905202269465</v>
      </c>
      <c r="J15" t="s">
        <v>683</v>
      </c>
      <c r="K15" t="s">
        <v>684</v>
      </c>
      <c r="L15" t="s">
        <v>685</v>
      </c>
      <c r="M15" t="s">
        <v>84</v>
      </c>
      <c r="N15">
        <v>3995</v>
      </c>
      <c r="O15">
        <v>3995</v>
      </c>
      <c r="P15">
        <v>1</v>
      </c>
      <c r="Q15">
        <v>3995</v>
      </c>
      <c r="R15">
        <v>599.25</v>
      </c>
      <c r="S15">
        <v>0</v>
      </c>
      <c r="T15">
        <v>3395.75</v>
      </c>
      <c r="U15" t="s">
        <v>55</v>
      </c>
    </row>
    <row r="16" spans="1:21" x14ac:dyDescent="0.2">
      <c r="A16" t="s">
        <v>20</v>
      </c>
      <c r="B16" t="s">
        <v>686</v>
      </c>
      <c r="C16" t="s">
        <v>687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>
        <v>8905202265030</v>
      </c>
      <c r="J16" t="s">
        <v>688</v>
      </c>
      <c r="K16" t="s">
        <v>689</v>
      </c>
      <c r="L16" t="s">
        <v>690</v>
      </c>
      <c r="M16" t="s">
        <v>54</v>
      </c>
      <c r="N16">
        <v>2995</v>
      </c>
      <c r="O16">
        <v>2995</v>
      </c>
      <c r="P16">
        <v>1</v>
      </c>
      <c r="Q16">
        <v>2995</v>
      </c>
      <c r="R16">
        <v>898.5</v>
      </c>
      <c r="S16">
        <v>0</v>
      </c>
      <c r="T16">
        <v>2096.5</v>
      </c>
      <c r="U16" t="s">
        <v>45</v>
      </c>
    </row>
    <row r="17" spans="1:21" x14ac:dyDescent="0.2">
      <c r="A17" t="s">
        <v>20</v>
      </c>
      <c r="B17" t="s">
        <v>686</v>
      </c>
      <c r="C17" t="s">
        <v>687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8905202269083</v>
      </c>
      <c r="J17" t="s">
        <v>189</v>
      </c>
      <c r="K17" t="s">
        <v>190</v>
      </c>
      <c r="L17" t="s">
        <v>191</v>
      </c>
      <c r="M17" t="s">
        <v>61</v>
      </c>
      <c r="N17">
        <v>3495</v>
      </c>
      <c r="O17">
        <v>3495</v>
      </c>
      <c r="P17">
        <v>1</v>
      </c>
      <c r="Q17">
        <v>3495</v>
      </c>
      <c r="R17">
        <v>1048.5</v>
      </c>
      <c r="S17">
        <v>0</v>
      </c>
      <c r="T17">
        <v>2446.5</v>
      </c>
      <c r="U17" t="s">
        <v>45</v>
      </c>
    </row>
    <row r="18" spans="1:21" x14ac:dyDescent="0.2">
      <c r="A18" t="s">
        <v>20</v>
      </c>
      <c r="B18" t="s">
        <v>686</v>
      </c>
      <c r="C18" t="s">
        <v>687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>
        <v>8905202269441</v>
      </c>
      <c r="J18" t="s">
        <v>554</v>
      </c>
      <c r="K18" t="s">
        <v>555</v>
      </c>
      <c r="L18" t="s">
        <v>556</v>
      </c>
      <c r="M18" t="s">
        <v>54</v>
      </c>
      <c r="N18">
        <v>3995</v>
      </c>
      <c r="O18">
        <v>3995</v>
      </c>
      <c r="P18">
        <v>1</v>
      </c>
      <c r="Q18">
        <v>3995</v>
      </c>
      <c r="R18">
        <v>1198.5</v>
      </c>
      <c r="S18">
        <v>0</v>
      </c>
      <c r="T18">
        <v>2796.5</v>
      </c>
      <c r="U18" t="s">
        <v>45</v>
      </c>
    </row>
    <row r="19" spans="1:21" x14ac:dyDescent="0.2">
      <c r="A19" t="s">
        <v>62</v>
      </c>
      <c r="B19" t="s">
        <v>686</v>
      </c>
      <c r="C19" t="s">
        <v>691</v>
      </c>
      <c r="D19" t="s">
        <v>23</v>
      </c>
      <c r="E19" t="s">
        <v>24</v>
      </c>
      <c r="F19" t="s">
        <v>64</v>
      </c>
      <c r="G19" t="s">
        <v>65</v>
      </c>
      <c r="H19" t="s">
        <v>27</v>
      </c>
      <c r="I19">
        <v>8905302263320</v>
      </c>
      <c r="J19" t="s">
        <v>692</v>
      </c>
      <c r="K19" t="s">
        <v>693</v>
      </c>
      <c r="L19" t="s">
        <v>694</v>
      </c>
      <c r="M19" t="s">
        <v>38</v>
      </c>
      <c r="N19">
        <v>6999</v>
      </c>
      <c r="O19">
        <v>6999</v>
      </c>
      <c r="P19">
        <v>1</v>
      </c>
      <c r="Q19">
        <v>6999</v>
      </c>
      <c r="R19">
        <v>1049.8499999999999</v>
      </c>
      <c r="S19">
        <v>0</v>
      </c>
      <c r="T19">
        <v>5949.15</v>
      </c>
      <c r="U19" t="s">
        <v>45</v>
      </c>
    </row>
    <row r="20" spans="1:21" x14ac:dyDescent="0.2">
      <c r="A20" t="s">
        <v>62</v>
      </c>
      <c r="B20" t="s">
        <v>686</v>
      </c>
      <c r="C20" t="s">
        <v>695</v>
      </c>
      <c r="D20" t="s">
        <v>23</v>
      </c>
      <c r="E20" t="s">
        <v>24</v>
      </c>
      <c r="F20" t="s">
        <v>64</v>
      </c>
      <c r="G20" t="s">
        <v>65</v>
      </c>
      <c r="H20" t="s">
        <v>27</v>
      </c>
      <c r="I20">
        <v>8905302263203</v>
      </c>
      <c r="J20" t="s">
        <v>290</v>
      </c>
      <c r="K20" t="s">
        <v>291</v>
      </c>
      <c r="L20" t="s">
        <v>292</v>
      </c>
      <c r="M20" t="s">
        <v>44</v>
      </c>
      <c r="N20">
        <v>6999</v>
      </c>
      <c r="O20">
        <v>6999</v>
      </c>
      <c r="P20">
        <v>1</v>
      </c>
      <c r="Q20">
        <v>6999</v>
      </c>
      <c r="R20">
        <v>1049.8499999999999</v>
      </c>
      <c r="S20">
        <v>0</v>
      </c>
      <c r="T20">
        <v>5949.15</v>
      </c>
      <c r="U20" t="s">
        <v>50</v>
      </c>
    </row>
    <row r="21" spans="1:21" x14ac:dyDescent="0.2">
      <c r="A21" t="s">
        <v>575</v>
      </c>
      <c r="B21" t="s">
        <v>686</v>
      </c>
      <c r="C21" t="s">
        <v>696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>
        <v>8905202264835</v>
      </c>
      <c r="J21" t="s">
        <v>552</v>
      </c>
      <c r="K21" t="s">
        <v>553</v>
      </c>
      <c r="L21" t="s">
        <v>53</v>
      </c>
      <c r="M21" t="s">
        <v>54</v>
      </c>
      <c r="N21">
        <v>3995</v>
      </c>
      <c r="O21">
        <v>3995</v>
      </c>
      <c r="P21">
        <v>1</v>
      </c>
      <c r="Q21">
        <v>3995</v>
      </c>
      <c r="R21">
        <v>599.25</v>
      </c>
      <c r="S21">
        <v>0</v>
      </c>
      <c r="T21">
        <v>3395.75</v>
      </c>
      <c r="U21" t="s">
        <v>55</v>
      </c>
    </row>
    <row r="22" spans="1:21" x14ac:dyDescent="0.2">
      <c r="A22" t="s">
        <v>20</v>
      </c>
      <c r="B22" t="s">
        <v>697</v>
      </c>
      <c r="C22" t="s">
        <v>698</v>
      </c>
      <c r="D22" t="s">
        <v>23</v>
      </c>
      <c r="E22" t="s">
        <v>24</v>
      </c>
      <c r="F22" t="s">
        <v>25</v>
      </c>
      <c r="G22" t="s">
        <v>34</v>
      </c>
      <c r="H22" t="s">
        <v>27</v>
      </c>
      <c r="I22">
        <v>8905302263346</v>
      </c>
      <c r="J22" t="s">
        <v>699</v>
      </c>
      <c r="K22" t="s">
        <v>700</v>
      </c>
      <c r="L22" t="s">
        <v>701</v>
      </c>
      <c r="M22" t="s">
        <v>44</v>
      </c>
      <c r="N22">
        <v>5999</v>
      </c>
      <c r="O22">
        <v>5999</v>
      </c>
      <c r="P22">
        <v>1</v>
      </c>
      <c r="Q22">
        <v>5999</v>
      </c>
      <c r="R22">
        <v>899.85</v>
      </c>
      <c r="S22">
        <v>0</v>
      </c>
      <c r="T22">
        <v>5099.1499999999996</v>
      </c>
      <c r="U22" t="s">
        <v>259</v>
      </c>
    </row>
    <row r="23" spans="1:21" x14ac:dyDescent="0.2">
      <c r="A23" t="s">
        <v>62</v>
      </c>
      <c r="B23" t="s">
        <v>697</v>
      </c>
      <c r="C23" t="s">
        <v>702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>
        <v>8905202264866</v>
      </c>
      <c r="J23" t="s">
        <v>147</v>
      </c>
      <c r="K23" t="s">
        <v>148</v>
      </c>
      <c r="L23" t="s">
        <v>149</v>
      </c>
      <c r="M23" t="s">
        <v>38</v>
      </c>
      <c r="N23">
        <v>3995</v>
      </c>
      <c r="O23">
        <v>3995</v>
      </c>
      <c r="P23">
        <v>1</v>
      </c>
      <c r="Q23">
        <v>3995</v>
      </c>
      <c r="R23">
        <v>599.25</v>
      </c>
      <c r="S23">
        <v>0</v>
      </c>
      <c r="T23">
        <v>3395.75</v>
      </c>
      <c r="U23" t="s">
        <v>50</v>
      </c>
    </row>
    <row r="24" spans="1:21" x14ac:dyDescent="0.2">
      <c r="A24" t="s">
        <v>20</v>
      </c>
      <c r="B24" t="s">
        <v>709</v>
      </c>
      <c r="C24" t="s">
        <v>482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>
        <v>8905202264705</v>
      </c>
      <c r="J24" t="s">
        <v>438</v>
      </c>
      <c r="K24" t="s">
        <v>437</v>
      </c>
      <c r="L24" t="s">
        <v>436</v>
      </c>
      <c r="M24" t="s">
        <v>30</v>
      </c>
      <c r="N24">
        <v>3495</v>
      </c>
      <c r="O24">
        <v>3495</v>
      </c>
      <c r="P24">
        <v>1</v>
      </c>
      <c r="Q24">
        <v>3495</v>
      </c>
      <c r="R24">
        <v>524.25</v>
      </c>
      <c r="S24">
        <v>0</v>
      </c>
      <c r="T24">
        <v>2970.75</v>
      </c>
      <c r="U24" t="s">
        <v>55</v>
      </c>
    </row>
    <row r="25" spans="1:21" x14ac:dyDescent="0.2">
      <c r="A25" t="s">
        <v>62</v>
      </c>
      <c r="B25" t="s">
        <v>709</v>
      </c>
      <c r="C25" t="s">
        <v>710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>
        <v>8905302263380</v>
      </c>
      <c r="J25" t="s">
        <v>711</v>
      </c>
      <c r="K25" t="s">
        <v>712</v>
      </c>
      <c r="L25" t="s">
        <v>94</v>
      </c>
      <c r="M25" t="s">
        <v>44</v>
      </c>
      <c r="N25">
        <v>3999</v>
      </c>
      <c r="O25">
        <v>3999</v>
      </c>
      <c r="P25">
        <v>1</v>
      </c>
      <c r="Q25">
        <v>3999</v>
      </c>
      <c r="R25">
        <v>599.85</v>
      </c>
      <c r="S25">
        <v>0</v>
      </c>
      <c r="T25">
        <v>3399.15</v>
      </c>
      <c r="U25" t="s">
        <v>259</v>
      </c>
    </row>
    <row r="26" spans="1:21" x14ac:dyDescent="0.2">
      <c r="A26" t="s">
        <v>575</v>
      </c>
      <c r="B26" t="s">
        <v>709</v>
      </c>
      <c r="C26" t="s">
        <v>135</v>
      </c>
      <c r="D26" t="s">
        <v>23</v>
      </c>
      <c r="E26" t="s">
        <v>24</v>
      </c>
      <c r="F26" t="s">
        <v>25</v>
      </c>
      <c r="G26" t="s">
        <v>34</v>
      </c>
      <c r="H26" t="s">
        <v>27</v>
      </c>
      <c r="I26">
        <v>8905302263236</v>
      </c>
      <c r="J26" t="s">
        <v>76</v>
      </c>
      <c r="K26" t="s">
        <v>77</v>
      </c>
      <c r="L26" t="s">
        <v>78</v>
      </c>
      <c r="M26" t="s">
        <v>54</v>
      </c>
      <c r="N26">
        <v>5999</v>
      </c>
      <c r="O26">
        <v>5999</v>
      </c>
      <c r="P26">
        <v>1</v>
      </c>
      <c r="Q26">
        <v>5999</v>
      </c>
      <c r="R26">
        <v>899.85</v>
      </c>
      <c r="S26">
        <v>0</v>
      </c>
      <c r="T26">
        <v>5099.1499999999996</v>
      </c>
      <c r="U26" t="s">
        <v>55</v>
      </c>
    </row>
    <row r="27" spans="1:21" x14ac:dyDescent="0.2">
      <c r="A27" t="s">
        <v>62</v>
      </c>
      <c r="B27" t="s">
        <v>703</v>
      </c>
      <c r="C27" t="s">
        <v>713</v>
      </c>
      <c r="D27" t="s">
        <v>23</v>
      </c>
      <c r="E27" t="s">
        <v>24</v>
      </c>
      <c r="F27" t="s">
        <v>64</v>
      </c>
      <c r="G27" t="s">
        <v>65</v>
      </c>
      <c r="H27" t="s">
        <v>27</v>
      </c>
      <c r="I27">
        <v>8905302263213</v>
      </c>
      <c r="J27" t="s">
        <v>81</v>
      </c>
      <c r="K27" t="s">
        <v>82</v>
      </c>
      <c r="L27" t="s">
        <v>83</v>
      </c>
      <c r="M27" t="s">
        <v>84</v>
      </c>
      <c r="N27">
        <v>5999</v>
      </c>
      <c r="O27">
        <v>5999</v>
      </c>
      <c r="P27">
        <v>1</v>
      </c>
      <c r="Q27">
        <v>5999</v>
      </c>
      <c r="R27">
        <v>1799.7</v>
      </c>
      <c r="S27">
        <v>0</v>
      </c>
      <c r="T27">
        <v>4199.3</v>
      </c>
      <c r="U27" t="s">
        <v>45</v>
      </c>
    </row>
    <row r="28" spans="1:21" x14ac:dyDescent="0.2">
      <c r="A28" t="s">
        <v>62</v>
      </c>
      <c r="B28" t="s">
        <v>703</v>
      </c>
      <c r="C28" t="s">
        <v>713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>
        <v>8905202264729</v>
      </c>
      <c r="J28" t="s">
        <v>28</v>
      </c>
      <c r="K28">
        <v>8905202264729</v>
      </c>
      <c r="L28" t="s">
        <v>29</v>
      </c>
      <c r="M28" t="s">
        <v>30</v>
      </c>
      <c r="N28">
        <v>2995</v>
      </c>
      <c r="O28">
        <v>2995</v>
      </c>
      <c r="P28">
        <v>1</v>
      </c>
      <c r="Q28">
        <v>2995</v>
      </c>
      <c r="R28">
        <v>898.5</v>
      </c>
      <c r="S28">
        <v>0</v>
      </c>
      <c r="T28">
        <v>2096.5</v>
      </c>
      <c r="U28" t="s">
        <v>45</v>
      </c>
    </row>
    <row r="29" spans="1:21" x14ac:dyDescent="0.2">
      <c r="A29" t="s">
        <v>62</v>
      </c>
      <c r="B29" t="s">
        <v>703</v>
      </c>
      <c r="C29" t="s">
        <v>714</v>
      </c>
      <c r="D29" t="s">
        <v>23</v>
      </c>
      <c r="E29" t="s">
        <v>24</v>
      </c>
      <c r="F29" t="s">
        <v>25</v>
      </c>
      <c r="G29" t="s">
        <v>34</v>
      </c>
      <c r="H29" t="s">
        <v>27</v>
      </c>
      <c r="I29">
        <v>8905302263328</v>
      </c>
      <c r="J29" t="s">
        <v>715</v>
      </c>
      <c r="K29" t="s">
        <v>716</v>
      </c>
      <c r="L29" t="s">
        <v>717</v>
      </c>
      <c r="M29" t="s">
        <v>54</v>
      </c>
      <c r="N29">
        <v>4999</v>
      </c>
      <c r="O29">
        <v>4999</v>
      </c>
      <c r="P29">
        <v>1</v>
      </c>
      <c r="Q29">
        <v>4999</v>
      </c>
      <c r="R29">
        <v>749.85</v>
      </c>
      <c r="S29">
        <v>0</v>
      </c>
      <c r="T29">
        <v>4249.1499999999996</v>
      </c>
      <c r="U29" t="s">
        <v>45</v>
      </c>
    </row>
    <row r="30" spans="1:21" x14ac:dyDescent="0.2">
      <c r="A30" t="s">
        <v>62</v>
      </c>
      <c r="B30" t="s">
        <v>703</v>
      </c>
      <c r="C30" t="s">
        <v>718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>
        <v>8905202264958</v>
      </c>
      <c r="J30" t="s">
        <v>719</v>
      </c>
      <c r="K30">
        <v>8905202264958</v>
      </c>
      <c r="L30" t="s">
        <v>412</v>
      </c>
      <c r="M30" t="s">
        <v>84</v>
      </c>
      <c r="N30">
        <v>2495</v>
      </c>
      <c r="O30">
        <v>2495</v>
      </c>
      <c r="P30">
        <v>1</v>
      </c>
      <c r="Q30">
        <v>2495</v>
      </c>
      <c r="R30">
        <v>374.25</v>
      </c>
      <c r="S30">
        <v>0</v>
      </c>
      <c r="T30">
        <v>2120.75</v>
      </c>
      <c r="U30" t="s">
        <v>39</v>
      </c>
    </row>
    <row r="31" spans="1:21" x14ac:dyDescent="0.2">
      <c r="A31" t="s">
        <v>62</v>
      </c>
      <c r="B31" t="s">
        <v>703</v>
      </c>
      <c r="C31" t="s">
        <v>704</v>
      </c>
      <c r="D31" t="s">
        <v>23</v>
      </c>
      <c r="E31" t="s">
        <v>24</v>
      </c>
      <c r="F31" t="s">
        <v>64</v>
      </c>
      <c r="G31" t="s">
        <v>65</v>
      </c>
      <c r="H31" t="s">
        <v>27</v>
      </c>
      <c r="I31">
        <v>8905302263320</v>
      </c>
      <c r="J31" t="s">
        <v>692</v>
      </c>
      <c r="K31" t="s">
        <v>693</v>
      </c>
      <c r="L31" t="s">
        <v>694</v>
      </c>
      <c r="M31" t="s">
        <v>38</v>
      </c>
      <c r="N31">
        <v>6999</v>
      </c>
      <c r="O31">
        <v>6999</v>
      </c>
      <c r="P31">
        <v>1</v>
      </c>
      <c r="Q31">
        <v>6999</v>
      </c>
      <c r="R31">
        <v>1049.8499999999999</v>
      </c>
      <c r="S31">
        <v>0</v>
      </c>
      <c r="T31">
        <v>5949.15</v>
      </c>
      <c r="U31" t="s">
        <v>55</v>
      </c>
    </row>
    <row r="32" spans="1:21" x14ac:dyDescent="0.2">
      <c r="A32" t="s">
        <v>62</v>
      </c>
      <c r="B32" t="s">
        <v>703</v>
      </c>
      <c r="C32" t="s">
        <v>705</v>
      </c>
      <c r="D32" t="s">
        <v>23</v>
      </c>
      <c r="E32" t="s">
        <v>24</v>
      </c>
      <c r="F32" t="s">
        <v>25</v>
      </c>
      <c r="G32" t="s">
        <v>34</v>
      </c>
      <c r="H32" t="s">
        <v>27</v>
      </c>
      <c r="I32">
        <v>8905302263330</v>
      </c>
      <c r="J32" t="s">
        <v>706</v>
      </c>
      <c r="K32" t="s">
        <v>707</v>
      </c>
      <c r="L32" t="s">
        <v>708</v>
      </c>
      <c r="M32" t="s">
        <v>44</v>
      </c>
      <c r="N32">
        <v>4999</v>
      </c>
      <c r="O32">
        <v>4999</v>
      </c>
      <c r="P32">
        <v>1</v>
      </c>
      <c r="Q32">
        <v>4999</v>
      </c>
      <c r="R32">
        <v>749.85</v>
      </c>
      <c r="S32">
        <v>0</v>
      </c>
      <c r="T32">
        <v>4249.1499999999996</v>
      </c>
      <c r="U32" t="s">
        <v>45</v>
      </c>
    </row>
    <row r="33" spans="1:21" x14ac:dyDescent="0.2">
      <c r="A33" t="s">
        <v>20</v>
      </c>
      <c r="B33" t="s">
        <v>733</v>
      </c>
      <c r="C33" t="s">
        <v>135</v>
      </c>
      <c r="D33" t="s">
        <v>23</v>
      </c>
      <c r="E33" t="s">
        <v>24</v>
      </c>
      <c r="F33" t="s">
        <v>25</v>
      </c>
      <c r="G33" t="s">
        <v>34</v>
      </c>
      <c r="H33" t="s">
        <v>27</v>
      </c>
      <c r="I33">
        <v>8905302263344</v>
      </c>
      <c r="J33" t="s">
        <v>734</v>
      </c>
      <c r="K33" t="s">
        <v>735</v>
      </c>
      <c r="L33" t="s">
        <v>736</v>
      </c>
      <c r="M33" t="s">
        <v>54</v>
      </c>
      <c r="N33">
        <v>5999</v>
      </c>
      <c r="O33">
        <v>5999</v>
      </c>
      <c r="P33">
        <v>1</v>
      </c>
      <c r="Q33">
        <v>5999</v>
      </c>
      <c r="R33">
        <v>1799.7</v>
      </c>
      <c r="S33">
        <v>0</v>
      </c>
      <c r="T33">
        <v>4199.3</v>
      </c>
      <c r="U33" t="s">
        <v>31</v>
      </c>
    </row>
    <row r="34" spans="1:21" x14ac:dyDescent="0.2">
      <c r="A34" t="s">
        <v>20</v>
      </c>
      <c r="B34" t="s">
        <v>733</v>
      </c>
      <c r="C34" t="s">
        <v>135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>
        <v>8905302263379</v>
      </c>
      <c r="J34" t="s">
        <v>737</v>
      </c>
      <c r="K34" t="s">
        <v>738</v>
      </c>
      <c r="L34" t="s">
        <v>60</v>
      </c>
      <c r="M34" t="s">
        <v>61</v>
      </c>
      <c r="N34">
        <v>3999</v>
      </c>
      <c r="O34">
        <v>3999</v>
      </c>
      <c r="P34">
        <v>1</v>
      </c>
      <c r="Q34">
        <v>3999</v>
      </c>
      <c r="R34">
        <v>1199.7</v>
      </c>
      <c r="S34">
        <v>0</v>
      </c>
      <c r="T34">
        <v>2799.3</v>
      </c>
      <c r="U34" t="s">
        <v>31</v>
      </c>
    </row>
    <row r="35" spans="1:21" x14ac:dyDescent="0.2">
      <c r="A35" t="s">
        <v>20</v>
      </c>
      <c r="B35" t="s">
        <v>739</v>
      </c>
      <c r="C35" t="s">
        <v>740</v>
      </c>
      <c r="D35" t="s">
        <v>23</v>
      </c>
      <c r="E35" t="s">
        <v>24</v>
      </c>
      <c r="F35" t="s">
        <v>64</v>
      </c>
      <c r="G35" t="s">
        <v>65</v>
      </c>
      <c r="H35" t="s">
        <v>27</v>
      </c>
      <c r="I35">
        <v>8905302263316</v>
      </c>
      <c r="J35" t="s">
        <v>741</v>
      </c>
      <c r="K35" t="s">
        <v>742</v>
      </c>
      <c r="L35" t="s">
        <v>743</v>
      </c>
      <c r="M35" t="s">
        <v>38</v>
      </c>
      <c r="N35">
        <v>6999</v>
      </c>
      <c r="O35">
        <v>6999</v>
      </c>
      <c r="P35">
        <v>1</v>
      </c>
      <c r="Q35">
        <v>6999</v>
      </c>
      <c r="R35">
        <v>2099.6999999999998</v>
      </c>
      <c r="S35">
        <v>0</v>
      </c>
      <c r="T35">
        <v>4899.3</v>
      </c>
      <c r="U35" t="s">
        <v>45</v>
      </c>
    </row>
    <row r="36" spans="1:21" x14ac:dyDescent="0.2">
      <c r="A36" t="s">
        <v>20</v>
      </c>
      <c r="B36" t="s">
        <v>739</v>
      </c>
      <c r="C36" t="s">
        <v>740</v>
      </c>
      <c r="D36" t="s">
        <v>23</v>
      </c>
      <c r="E36" t="s">
        <v>24</v>
      </c>
      <c r="F36" t="s">
        <v>64</v>
      </c>
      <c r="G36" t="s">
        <v>65</v>
      </c>
      <c r="H36" t="s">
        <v>27</v>
      </c>
      <c r="I36">
        <v>8905302263360</v>
      </c>
      <c r="J36" t="s">
        <v>744</v>
      </c>
      <c r="K36" t="s">
        <v>745</v>
      </c>
      <c r="L36" t="s">
        <v>743</v>
      </c>
      <c r="M36" t="s">
        <v>38</v>
      </c>
      <c r="N36">
        <v>7999</v>
      </c>
      <c r="O36">
        <v>7999</v>
      </c>
      <c r="P36">
        <v>1</v>
      </c>
      <c r="Q36">
        <v>7999</v>
      </c>
      <c r="R36">
        <v>2399.6999999999998</v>
      </c>
      <c r="S36">
        <v>0</v>
      </c>
      <c r="T36">
        <v>5599.3</v>
      </c>
      <c r="U36" t="s">
        <v>45</v>
      </c>
    </row>
    <row r="37" spans="1:21" x14ac:dyDescent="0.2">
      <c r="A37" t="s">
        <v>20</v>
      </c>
      <c r="B37" t="s">
        <v>739</v>
      </c>
      <c r="C37" t="s">
        <v>740</v>
      </c>
      <c r="D37" t="s">
        <v>23</v>
      </c>
      <c r="E37" t="s">
        <v>24</v>
      </c>
      <c r="F37" t="s">
        <v>25</v>
      </c>
      <c r="G37" t="s">
        <v>34</v>
      </c>
      <c r="H37" t="s">
        <v>27</v>
      </c>
      <c r="I37">
        <v>8905302263286</v>
      </c>
      <c r="J37" t="s">
        <v>746</v>
      </c>
      <c r="K37" t="s">
        <v>747</v>
      </c>
      <c r="L37" t="s">
        <v>748</v>
      </c>
      <c r="M37" t="s">
        <v>44</v>
      </c>
      <c r="N37">
        <v>5999</v>
      </c>
      <c r="O37">
        <v>5999</v>
      </c>
      <c r="P37">
        <v>1</v>
      </c>
      <c r="Q37">
        <v>5999</v>
      </c>
      <c r="R37">
        <v>1799.7</v>
      </c>
      <c r="S37">
        <v>0</v>
      </c>
      <c r="T37">
        <v>4199.3</v>
      </c>
      <c r="U37" t="s">
        <v>45</v>
      </c>
    </row>
    <row r="38" spans="1:21" x14ac:dyDescent="0.2">
      <c r="A38" t="s">
        <v>62</v>
      </c>
      <c r="B38" t="s">
        <v>739</v>
      </c>
      <c r="C38" t="s">
        <v>749</v>
      </c>
      <c r="D38" t="s">
        <v>23</v>
      </c>
      <c r="E38" t="s">
        <v>24</v>
      </c>
      <c r="F38" t="s">
        <v>25</v>
      </c>
      <c r="G38" t="s">
        <v>34</v>
      </c>
      <c r="H38" t="s">
        <v>27</v>
      </c>
      <c r="I38">
        <v>8905302263256</v>
      </c>
      <c r="J38" t="s">
        <v>750</v>
      </c>
      <c r="K38" t="s">
        <v>751</v>
      </c>
      <c r="L38" t="s">
        <v>110</v>
      </c>
      <c r="M38" t="s">
        <v>61</v>
      </c>
      <c r="N38">
        <v>5999</v>
      </c>
      <c r="O38">
        <v>5999</v>
      </c>
      <c r="P38">
        <v>1</v>
      </c>
      <c r="Q38">
        <v>5999</v>
      </c>
      <c r="R38">
        <v>899.85</v>
      </c>
      <c r="S38">
        <v>0</v>
      </c>
      <c r="T38">
        <v>5099.1499999999996</v>
      </c>
      <c r="U38" t="s">
        <v>50</v>
      </c>
    </row>
    <row r="39" spans="1:21" x14ac:dyDescent="0.2">
      <c r="A39" t="s">
        <v>20</v>
      </c>
      <c r="B39" t="s">
        <v>752</v>
      </c>
      <c r="C39" t="s">
        <v>753</v>
      </c>
      <c r="D39" t="s">
        <v>23</v>
      </c>
      <c r="E39" t="s">
        <v>24</v>
      </c>
      <c r="F39" t="s">
        <v>25</v>
      </c>
      <c r="G39" t="s">
        <v>34</v>
      </c>
      <c r="H39" t="s">
        <v>27</v>
      </c>
      <c r="I39">
        <v>8905302263285</v>
      </c>
      <c r="J39" t="s">
        <v>754</v>
      </c>
      <c r="K39" t="s">
        <v>755</v>
      </c>
      <c r="L39" t="s">
        <v>756</v>
      </c>
      <c r="M39" t="s">
        <v>61</v>
      </c>
      <c r="N39">
        <v>5999</v>
      </c>
      <c r="O39">
        <v>5999</v>
      </c>
      <c r="P39">
        <v>1</v>
      </c>
      <c r="Q39">
        <v>5999</v>
      </c>
      <c r="R39">
        <v>899.85</v>
      </c>
      <c r="S39">
        <v>0</v>
      </c>
      <c r="T39">
        <v>5099.1499999999996</v>
      </c>
      <c r="U39" t="s">
        <v>45</v>
      </c>
    </row>
    <row r="40" spans="1:21" x14ac:dyDescent="0.2">
      <c r="A40" t="s">
        <v>62</v>
      </c>
      <c r="B40" t="s">
        <v>752</v>
      </c>
      <c r="C40" t="s">
        <v>758</v>
      </c>
      <c r="D40" t="s">
        <v>23</v>
      </c>
      <c r="E40" t="s">
        <v>24</v>
      </c>
      <c r="F40" t="s">
        <v>25</v>
      </c>
      <c r="G40" t="s">
        <v>34</v>
      </c>
      <c r="H40" t="s">
        <v>27</v>
      </c>
      <c r="I40">
        <v>8905302263257</v>
      </c>
      <c r="J40" t="s">
        <v>759</v>
      </c>
      <c r="K40" t="s">
        <v>760</v>
      </c>
      <c r="L40" t="s">
        <v>118</v>
      </c>
      <c r="M40" t="s">
        <v>44</v>
      </c>
      <c r="N40">
        <v>5999</v>
      </c>
      <c r="O40">
        <v>5999</v>
      </c>
      <c r="P40">
        <v>1</v>
      </c>
      <c r="Q40">
        <v>5999</v>
      </c>
      <c r="R40">
        <v>899.85</v>
      </c>
      <c r="S40">
        <v>0</v>
      </c>
      <c r="T40">
        <v>5099.1499999999996</v>
      </c>
      <c r="U40" t="s">
        <v>50</v>
      </c>
    </row>
    <row r="41" spans="1:21" x14ac:dyDescent="0.2">
      <c r="A41" t="s">
        <v>62</v>
      </c>
      <c r="B41" t="s">
        <v>752</v>
      </c>
      <c r="C41" t="s">
        <v>578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>
        <v>8905302263398</v>
      </c>
      <c r="J41" t="s">
        <v>761</v>
      </c>
      <c r="K41" t="s">
        <v>762</v>
      </c>
      <c r="L41" t="s">
        <v>763</v>
      </c>
      <c r="M41" t="s">
        <v>764</v>
      </c>
      <c r="N41">
        <v>4495</v>
      </c>
      <c r="O41">
        <v>4495</v>
      </c>
      <c r="P41">
        <v>1</v>
      </c>
      <c r="Q41">
        <v>4495</v>
      </c>
      <c r="R41">
        <v>674.25</v>
      </c>
      <c r="S41">
        <v>0</v>
      </c>
      <c r="T41">
        <v>3820.75</v>
      </c>
      <c r="U41" t="s">
        <v>259</v>
      </c>
    </row>
    <row r="42" spans="1:21" x14ac:dyDescent="0.2">
      <c r="A42" t="s">
        <v>62</v>
      </c>
      <c r="B42" t="s">
        <v>752</v>
      </c>
      <c r="C42" t="s">
        <v>765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>
        <v>8905202264873</v>
      </c>
      <c r="J42" t="s">
        <v>130</v>
      </c>
      <c r="K42" t="s">
        <v>131</v>
      </c>
      <c r="L42" t="s">
        <v>94</v>
      </c>
      <c r="M42" t="s">
        <v>44</v>
      </c>
      <c r="N42">
        <v>3995</v>
      </c>
      <c r="O42">
        <v>3995</v>
      </c>
      <c r="P42">
        <v>1</v>
      </c>
      <c r="Q42">
        <v>3995</v>
      </c>
      <c r="R42">
        <v>599.25</v>
      </c>
      <c r="S42">
        <v>0</v>
      </c>
      <c r="T42">
        <v>3395.75</v>
      </c>
      <c r="U42" t="s">
        <v>50</v>
      </c>
    </row>
    <row r="43" spans="1:21" x14ac:dyDescent="0.2">
      <c r="A43" t="s">
        <v>62</v>
      </c>
      <c r="B43" t="s">
        <v>752</v>
      </c>
      <c r="C43" t="s">
        <v>757</v>
      </c>
      <c r="D43" t="s">
        <v>23</v>
      </c>
      <c r="E43" t="s">
        <v>24</v>
      </c>
      <c r="F43" t="s">
        <v>64</v>
      </c>
      <c r="G43" t="s">
        <v>65</v>
      </c>
      <c r="H43" t="s">
        <v>27</v>
      </c>
      <c r="I43">
        <v>8905302263183</v>
      </c>
      <c r="J43" t="s">
        <v>485</v>
      </c>
      <c r="K43" t="s">
        <v>484</v>
      </c>
      <c r="L43" t="s">
        <v>483</v>
      </c>
      <c r="M43" t="s">
        <v>38</v>
      </c>
      <c r="N43">
        <v>5999</v>
      </c>
      <c r="O43">
        <v>5999</v>
      </c>
      <c r="P43">
        <v>1</v>
      </c>
      <c r="Q43">
        <v>5999</v>
      </c>
      <c r="R43">
        <v>899.85</v>
      </c>
      <c r="S43">
        <v>0</v>
      </c>
      <c r="T43">
        <v>5099.1499999999996</v>
      </c>
      <c r="U43" t="s">
        <v>55</v>
      </c>
    </row>
    <row r="44" spans="1:21" x14ac:dyDescent="0.2">
      <c r="A44" t="s">
        <v>575</v>
      </c>
      <c r="B44" t="s">
        <v>752</v>
      </c>
      <c r="C44" t="s">
        <v>766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>
        <v>8905202264705</v>
      </c>
      <c r="J44" t="s">
        <v>438</v>
      </c>
      <c r="K44" t="s">
        <v>437</v>
      </c>
      <c r="L44" t="s">
        <v>436</v>
      </c>
      <c r="M44" t="s">
        <v>30</v>
      </c>
      <c r="N44">
        <v>3495</v>
      </c>
      <c r="O44">
        <v>3495</v>
      </c>
      <c r="P44">
        <v>1</v>
      </c>
      <c r="Q44">
        <v>3495</v>
      </c>
      <c r="R44">
        <v>1048.5</v>
      </c>
      <c r="S44">
        <v>0</v>
      </c>
      <c r="T44">
        <v>2446.5</v>
      </c>
      <c r="U44" t="s">
        <v>55</v>
      </c>
    </row>
    <row r="45" spans="1:21" x14ac:dyDescent="0.2">
      <c r="A45" t="s">
        <v>575</v>
      </c>
      <c r="B45" t="s">
        <v>752</v>
      </c>
      <c r="C45" t="s">
        <v>766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>
        <v>8905202264729</v>
      </c>
      <c r="J45" t="s">
        <v>28</v>
      </c>
      <c r="K45">
        <v>8905202264729</v>
      </c>
      <c r="L45" t="s">
        <v>29</v>
      </c>
      <c r="M45" t="s">
        <v>30</v>
      </c>
      <c r="N45">
        <v>2995</v>
      </c>
      <c r="O45">
        <v>2995</v>
      </c>
      <c r="P45">
        <v>1</v>
      </c>
      <c r="Q45">
        <v>2995</v>
      </c>
      <c r="R45">
        <v>898.5</v>
      </c>
      <c r="S45">
        <v>0</v>
      </c>
      <c r="T45">
        <v>2096.5</v>
      </c>
      <c r="U45" t="s">
        <v>55</v>
      </c>
    </row>
    <row r="46" spans="1:21" x14ac:dyDescent="0.2">
      <c r="A46" t="s">
        <v>20</v>
      </c>
      <c r="B46" t="s">
        <v>767</v>
      </c>
      <c r="C46" t="s">
        <v>768</v>
      </c>
      <c r="D46" t="s">
        <v>23</v>
      </c>
      <c r="E46" t="s">
        <v>24</v>
      </c>
      <c r="F46" t="s">
        <v>64</v>
      </c>
      <c r="G46" t="s">
        <v>359</v>
      </c>
      <c r="H46" t="s">
        <v>27</v>
      </c>
      <c r="I46">
        <v>8905202268697</v>
      </c>
      <c r="J46" t="s">
        <v>769</v>
      </c>
      <c r="K46" t="s">
        <v>770</v>
      </c>
      <c r="L46" t="s">
        <v>771</v>
      </c>
      <c r="M46" t="s">
        <v>38</v>
      </c>
      <c r="N46">
        <v>3995</v>
      </c>
      <c r="O46">
        <v>3995</v>
      </c>
      <c r="P46">
        <v>1</v>
      </c>
      <c r="Q46">
        <v>3995</v>
      </c>
      <c r="R46">
        <v>0</v>
      </c>
      <c r="S46">
        <v>0</v>
      </c>
      <c r="T46">
        <v>3995</v>
      </c>
      <c r="U46" t="s">
        <v>45</v>
      </c>
    </row>
    <row r="47" spans="1:21" x14ac:dyDescent="0.2">
      <c r="A47" t="s">
        <v>20</v>
      </c>
      <c r="B47" t="s">
        <v>767</v>
      </c>
      <c r="C47" t="s">
        <v>768</v>
      </c>
      <c r="D47" t="s">
        <v>23</v>
      </c>
      <c r="E47" t="s">
        <v>24</v>
      </c>
      <c r="F47" t="s">
        <v>64</v>
      </c>
      <c r="G47" t="s">
        <v>359</v>
      </c>
      <c r="H47" t="s">
        <v>27</v>
      </c>
      <c r="I47">
        <v>8905202268710</v>
      </c>
      <c r="J47" t="s">
        <v>457</v>
      </c>
      <c r="K47">
        <v>8905202268710</v>
      </c>
      <c r="L47" t="s">
        <v>456</v>
      </c>
      <c r="M47" t="s">
        <v>38</v>
      </c>
      <c r="N47">
        <v>3995</v>
      </c>
      <c r="O47">
        <v>3995</v>
      </c>
      <c r="P47">
        <v>1</v>
      </c>
      <c r="Q47">
        <v>3995</v>
      </c>
      <c r="R47">
        <v>0</v>
      </c>
      <c r="S47">
        <v>0</v>
      </c>
      <c r="T47">
        <v>3995</v>
      </c>
      <c r="U47" t="s">
        <v>45</v>
      </c>
    </row>
    <row r="48" spans="1:21" x14ac:dyDescent="0.2">
      <c r="A48" t="s">
        <v>62</v>
      </c>
      <c r="B48" t="s">
        <v>767</v>
      </c>
      <c r="C48" t="s">
        <v>772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>
        <v>8905302263380</v>
      </c>
      <c r="J48" t="s">
        <v>711</v>
      </c>
      <c r="K48" t="s">
        <v>712</v>
      </c>
      <c r="L48" t="s">
        <v>94</v>
      </c>
      <c r="M48" t="s">
        <v>44</v>
      </c>
      <c r="N48">
        <v>3999</v>
      </c>
      <c r="O48">
        <v>3999</v>
      </c>
      <c r="P48">
        <v>1</v>
      </c>
      <c r="Q48">
        <v>3999</v>
      </c>
      <c r="R48">
        <v>0</v>
      </c>
      <c r="S48">
        <v>0</v>
      </c>
      <c r="T48">
        <v>3999</v>
      </c>
      <c r="U48" t="s">
        <v>50</v>
      </c>
    </row>
    <row r="49" spans="1:21" x14ac:dyDescent="0.2">
      <c r="A49" t="s">
        <v>62</v>
      </c>
      <c r="B49" t="s">
        <v>767</v>
      </c>
      <c r="C49" t="s">
        <v>773</v>
      </c>
      <c r="D49" t="s">
        <v>23</v>
      </c>
      <c r="E49" t="s">
        <v>24</v>
      </c>
      <c r="F49" t="s">
        <v>25</v>
      </c>
      <c r="G49" t="s">
        <v>26</v>
      </c>
      <c r="H49" t="s">
        <v>27</v>
      </c>
      <c r="I49">
        <v>8905302263378</v>
      </c>
      <c r="J49" t="s">
        <v>774</v>
      </c>
      <c r="K49" t="s">
        <v>775</v>
      </c>
      <c r="L49" t="s">
        <v>776</v>
      </c>
      <c r="M49" t="s">
        <v>38</v>
      </c>
      <c r="N49">
        <v>3999</v>
      </c>
      <c r="O49">
        <v>3999</v>
      </c>
      <c r="P49">
        <v>1</v>
      </c>
      <c r="Q49">
        <v>3999</v>
      </c>
      <c r="R49">
        <v>0</v>
      </c>
      <c r="S49">
        <v>0</v>
      </c>
      <c r="T49">
        <v>3999</v>
      </c>
      <c r="U49" t="s">
        <v>246</v>
      </c>
    </row>
    <row r="50" spans="1:21" x14ac:dyDescent="0.2">
      <c r="A50" t="s">
        <v>20</v>
      </c>
      <c r="B50" t="s">
        <v>780</v>
      </c>
      <c r="C50" t="s">
        <v>781</v>
      </c>
      <c r="D50" t="s">
        <v>23</v>
      </c>
      <c r="E50" t="s">
        <v>24</v>
      </c>
      <c r="F50" t="s">
        <v>64</v>
      </c>
      <c r="G50" t="s">
        <v>65</v>
      </c>
      <c r="H50" t="s">
        <v>27</v>
      </c>
      <c r="I50">
        <v>8905302263362</v>
      </c>
      <c r="J50" t="s">
        <v>602</v>
      </c>
      <c r="K50" t="s">
        <v>603</v>
      </c>
      <c r="L50" t="s">
        <v>604</v>
      </c>
      <c r="M50" t="s">
        <v>61</v>
      </c>
      <c r="N50">
        <v>7999</v>
      </c>
      <c r="O50">
        <v>7999</v>
      </c>
      <c r="P50">
        <v>1</v>
      </c>
      <c r="Q50">
        <v>7999</v>
      </c>
      <c r="R50">
        <v>0</v>
      </c>
      <c r="S50">
        <v>0</v>
      </c>
      <c r="T50">
        <v>7999</v>
      </c>
      <c r="U50" t="s">
        <v>284</v>
      </c>
    </row>
    <row r="51" spans="1:21" x14ac:dyDescent="0.2">
      <c r="A51" t="s">
        <v>62</v>
      </c>
      <c r="B51" t="s">
        <v>780</v>
      </c>
      <c r="C51" t="s">
        <v>782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>
        <v>8905202264651</v>
      </c>
      <c r="J51" t="s">
        <v>783</v>
      </c>
      <c r="K51" t="s">
        <v>784</v>
      </c>
      <c r="L51" t="s">
        <v>94</v>
      </c>
      <c r="M51" t="s">
        <v>44</v>
      </c>
      <c r="N51">
        <v>2995</v>
      </c>
      <c r="O51">
        <v>2995</v>
      </c>
      <c r="P51">
        <v>1</v>
      </c>
      <c r="Q51">
        <v>2995</v>
      </c>
      <c r="R51">
        <v>1048.25</v>
      </c>
      <c r="S51">
        <v>0</v>
      </c>
      <c r="T51">
        <v>1946.75</v>
      </c>
      <c r="U51" t="s">
        <v>45</v>
      </c>
    </row>
    <row r="52" spans="1:21" x14ac:dyDescent="0.2">
      <c r="A52" t="s">
        <v>62</v>
      </c>
      <c r="B52" t="s">
        <v>780</v>
      </c>
      <c r="C52" t="s">
        <v>785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>
        <v>8905202264729</v>
      </c>
      <c r="J52" t="s">
        <v>28</v>
      </c>
      <c r="K52">
        <v>8905202264729</v>
      </c>
      <c r="L52" t="s">
        <v>29</v>
      </c>
      <c r="M52" t="s">
        <v>30</v>
      </c>
      <c r="N52">
        <v>2995</v>
      </c>
      <c r="O52">
        <v>2995</v>
      </c>
      <c r="P52">
        <v>1</v>
      </c>
      <c r="Q52">
        <v>2995</v>
      </c>
      <c r="R52">
        <v>1048.25</v>
      </c>
      <c r="S52">
        <v>0</v>
      </c>
      <c r="T52">
        <v>1946.75</v>
      </c>
      <c r="U52" t="s">
        <v>50</v>
      </c>
    </row>
    <row r="53" spans="1:21" x14ac:dyDescent="0.2">
      <c r="A53" t="s">
        <v>62</v>
      </c>
      <c r="B53" t="s">
        <v>780</v>
      </c>
      <c r="C53" t="s">
        <v>786</v>
      </c>
      <c r="D53" t="s">
        <v>23</v>
      </c>
      <c r="E53" t="s">
        <v>24</v>
      </c>
      <c r="F53" t="s">
        <v>25</v>
      </c>
      <c r="G53" t="s">
        <v>26</v>
      </c>
      <c r="H53" t="s">
        <v>27</v>
      </c>
      <c r="I53">
        <v>8905202264668</v>
      </c>
      <c r="J53" t="s">
        <v>787</v>
      </c>
      <c r="K53" t="s">
        <v>788</v>
      </c>
      <c r="L53" t="s">
        <v>60</v>
      </c>
      <c r="M53" t="s">
        <v>61</v>
      </c>
      <c r="N53">
        <v>2995</v>
      </c>
      <c r="O53">
        <v>2995</v>
      </c>
      <c r="P53">
        <v>1</v>
      </c>
      <c r="Q53">
        <v>2995</v>
      </c>
      <c r="R53">
        <v>1048.25</v>
      </c>
      <c r="S53">
        <v>0</v>
      </c>
      <c r="T53">
        <v>1946.75</v>
      </c>
      <c r="U53" t="s">
        <v>50</v>
      </c>
    </row>
    <row r="54" spans="1:21" x14ac:dyDescent="0.2">
      <c r="A54" t="s">
        <v>62</v>
      </c>
      <c r="B54" t="s">
        <v>780</v>
      </c>
      <c r="C54" t="s">
        <v>786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>
        <v>8905202269335</v>
      </c>
      <c r="J54" t="s">
        <v>182</v>
      </c>
      <c r="K54" t="s">
        <v>183</v>
      </c>
      <c r="L54" t="s">
        <v>184</v>
      </c>
      <c r="M54" t="s">
        <v>61</v>
      </c>
      <c r="N54">
        <v>3495</v>
      </c>
      <c r="O54">
        <v>3495</v>
      </c>
      <c r="P54">
        <v>1</v>
      </c>
      <c r="Q54">
        <v>3495</v>
      </c>
      <c r="R54">
        <v>1223.25</v>
      </c>
      <c r="S54">
        <v>0</v>
      </c>
      <c r="T54">
        <v>2271.75</v>
      </c>
      <c r="U54" t="s">
        <v>50</v>
      </c>
    </row>
    <row r="55" spans="1:21" x14ac:dyDescent="0.2">
      <c r="A55" t="s">
        <v>575</v>
      </c>
      <c r="B55" t="s">
        <v>780</v>
      </c>
      <c r="C55" t="s">
        <v>789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>
        <v>8905202264927</v>
      </c>
      <c r="J55" t="s">
        <v>232</v>
      </c>
      <c r="K55" t="s">
        <v>233</v>
      </c>
      <c r="L55" t="s">
        <v>123</v>
      </c>
      <c r="M55" t="s">
        <v>44</v>
      </c>
      <c r="N55">
        <v>2995</v>
      </c>
      <c r="O55">
        <v>2995</v>
      </c>
      <c r="P55">
        <v>1</v>
      </c>
      <c r="Q55">
        <v>2995</v>
      </c>
      <c r="R55">
        <v>1048.25</v>
      </c>
      <c r="S55">
        <v>0</v>
      </c>
      <c r="T55">
        <v>1946.75</v>
      </c>
      <c r="U55" t="s">
        <v>254</v>
      </c>
    </row>
    <row r="56" spans="1:21" x14ac:dyDescent="0.2">
      <c r="A56" t="s">
        <v>575</v>
      </c>
      <c r="B56" t="s">
        <v>780</v>
      </c>
      <c r="C56" t="s">
        <v>790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>
        <v>8905202264880</v>
      </c>
      <c r="J56" t="s">
        <v>417</v>
      </c>
      <c r="K56">
        <v>8905202264880</v>
      </c>
      <c r="L56" t="s">
        <v>416</v>
      </c>
      <c r="M56" t="s">
        <v>54</v>
      </c>
      <c r="N56">
        <v>2995</v>
      </c>
      <c r="O56">
        <v>2995</v>
      </c>
      <c r="P56">
        <v>1</v>
      </c>
      <c r="Q56">
        <v>2995</v>
      </c>
      <c r="R56">
        <v>1048.25</v>
      </c>
      <c r="S56">
        <v>0</v>
      </c>
      <c r="T56">
        <v>1946.75</v>
      </c>
      <c r="U56" t="s">
        <v>45</v>
      </c>
    </row>
    <row r="57" spans="1:21" x14ac:dyDescent="0.2">
      <c r="A57" t="s">
        <v>575</v>
      </c>
      <c r="B57" t="s">
        <v>780</v>
      </c>
      <c r="C57" t="s">
        <v>791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>
        <v>8905202264910</v>
      </c>
      <c r="J57" t="s">
        <v>85</v>
      </c>
      <c r="K57" t="s">
        <v>86</v>
      </c>
      <c r="L57" t="s">
        <v>87</v>
      </c>
      <c r="M57" t="s">
        <v>38</v>
      </c>
      <c r="N57">
        <v>2995</v>
      </c>
      <c r="O57">
        <v>2995</v>
      </c>
      <c r="P57">
        <v>1</v>
      </c>
      <c r="Q57">
        <v>2995</v>
      </c>
      <c r="R57">
        <v>1048.25</v>
      </c>
      <c r="S57">
        <v>0</v>
      </c>
      <c r="T57">
        <v>1946.75</v>
      </c>
      <c r="U57" t="s">
        <v>55</v>
      </c>
    </row>
    <row r="58" spans="1:21" x14ac:dyDescent="0.2">
      <c r="A58" t="s">
        <v>62</v>
      </c>
      <c r="B58" t="s">
        <v>792</v>
      </c>
      <c r="C58" t="s">
        <v>793</v>
      </c>
      <c r="D58" t="s">
        <v>23</v>
      </c>
      <c r="E58" t="s">
        <v>24</v>
      </c>
      <c r="F58" t="s">
        <v>25</v>
      </c>
      <c r="G58" t="s">
        <v>34</v>
      </c>
      <c r="H58" t="s">
        <v>27</v>
      </c>
      <c r="I58">
        <v>8905302263237</v>
      </c>
      <c r="J58" t="s">
        <v>606</v>
      </c>
      <c r="K58" t="s">
        <v>607</v>
      </c>
      <c r="L58" t="s">
        <v>608</v>
      </c>
      <c r="M58" t="s">
        <v>61</v>
      </c>
      <c r="N58">
        <v>5999</v>
      </c>
      <c r="O58">
        <v>5999</v>
      </c>
      <c r="P58">
        <v>1</v>
      </c>
      <c r="Q58">
        <v>5999</v>
      </c>
      <c r="R58">
        <v>0</v>
      </c>
      <c r="S58">
        <v>0</v>
      </c>
      <c r="T58">
        <v>5999</v>
      </c>
      <c r="U58" t="s">
        <v>55</v>
      </c>
    </row>
    <row r="59" spans="1:21" x14ac:dyDescent="0.2">
      <c r="A59" t="s">
        <v>62</v>
      </c>
      <c r="B59" t="s">
        <v>792</v>
      </c>
      <c r="C59" t="s">
        <v>794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>
        <v>8905202269335</v>
      </c>
      <c r="J59" t="s">
        <v>182</v>
      </c>
      <c r="K59" t="s">
        <v>183</v>
      </c>
      <c r="L59" t="s">
        <v>184</v>
      </c>
      <c r="M59" t="s">
        <v>61</v>
      </c>
      <c r="N59">
        <v>3495</v>
      </c>
      <c r="O59">
        <v>3495</v>
      </c>
      <c r="P59">
        <v>1</v>
      </c>
      <c r="Q59">
        <v>3495</v>
      </c>
      <c r="R59">
        <v>1223.25</v>
      </c>
      <c r="S59">
        <v>0</v>
      </c>
      <c r="T59">
        <v>2271.75</v>
      </c>
      <c r="U59" t="s">
        <v>55</v>
      </c>
    </row>
    <row r="60" spans="1:21" x14ac:dyDescent="0.2">
      <c r="A60" t="s">
        <v>62</v>
      </c>
      <c r="B60" t="s">
        <v>792</v>
      </c>
      <c r="C60" t="s">
        <v>795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>
        <v>8905202264613</v>
      </c>
      <c r="J60" t="s">
        <v>796</v>
      </c>
      <c r="K60">
        <v>8905202264613</v>
      </c>
      <c r="L60" t="s">
        <v>60</v>
      </c>
      <c r="M60" t="s">
        <v>61</v>
      </c>
      <c r="N60">
        <v>3495</v>
      </c>
      <c r="O60">
        <v>3495</v>
      </c>
      <c r="P60">
        <v>1</v>
      </c>
      <c r="Q60">
        <v>3495</v>
      </c>
      <c r="R60">
        <v>1223.25</v>
      </c>
      <c r="S60">
        <v>0</v>
      </c>
      <c r="T60">
        <v>2271.75</v>
      </c>
      <c r="U60" t="s">
        <v>45</v>
      </c>
    </row>
    <row r="61" spans="1:21" x14ac:dyDescent="0.2">
      <c r="A61" t="s">
        <v>62</v>
      </c>
      <c r="B61" t="s">
        <v>792</v>
      </c>
      <c r="C61" t="s">
        <v>795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>
        <v>8905202265047</v>
      </c>
      <c r="J61" t="s">
        <v>213</v>
      </c>
      <c r="K61" t="s">
        <v>214</v>
      </c>
      <c r="L61" t="s">
        <v>184</v>
      </c>
      <c r="M61" t="s">
        <v>61</v>
      </c>
      <c r="N61">
        <v>2995</v>
      </c>
      <c r="O61">
        <v>2995</v>
      </c>
      <c r="P61">
        <v>1</v>
      </c>
      <c r="Q61">
        <v>2995</v>
      </c>
      <c r="R61">
        <v>1048.25</v>
      </c>
      <c r="S61">
        <v>0</v>
      </c>
      <c r="T61">
        <v>1946.75</v>
      </c>
      <c r="U61" t="s">
        <v>45</v>
      </c>
    </row>
    <row r="62" spans="1:21" x14ac:dyDescent="0.2">
      <c r="A62" t="s">
        <v>62</v>
      </c>
      <c r="B62" t="s">
        <v>797</v>
      </c>
      <c r="C62">
        <v>3.6434033199999998E+99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>
        <v>8905202264729</v>
      </c>
      <c r="J62" t="s">
        <v>28</v>
      </c>
      <c r="K62">
        <v>8905202264729</v>
      </c>
      <c r="L62" t="s">
        <v>29</v>
      </c>
      <c r="M62" t="s">
        <v>30</v>
      </c>
      <c r="N62">
        <v>2995</v>
      </c>
      <c r="O62">
        <v>2995</v>
      </c>
      <c r="P62">
        <v>1</v>
      </c>
      <c r="Q62">
        <v>2995</v>
      </c>
      <c r="R62">
        <v>1048.25</v>
      </c>
      <c r="S62">
        <v>0</v>
      </c>
      <c r="T62">
        <v>1946.75</v>
      </c>
      <c r="U62" t="s">
        <v>45</v>
      </c>
    </row>
    <row r="63" spans="1:21" x14ac:dyDescent="0.2">
      <c r="A63" t="s">
        <v>62</v>
      </c>
      <c r="B63" t="s">
        <v>797</v>
      </c>
      <c r="C63" t="s">
        <v>798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>
        <v>8905202264682</v>
      </c>
      <c r="J63" t="s">
        <v>529</v>
      </c>
      <c r="K63" t="s">
        <v>530</v>
      </c>
      <c r="L63" t="s">
        <v>149</v>
      </c>
      <c r="M63" t="s">
        <v>38</v>
      </c>
      <c r="N63">
        <v>2995</v>
      </c>
      <c r="O63">
        <v>2995</v>
      </c>
      <c r="P63">
        <v>1</v>
      </c>
      <c r="Q63">
        <v>2995</v>
      </c>
      <c r="R63">
        <v>1048.25</v>
      </c>
      <c r="S63">
        <v>0</v>
      </c>
      <c r="T63">
        <v>1946.75</v>
      </c>
      <c r="U63" t="s">
        <v>45</v>
      </c>
    </row>
    <row r="64" spans="1:21" x14ac:dyDescent="0.2">
      <c r="A64" t="s">
        <v>62</v>
      </c>
      <c r="B64" t="s">
        <v>797</v>
      </c>
      <c r="C64" t="s">
        <v>798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>
        <v>8905202264897</v>
      </c>
      <c r="J64" t="s">
        <v>203</v>
      </c>
      <c r="K64">
        <v>8905202264897</v>
      </c>
      <c r="L64" t="s">
        <v>191</v>
      </c>
      <c r="M64" t="s">
        <v>61</v>
      </c>
      <c r="N64">
        <v>2995</v>
      </c>
      <c r="O64">
        <v>2995</v>
      </c>
      <c r="P64">
        <v>1</v>
      </c>
      <c r="Q64">
        <v>2995</v>
      </c>
      <c r="R64">
        <v>1048.25</v>
      </c>
      <c r="S64">
        <v>0</v>
      </c>
      <c r="T64">
        <v>1946.75</v>
      </c>
      <c r="U64" t="s">
        <v>45</v>
      </c>
    </row>
    <row r="65" spans="1:21" x14ac:dyDescent="0.2">
      <c r="A65" t="s">
        <v>20</v>
      </c>
      <c r="B65" t="s">
        <v>803</v>
      </c>
      <c r="C65" t="s">
        <v>804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>
        <v>8905202264729</v>
      </c>
      <c r="J65" t="s">
        <v>28</v>
      </c>
      <c r="K65">
        <v>8905202264729</v>
      </c>
      <c r="L65" t="s">
        <v>29</v>
      </c>
      <c r="M65" t="s">
        <v>30</v>
      </c>
      <c r="N65">
        <v>2995</v>
      </c>
      <c r="O65">
        <v>2995</v>
      </c>
      <c r="P65">
        <v>1</v>
      </c>
      <c r="Q65">
        <v>2995</v>
      </c>
      <c r="R65">
        <v>1048.25</v>
      </c>
      <c r="S65">
        <v>0</v>
      </c>
      <c r="T65">
        <v>1946.75</v>
      </c>
      <c r="U65" t="s">
        <v>45</v>
      </c>
    </row>
    <row r="66" spans="1:21" x14ac:dyDescent="0.2">
      <c r="A66" t="s">
        <v>62</v>
      </c>
      <c r="B66" t="s">
        <v>803</v>
      </c>
      <c r="C66" t="s">
        <v>805</v>
      </c>
      <c r="D66" t="s">
        <v>23</v>
      </c>
      <c r="E66" t="s">
        <v>24</v>
      </c>
      <c r="F66" t="s">
        <v>64</v>
      </c>
      <c r="G66" t="s">
        <v>65</v>
      </c>
      <c r="H66" t="s">
        <v>27</v>
      </c>
      <c r="I66">
        <v>8905302263360</v>
      </c>
      <c r="J66" t="s">
        <v>744</v>
      </c>
      <c r="K66" t="s">
        <v>745</v>
      </c>
      <c r="L66" t="s">
        <v>743</v>
      </c>
      <c r="M66" t="s">
        <v>38</v>
      </c>
      <c r="N66">
        <v>7999</v>
      </c>
      <c r="O66">
        <v>7999</v>
      </c>
      <c r="P66">
        <v>1</v>
      </c>
      <c r="Q66">
        <v>7999</v>
      </c>
      <c r="R66">
        <v>0</v>
      </c>
      <c r="S66">
        <v>0</v>
      </c>
      <c r="T66">
        <v>7999</v>
      </c>
      <c r="U66" t="s">
        <v>39</v>
      </c>
    </row>
    <row r="67" spans="1:21" x14ac:dyDescent="0.2">
      <c r="A67" t="s">
        <v>62</v>
      </c>
      <c r="B67" t="s">
        <v>803</v>
      </c>
      <c r="C67" t="s">
        <v>806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>
        <v>8905202264699</v>
      </c>
      <c r="J67" t="s">
        <v>807</v>
      </c>
      <c r="K67" t="s">
        <v>808</v>
      </c>
      <c r="L67" t="s">
        <v>251</v>
      </c>
      <c r="M67" t="s">
        <v>84</v>
      </c>
      <c r="N67">
        <v>2995</v>
      </c>
      <c r="O67">
        <v>2995</v>
      </c>
      <c r="P67">
        <v>1</v>
      </c>
      <c r="Q67">
        <v>2995</v>
      </c>
      <c r="R67">
        <v>1048.25</v>
      </c>
      <c r="S67">
        <v>0</v>
      </c>
      <c r="T67">
        <v>1946.75</v>
      </c>
      <c r="U67" t="s">
        <v>50</v>
      </c>
    </row>
    <row r="68" spans="1:21" x14ac:dyDescent="0.2">
      <c r="A68" t="s">
        <v>62</v>
      </c>
      <c r="B68" t="s">
        <v>803</v>
      </c>
      <c r="C68" t="s">
        <v>799</v>
      </c>
      <c r="D68" t="s">
        <v>23</v>
      </c>
      <c r="E68" t="s">
        <v>24</v>
      </c>
      <c r="F68" t="s">
        <v>25</v>
      </c>
      <c r="G68" t="s">
        <v>34</v>
      </c>
      <c r="H68" t="s">
        <v>27</v>
      </c>
      <c r="I68">
        <v>8905302263310</v>
      </c>
      <c r="J68" t="s">
        <v>800</v>
      </c>
      <c r="K68" t="s">
        <v>801</v>
      </c>
      <c r="L68" t="s">
        <v>802</v>
      </c>
      <c r="M68" t="s">
        <v>44</v>
      </c>
      <c r="N68">
        <v>4999</v>
      </c>
      <c r="O68">
        <v>4999</v>
      </c>
      <c r="P68">
        <v>1</v>
      </c>
      <c r="Q68">
        <v>4999</v>
      </c>
      <c r="R68">
        <v>0</v>
      </c>
      <c r="S68">
        <v>0</v>
      </c>
      <c r="T68">
        <v>4999</v>
      </c>
      <c r="U68" t="s">
        <v>50</v>
      </c>
    </row>
    <row r="69" spans="1:21" x14ac:dyDescent="0.2">
      <c r="A69" t="s">
        <v>62</v>
      </c>
      <c r="B69" t="s">
        <v>809</v>
      </c>
      <c r="C69" t="s">
        <v>818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>
        <v>8905302263397</v>
      </c>
      <c r="J69" t="s">
        <v>819</v>
      </c>
      <c r="K69" t="s">
        <v>820</v>
      </c>
      <c r="L69" t="s">
        <v>821</v>
      </c>
      <c r="M69" t="s">
        <v>38</v>
      </c>
      <c r="N69">
        <v>4495</v>
      </c>
      <c r="O69">
        <v>4495</v>
      </c>
      <c r="P69">
        <v>1</v>
      </c>
      <c r="Q69">
        <v>4495</v>
      </c>
      <c r="R69">
        <v>0</v>
      </c>
      <c r="S69">
        <v>0</v>
      </c>
      <c r="T69">
        <v>4495</v>
      </c>
      <c r="U69" t="s">
        <v>39</v>
      </c>
    </row>
    <row r="70" spans="1:21" x14ac:dyDescent="0.2">
      <c r="A70" t="s">
        <v>62</v>
      </c>
      <c r="B70" t="s">
        <v>809</v>
      </c>
      <c r="C70" t="s">
        <v>822</v>
      </c>
      <c r="D70" t="s">
        <v>23</v>
      </c>
      <c r="E70" t="s">
        <v>24</v>
      </c>
      <c r="F70" t="s">
        <v>25</v>
      </c>
      <c r="G70" t="s">
        <v>26</v>
      </c>
      <c r="H70" t="s">
        <v>27</v>
      </c>
      <c r="I70">
        <v>8905202269359</v>
      </c>
      <c r="J70" t="s">
        <v>126</v>
      </c>
      <c r="K70" t="s">
        <v>127</v>
      </c>
      <c r="L70" t="s">
        <v>87</v>
      </c>
      <c r="M70" t="s">
        <v>38</v>
      </c>
      <c r="N70">
        <v>3495</v>
      </c>
      <c r="O70">
        <v>3495</v>
      </c>
      <c r="P70">
        <v>1</v>
      </c>
      <c r="Q70">
        <v>3495</v>
      </c>
      <c r="R70">
        <v>1223.25</v>
      </c>
      <c r="S70">
        <v>0</v>
      </c>
      <c r="T70">
        <v>2271.75</v>
      </c>
      <c r="U70" t="s">
        <v>55</v>
      </c>
    </row>
    <row r="71" spans="1:21" x14ac:dyDescent="0.2">
      <c r="A71" t="s">
        <v>62</v>
      </c>
      <c r="B71" t="s">
        <v>809</v>
      </c>
      <c r="C71" t="s">
        <v>810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>
        <v>8905202264675</v>
      </c>
      <c r="J71" t="s">
        <v>481</v>
      </c>
      <c r="K71" t="s">
        <v>480</v>
      </c>
      <c r="L71" t="s">
        <v>53</v>
      </c>
      <c r="M71" t="s">
        <v>54</v>
      </c>
      <c r="N71">
        <v>2995</v>
      </c>
      <c r="O71">
        <v>2995</v>
      </c>
      <c r="P71">
        <v>1</v>
      </c>
      <c r="Q71">
        <v>2995</v>
      </c>
      <c r="R71">
        <v>1048.25</v>
      </c>
      <c r="S71">
        <v>0</v>
      </c>
      <c r="T71">
        <v>1946.75</v>
      </c>
      <c r="U71" t="s">
        <v>55</v>
      </c>
    </row>
    <row r="72" spans="1:21" x14ac:dyDescent="0.2">
      <c r="A72" t="s">
        <v>62</v>
      </c>
      <c r="B72" t="s">
        <v>809</v>
      </c>
      <c r="C72" t="s">
        <v>810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>
        <v>8905302263395</v>
      </c>
      <c r="J72" t="s">
        <v>811</v>
      </c>
      <c r="K72" t="s">
        <v>812</v>
      </c>
      <c r="L72" t="s">
        <v>813</v>
      </c>
      <c r="M72" t="s">
        <v>54</v>
      </c>
      <c r="N72">
        <v>4495</v>
      </c>
      <c r="O72">
        <v>4495</v>
      </c>
      <c r="P72">
        <v>1</v>
      </c>
      <c r="Q72">
        <v>4495</v>
      </c>
      <c r="R72">
        <v>0</v>
      </c>
      <c r="S72">
        <v>0</v>
      </c>
      <c r="T72">
        <v>4495</v>
      </c>
      <c r="U72" t="s">
        <v>55</v>
      </c>
    </row>
    <row r="73" spans="1:21" x14ac:dyDescent="0.2">
      <c r="A73" t="s">
        <v>575</v>
      </c>
      <c r="B73" t="s">
        <v>809</v>
      </c>
      <c r="C73" t="s">
        <v>814</v>
      </c>
      <c r="D73" t="s">
        <v>23</v>
      </c>
      <c r="E73" t="s">
        <v>24</v>
      </c>
      <c r="F73" t="s">
        <v>25</v>
      </c>
      <c r="G73" t="s">
        <v>34</v>
      </c>
      <c r="H73" t="s">
        <v>27</v>
      </c>
      <c r="I73">
        <v>8905302263323</v>
      </c>
      <c r="J73" t="s">
        <v>815</v>
      </c>
      <c r="K73" t="s">
        <v>816</v>
      </c>
      <c r="L73" t="s">
        <v>817</v>
      </c>
      <c r="M73" t="s">
        <v>44</v>
      </c>
      <c r="N73">
        <v>6999</v>
      </c>
      <c r="O73">
        <v>6999</v>
      </c>
      <c r="P73">
        <v>1</v>
      </c>
      <c r="Q73">
        <v>6999</v>
      </c>
      <c r="R73">
        <v>0</v>
      </c>
      <c r="S73">
        <v>0</v>
      </c>
      <c r="T73">
        <v>6999</v>
      </c>
      <c r="U73" t="s">
        <v>45</v>
      </c>
    </row>
    <row r="74" spans="1:21" x14ac:dyDescent="0.2">
      <c r="A74" t="s">
        <v>62</v>
      </c>
      <c r="B74" t="s">
        <v>825</v>
      </c>
      <c r="C74" t="s">
        <v>826</v>
      </c>
      <c r="D74" t="s">
        <v>23</v>
      </c>
      <c r="E74" t="s">
        <v>24</v>
      </c>
      <c r="F74" t="s">
        <v>25</v>
      </c>
      <c r="G74" t="s">
        <v>34</v>
      </c>
      <c r="H74" t="s">
        <v>27</v>
      </c>
      <c r="I74">
        <v>8905302263260</v>
      </c>
      <c r="J74" t="s">
        <v>827</v>
      </c>
      <c r="K74" t="s">
        <v>828</v>
      </c>
      <c r="L74" t="s">
        <v>829</v>
      </c>
      <c r="M74" t="s">
        <v>61</v>
      </c>
      <c r="N74">
        <v>5999</v>
      </c>
      <c r="O74">
        <v>5999</v>
      </c>
      <c r="P74">
        <v>1</v>
      </c>
      <c r="Q74">
        <v>5999</v>
      </c>
      <c r="R74">
        <v>0</v>
      </c>
      <c r="S74">
        <v>0</v>
      </c>
      <c r="T74">
        <v>5999</v>
      </c>
      <c r="U74" t="s">
        <v>50</v>
      </c>
    </row>
    <row r="75" spans="1:21" x14ac:dyDescent="0.2">
      <c r="A75" t="s">
        <v>62</v>
      </c>
      <c r="B75" t="s">
        <v>825</v>
      </c>
      <c r="C75" t="s">
        <v>830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>
        <v>8905202269434</v>
      </c>
      <c r="J75" t="s">
        <v>155</v>
      </c>
      <c r="K75" t="s">
        <v>156</v>
      </c>
      <c r="L75" t="s">
        <v>157</v>
      </c>
      <c r="M75" t="s">
        <v>61</v>
      </c>
      <c r="N75">
        <v>3995</v>
      </c>
      <c r="O75">
        <v>3995</v>
      </c>
      <c r="P75">
        <v>1</v>
      </c>
      <c r="Q75">
        <v>3995</v>
      </c>
      <c r="R75">
        <v>1398.25</v>
      </c>
      <c r="S75">
        <v>0</v>
      </c>
      <c r="T75">
        <v>2596.75</v>
      </c>
      <c r="U75" t="s">
        <v>55</v>
      </c>
    </row>
    <row r="76" spans="1:21" x14ac:dyDescent="0.2">
      <c r="A76" t="s">
        <v>575</v>
      </c>
      <c r="B76" t="s">
        <v>825</v>
      </c>
      <c r="C76" t="s">
        <v>831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>
        <v>8905202264712</v>
      </c>
      <c r="J76" t="s">
        <v>670</v>
      </c>
      <c r="K76" t="s">
        <v>671</v>
      </c>
      <c r="L76" t="s">
        <v>29</v>
      </c>
      <c r="M76" t="s">
        <v>30</v>
      </c>
      <c r="N76">
        <v>3495</v>
      </c>
      <c r="O76">
        <v>3495</v>
      </c>
      <c r="P76">
        <v>1</v>
      </c>
      <c r="Q76">
        <v>3495</v>
      </c>
      <c r="R76">
        <v>1223.25</v>
      </c>
      <c r="S76">
        <v>0</v>
      </c>
      <c r="T76">
        <v>2271.75</v>
      </c>
      <c r="U76" t="s">
        <v>55</v>
      </c>
    </row>
    <row r="77" spans="1:21" x14ac:dyDescent="0.2">
      <c r="A77" t="s">
        <v>20</v>
      </c>
      <c r="B77" t="s">
        <v>847</v>
      </c>
      <c r="C77" t="s">
        <v>848</v>
      </c>
      <c r="D77" t="s">
        <v>23</v>
      </c>
      <c r="E77" t="s">
        <v>24</v>
      </c>
      <c r="F77" t="s">
        <v>64</v>
      </c>
      <c r="G77" t="s">
        <v>65</v>
      </c>
      <c r="H77" t="s">
        <v>27</v>
      </c>
      <c r="I77">
        <v>8905302263363</v>
      </c>
      <c r="J77" t="s">
        <v>849</v>
      </c>
      <c r="K77" t="s">
        <v>850</v>
      </c>
      <c r="L77" t="s">
        <v>851</v>
      </c>
      <c r="M77" t="s">
        <v>44</v>
      </c>
      <c r="N77">
        <v>7999</v>
      </c>
      <c r="O77">
        <v>7999</v>
      </c>
      <c r="P77">
        <v>1</v>
      </c>
      <c r="Q77">
        <v>7999</v>
      </c>
      <c r="R77">
        <v>2399.6999999999998</v>
      </c>
      <c r="S77">
        <v>0</v>
      </c>
      <c r="T77">
        <v>5599.3</v>
      </c>
      <c r="U77" t="s">
        <v>259</v>
      </c>
    </row>
    <row r="78" spans="1:21" x14ac:dyDescent="0.2">
      <c r="A78" t="s">
        <v>62</v>
      </c>
      <c r="B78" t="s">
        <v>847</v>
      </c>
      <c r="C78" t="s">
        <v>852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>
        <v>8905302263382</v>
      </c>
      <c r="J78" t="s">
        <v>853</v>
      </c>
      <c r="K78" t="s">
        <v>854</v>
      </c>
      <c r="L78" t="s">
        <v>184</v>
      </c>
      <c r="M78" t="s">
        <v>61</v>
      </c>
      <c r="N78">
        <v>3999</v>
      </c>
      <c r="O78">
        <v>3999</v>
      </c>
      <c r="P78">
        <v>1</v>
      </c>
      <c r="Q78">
        <v>3999</v>
      </c>
      <c r="R78">
        <v>1199.7</v>
      </c>
      <c r="S78">
        <v>0</v>
      </c>
      <c r="T78">
        <v>2799.3</v>
      </c>
      <c r="U78" t="s">
        <v>31</v>
      </c>
    </row>
    <row r="79" spans="1:21" x14ac:dyDescent="0.2">
      <c r="A79" t="s">
        <v>62</v>
      </c>
      <c r="B79" t="s">
        <v>847</v>
      </c>
      <c r="C79" t="s">
        <v>855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>
        <v>8905202269410</v>
      </c>
      <c r="J79" t="s">
        <v>252</v>
      </c>
      <c r="K79">
        <v>8905202269410</v>
      </c>
      <c r="L79" t="s">
        <v>251</v>
      </c>
      <c r="M79" t="s">
        <v>84</v>
      </c>
      <c r="N79">
        <v>4495</v>
      </c>
      <c r="O79">
        <v>4495</v>
      </c>
      <c r="P79">
        <v>1</v>
      </c>
      <c r="Q79">
        <v>4495</v>
      </c>
      <c r="R79">
        <v>1348.5</v>
      </c>
      <c r="S79">
        <v>0</v>
      </c>
      <c r="T79">
        <v>3146.5</v>
      </c>
      <c r="U79" t="s">
        <v>55</v>
      </c>
    </row>
    <row r="80" spans="1:21" x14ac:dyDescent="0.2">
      <c r="A80" t="s">
        <v>62</v>
      </c>
      <c r="B80" t="s">
        <v>847</v>
      </c>
      <c r="C80" t="s">
        <v>856</v>
      </c>
      <c r="D80" t="s">
        <v>23</v>
      </c>
      <c r="E80" t="s">
        <v>24</v>
      </c>
      <c r="F80" t="s">
        <v>25</v>
      </c>
      <c r="G80" t="s">
        <v>34</v>
      </c>
      <c r="H80" t="s">
        <v>27</v>
      </c>
      <c r="I80">
        <v>8905302263330</v>
      </c>
      <c r="J80" t="s">
        <v>706</v>
      </c>
      <c r="K80" t="s">
        <v>707</v>
      </c>
      <c r="L80" t="s">
        <v>708</v>
      </c>
      <c r="M80" t="s">
        <v>44</v>
      </c>
      <c r="N80">
        <v>4999</v>
      </c>
      <c r="O80">
        <v>4999</v>
      </c>
      <c r="P80">
        <v>1</v>
      </c>
      <c r="Q80">
        <v>4999</v>
      </c>
      <c r="R80">
        <v>1499.7</v>
      </c>
      <c r="S80">
        <v>0</v>
      </c>
      <c r="T80">
        <v>3499.3</v>
      </c>
      <c r="U80" t="s">
        <v>45</v>
      </c>
    </row>
    <row r="81" spans="1:21" x14ac:dyDescent="0.2">
      <c r="A81" t="s">
        <v>20</v>
      </c>
      <c r="B81" t="s">
        <v>857</v>
      </c>
      <c r="C81" t="s">
        <v>858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>
        <v>8905202264729</v>
      </c>
      <c r="J81" t="s">
        <v>28</v>
      </c>
      <c r="K81">
        <v>8905202264729</v>
      </c>
      <c r="L81" t="s">
        <v>29</v>
      </c>
      <c r="M81" t="s">
        <v>30</v>
      </c>
      <c r="N81">
        <v>2995</v>
      </c>
      <c r="O81">
        <v>2995</v>
      </c>
      <c r="P81">
        <v>1</v>
      </c>
      <c r="Q81">
        <v>2995</v>
      </c>
      <c r="R81">
        <v>898.5</v>
      </c>
      <c r="S81">
        <v>0</v>
      </c>
      <c r="T81">
        <v>2096.5</v>
      </c>
      <c r="U81" t="s">
        <v>259</v>
      </c>
    </row>
    <row r="82" spans="1:21" x14ac:dyDescent="0.2">
      <c r="A82" t="s">
        <v>62</v>
      </c>
      <c r="B82" t="s">
        <v>857</v>
      </c>
      <c r="C82" t="s">
        <v>871</v>
      </c>
      <c r="D82" t="s">
        <v>23</v>
      </c>
      <c r="E82" t="s">
        <v>24</v>
      </c>
      <c r="F82" t="s">
        <v>25</v>
      </c>
      <c r="G82" t="s">
        <v>26</v>
      </c>
      <c r="H82" t="s">
        <v>27</v>
      </c>
      <c r="I82">
        <v>8905202264873</v>
      </c>
      <c r="J82" t="s">
        <v>130</v>
      </c>
      <c r="K82" t="s">
        <v>131</v>
      </c>
      <c r="L82" t="s">
        <v>94</v>
      </c>
      <c r="M82" t="s">
        <v>44</v>
      </c>
      <c r="N82">
        <v>3995</v>
      </c>
      <c r="O82">
        <v>3995</v>
      </c>
      <c r="P82">
        <v>1</v>
      </c>
      <c r="Q82">
        <v>3995</v>
      </c>
      <c r="R82">
        <v>1198.5</v>
      </c>
      <c r="S82">
        <v>0</v>
      </c>
      <c r="T82">
        <v>2796.5</v>
      </c>
      <c r="U82" t="s">
        <v>55</v>
      </c>
    </row>
    <row r="83" spans="1:21" x14ac:dyDescent="0.2">
      <c r="A83" t="s">
        <v>62</v>
      </c>
      <c r="B83" t="s">
        <v>857</v>
      </c>
      <c r="C83" t="s">
        <v>872</v>
      </c>
      <c r="D83" t="s">
        <v>23</v>
      </c>
      <c r="E83" t="s">
        <v>24</v>
      </c>
      <c r="F83" t="s">
        <v>25</v>
      </c>
      <c r="G83" t="s">
        <v>34</v>
      </c>
      <c r="H83" t="s">
        <v>27</v>
      </c>
      <c r="I83">
        <v>8905302263329</v>
      </c>
      <c r="J83" t="s">
        <v>860</v>
      </c>
      <c r="K83" t="s">
        <v>861</v>
      </c>
      <c r="L83" t="s">
        <v>862</v>
      </c>
      <c r="M83" t="s">
        <v>61</v>
      </c>
      <c r="N83">
        <v>4999</v>
      </c>
      <c r="O83">
        <v>4999</v>
      </c>
      <c r="P83">
        <v>1</v>
      </c>
      <c r="Q83">
        <v>4999</v>
      </c>
      <c r="R83">
        <v>1499.7</v>
      </c>
      <c r="S83">
        <v>0</v>
      </c>
      <c r="T83">
        <v>3499.3</v>
      </c>
      <c r="U83" t="s">
        <v>55</v>
      </c>
    </row>
    <row r="84" spans="1:21" x14ac:dyDescent="0.2">
      <c r="A84" t="s">
        <v>62</v>
      </c>
      <c r="B84" t="s">
        <v>857</v>
      </c>
      <c r="C84" t="s">
        <v>859</v>
      </c>
      <c r="D84" t="s">
        <v>23</v>
      </c>
      <c r="E84" t="s">
        <v>24</v>
      </c>
      <c r="F84" t="s">
        <v>25</v>
      </c>
      <c r="G84" t="s">
        <v>34</v>
      </c>
      <c r="H84" t="s">
        <v>27</v>
      </c>
      <c r="I84">
        <v>8905302263329</v>
      </c>
      <c r="J84" t="s">
        <v>860</v>
      </c>
      <c r="K84" t="s">
        <v>861</v>
      </c>
      <c r="L84" t="s">
        <v>862</v>
      </c>
      <c r="M84" t="s">
        <v>61</v>
      </c>
      <c r="N84">
        <v>4999</v>
      </c>
      <c r="O84">
        <v>4999</v>
      </c>
      <c r="P84">
        <v>1</v>
      </c>
      <c r="Q84">
        <v>4999</v>
      </c>
      <c r="R84">
        <v>1499.7</v>
      </c>
      <c r="S84">
        <v>0</v>
      </c>
      <c r="T84">
        <v>3499.3</v>
      </c>
      <c r="U84" t="s">
        <v>50</v>
      </c>
    </row>
    <row r="85" spans="1:21" x14ac:dyDescent="0.2">
      <c r="A85" t="s">
        <v>62</v>
      </c>
      <c r="B85" t="s">
        <v>857</v>
      </c>
      <c r="C85" t="s">
        <v>863</v>
      </c>
      <c r="D85" t="s">
        <v>23</v>
      </c>
      <c r="E85" t="s">
        <v>24</v>
      </c>
      <c r="F85" t="s">
        <v>25</v>
      </c>
      <c r="G85" t="s">
        <v>34</v>
      </c>
      <c r="H85" t="s">
        <v>27</v>
      </c>
      <c r="I85">
        <v>8905302263256</v>
      </c>
      <c r="J85" t="s">
        <v>750</v>
      </c>
      <c r="K85" t="s">
        <v>751</v>
      </c>
      <c r="L85" t="s">
        <v>110</v>
      </c>
      <c r="M85" t="s">
        <v>61</v>
      </c>
      <c r="N85">
        <v>5999</v>
      </c>
      <c r="O85">
        <v>5999</v>
      </c>
      <c r="P85">
        <v>1</v>
      </c>
      <c r="Q85">
        <v>5999</v>
      </c>
      <c r="R85">
        <v>1799.7</v>
      </c>
      <c r="S85">
        <v>0</v>
      </c>
      <c r="T85">
        <v>4199.3</v>
      </c>
      <c r="U85" t="s">
        <v>50</v>
      </c>
    </row>
    <row r="86" spans="1:21" x14ac:dyDescent="0.2">
      <c r="A86" t="s">
        <v>62</v>
      </c>
      <c r="B86" t="s">
        <v>857</v>
      </c>
      <c r="C86" t="s">
        <v>863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>
        <v>8905302263376</v>
      </c>
      <c r="J86" t="s">
        <v>864</v>
      </c>
      <c r="K86" t="s">
        <v>865</v>
      </c>
      <c r="L86" t="s">
        <v>866</v>
      </c>
      <c r="M86" t="s">
        <v>61</v>
      </c>
      <c r="N86">
        <v>3999</v>
      </c>
      <c r="O86">
        <v>3999</v>
      </c>
      <c r="P86">
        <v>1</v>
      </c>
      <c r="Q86">
        <v>3999</v>
      </c>
      <c r="R86">
        <v>1199.7</v>
      </c>
      <c r="S86">
        <v>0</v>
      </c>
      <c r="T86">
        <v>2799.3</v>
      </c>
      <c r="U86" t="s">
        <v>50</v>
      </c>
    </row>
    <row r="87" spans="1:21" x14ac:dyDescent="0.2">
      <c r="A87" t="s">
        <v>62</v>
      </c>
      <c r="B87" t="s">
        <v>857</v>
      </c>
      <c r="C87" t="s">
        <v>867</v>
      </c>
      <c r="D87" t="s">
        <v>23</v>
      </c>
      <c r="E87" t="s">
        <v>24</v>
      </c>
      <c r="F87" t="s">
        <v>64</v>
      </c>
      <c r="G87" t="s">
        <v>65</v>
      </c>
      <c r="H87" t="s">
        <v>27</v>
      </c>
      <c r="I87">
        <v>8905302263358</v>
      </c>
      <c r="J87" t="s">
        <v>868</v>
      </c>
      <c r="K87" t="s">
        <v>869</v>
      </c>
      <c r="L87" t="s">
        <v>601</v>
      </c>
      <c r="M87" t="s">
        <v>61</v>
      </c>
      <c r="N87">
        <v>7999</v>
      </c>
      <c r="O87">
        <v>7999</v>
      </c>
      <c r="P87">
        <v>1</v>
      </c>
      <c r="Q87">
        <v>7999</v>
      </c>
      <c r="R87">
        <v>2399.6999999999998</v>
      </c>
      <c r="S87">
        <v>0</v>
      </c>
      <c r="T87">
        <v>5599.3</v>
      </c>
      <c r="U87" t="s">
        <v>31</v>
      </c>
    </row>
    <row r="88" spans="1:21" x14ac:dyDescent="0.2">
      <c r="A88" t="s">
        <v>575</v>
      </c>
      <c r="B88" t="s">
        <v>857</v>
      </c>
      <c r="C88" t="s">
        <v>870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>
        <v>8905202264712</v>
      </c>
      <c r="J88" t="s">
        <v>670</v>
      </c>
      <c r="K88" t="s">
        <v>671</v>
      </c>
      <c r="L88" t="s">
        <v>29</v>
      </c>
      <c r="M88" t="s">
        <v>30</v>
      </c>
      <c r="N88">
        <v>3495</v>
      </c>
      <c r="O88">
        <v>3495</v>
      </c>
      <c r="P88">
        <v>1</v>
      </c>
      <c r="Q88">
        <v>3495</v>
      </c>
      <c r="R88">
        <v>1048.5</v>
      </c>
      <c r="S88">
        <v>0</v>
      </c>
      <c r="T88">
        <v>2446.5</v>
      </c>
      <c r="U88" t="s">
        <v>259</v>
      </c>
    </row>
    <row r="89" spans="1:21" x14ac:dyDescent="0.2">
      <c r="A89" t="s">
        <v>575</v>
      </c>
      <c r="B89" t="s">
        <v>857</v>
      </c>
      <c r="C89" t="s">
        <v>870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>
        <v>8905202264729</v>
      </c>
      <c r="J89" t="s">
        <v>28</v>
      </c>
      <c r="K89">
        <v>8905202264729</v>
      </c>
      <c r="L89" t="s">
        <v>29</v>
      </c>
      <c r="M89" t="s">
        <v>30</v>
      </c>
      <c r="N89">
        <v>2995</v>
      </c>
      <c r="O89">
        <v>2995</v>
      </c>
      <c r="P89">
        <v>1</v>
      </c>
      <c r="Q89">
        <v>2995</v>
      </c>
      <c r="R89">
        <v>898.5</v>
      </c>
      <c r="S89">
        <v>0</v>
      </c>
      <c r="T89">
        <v>2096.5</v>
      </c>
      <c r="U89" t="s">
        <v>259</v>
      </c>
    </row>
    <row r="90" spans="1:21" x14ac:dyDescent="0.2">
      <c r="A90" t="s">
        <v>575</v>
      </c>
      <c r="B90" t="s">
        <v>857</v>
      </c>
      <c r="C90" t="s">
        <v>135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>
        <v>8905202264927</v>
      </c>
      <c r="J90" t="s">
        <v>232</v>
      </c>
      <c r="K90" t="s">
        <v>233</v>
      </c>
      <c r="L90" t="s">
        <v>123</v>
      </c>
      <c r="M90" t="s">
        <v>44</v>
      </c>
      <c r="N90">
        <v>2995</v>
      </c>
      <c r="O90">
        <v>2995</v>
      </c>
      <c r="P90">
        <v>1</v>
      </c>
      <c r="Q90">
        <v>2995</v>
      </c>
      <c r="R90">
        <v>898.5</v>
      </c>
      <c r="S90">
        <v>0</v>
      </c>
      <c r="T90">
        <v>2096.5</v>
      </c>
      <c r="U90" t="s">
        <v>55</v>
      </c>
    </row>
    <row r="91" spans="1:21" x14ac:dyDescent="0.2">
      <c r="A91" t="s">
        <v>575</v>
      </c>
      <c r="B91" t="s">
        <v>857</v>
      </c>
      <c r="C91" t="s">
        <v>135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>
        <v>8905202269434</v>
      </c>
      <c r="J91" t="s">
        <v>155</v>
      </c>
      <c r="K91" t="s">
        <v>156</v>
      </c>
      <c r="L91" t="s">
        <v>157</v>
      </c>
      <c r="M91" t="s">
        <v>61</v>
      </c>
      <c r="N91">
        <v>3995</v>
      </c>
      <c r="O91">
        <v>3995</v>
      </c>
      <c r="P91">
        <v>1</v>
      </c>
      <c r="Q91">
        <v>3995</v>
      </c>
      <c r="R91">
        <v>1198.5</v>
      </c>
      <c r="S91">
        <v>0</v>
      </c>
      <c r="T91">
        <v>2796.5</v>
      </c>
      <c r="U91" t="s">
        <v>55</v>
      </c>
    </row>
    <row r="92" spans="1:21" x14ac:dyDescent="0.2">
      <c r="A92" t="s">
        <v>20</v>
      </c>
      <c r="B92" t="s">
        <v>873</v>
      </c>
      <c r="C92" t="s">
        <v>874</v>
      </c>
      <c r="D92" t="s">
        <v>23</v>
      </c>
      <c r="E92" t="s">
        <v>24</v>
      </c>
      <c r="F92" t="s">
        <v>64</v>
      </c>
      <c r="G92" t="s">
        <v>65</v>
      </c>
      <c r="H92" t="s">
        <v>27</v>
      </c>
      <c r="I92">
        <v>8905302263361</v>
      </c>
      <c r="J92" t="s">
        <v>875</v>
      </c>
      <c r="K92" t="s">
        <v>876</v>
      </c>
      <c r="L92" t="s">
        <v>877</v>
      </c>
      <c r="M92" t="s">
        <v>54</v>
      </c>
      <c r="N92">
        <v>7999</v>
      </c>
      <c r="O92">
        <v>7999</v>
      </c>
      <c r="P92">
        <v>1</v>
      </c>
      <c r="Q92">
        <v>7999</v>
      </c>
      <c r="R92">
        <v>2399.6999999999998</v>
      </c>
      <c r="S92">
        <v>0</v>
      </c>
      <c r="T92">
        <v>5599.3</v>
      </c>
      <c r="U92" t="s">
        <v>55</v>
      </c>
    </row>
    <row r="93" spans="1:21" x14ac:dyDescent="0.2">
      <c r="A93" t="s">
        <v>20</v>
      </c>
      <c r="B93" t="s">
        <v>873</v>
      </c>
      <c r="C93" t="s">
        <v>878</v>
      </c>
      <c r="D93" t="s">
        <v>23</v>
      </c>
      <c r="E93" t="s">
        <v>24</v>
      </c>
      <c r="F93" t="s">
        <v>25</v>
      </c>
      <c r="G93" t="s">
        <v>34</v>
      </c>
      <c r="H93" t="s">
        <v>27</v>
      </c>
      <c r="I93">
        <v>8905302263332</v>
      </c>
      <c r="J93" t="s">
        <v>879</v>
      </c>
      <c r="K93" t="s">
        <v>880</v>
      </c>
      <c r="L93" t="s">
        <v>881</v>
      </c>
      <c r="M93" t="s">
        <v>44</v>
      </c>
      <c r="N93">
        <v>4999</v>
      </c>
      <c r="O93">
        <v>4999</v>
      </c>
      <c r="P93">
        <v>1</v>
      </c>
      <c r="Q93">
        <v>4999</v>
      </c>
      <c r="R93">
        <v>1499.7</v>
      </c>
      <c r="S93">
        <v>0</v>
      </c>
      <c r="T93">
        <v>3499.3</v>
      </c>
      <c r="U93" t="s">
        <v>642</v>
      </c>
    </row>
    <row r="94" spans="1:21" x14ac:dyDescent="0.2">
      <c r="A94" t="s">
        <v>62</v>
      </c>
      <c r="B94" t="s">
        <v>873</v>
      </c>
      <c r="C94" t="s">
        <v>882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>
        <v>8905302263381</v>
      </c>
      <c r="J94" t="s">
        <v>883</v>
      </c>
      <c r="K94" t="s">
        <v>884</v>
      </c>
      <c r="L94" t="s">
        <v>149</v>
      </c>
      <c r="M94" t="s">
        <v>38</v>
      </c>
      <c r="N94">
        <v>3999</v>
      </c>
      <c r="O94">
        <v>3999</v>
      </c>
      <c r="P94">
        <v>1</v>
      </c>
      <c r="Q94">
        <v>3999</v>
      </c>
      <c r="R94">
        <v>1199.7</v>
      </c>
      <c r="S94">
        <v>0</v>
      </c>
      <c r="T94">
        <v>2799.3</v>
      </c>
      <c r="U94" t="s">
        <v>55</v>
      </c>
    </row>
    <row r="95" spans="1:21" x14ac:dyDescent="0.2">
      <c r="A95" t="s">
        <v>62</v>
      </c>
      <c r="B95" t="s">
        <v>885</v>
      </c>
      <c r="C95" t="s">
        <v>886</v>
      </c>
      <c r="D95" t="s">
        <v>23</v>
      </c>
      <c r="E95" t="s">
        <v>24</v>
      </c>
      <c r="F95" t="s">
        <v>25</v>
      </c>
      <c r="G95" t="s">
        <v>34</v>
      </c>
      <c r="H95" t="s">
        <v>27</v>
      </c>
      <c r="I95">
        <v>8905302263253</v>
      </c>
      <c r="J95" t="s">
        <v>591</v>
      </c>
      <c r="K95" t="s">
        <v>592</v>
      </c>
      <c r="L95" t="s">
        <v>593</v>
      </c>
      <c r="M95" t="s">
        <v>54</v>
      </c>
      <c r="N95">
        <v>4999</v>
      </c>
      <c r="O95">
        <v>4999</v>
      </c>
      <c r="P95">
        <v>1</v>
      </c>
      <c r="Q95">
        <v>4999</v>
      </c>
      <c r="R95">
        <v>1499.7</v>
      </c>
      <c r="S95">
        <v>0</v>
      </c>
      <c r="T95">
        <v>3499.3</v>
      </c>
      <c r="U95" t="s">
        <v>55</v>
      </c>
    </row>
    <row r="96" spans="1:21" x14ac:dyDescent="0.2">
      <c r="A96" t="s">
        <v>62</v>
      </c>
      <c r="B96" t="s">
        <v>885</v>
      </c>
      <c r="C96" t="s">
        <v>887</v>
      </c>
      <c r="D96" t="s">
        <v>23</v>
      </c>
      <c r="E96" t="s">
        <v>24</v>
      </c>
      <c r="F96" t="s">
        <v>25</v>
      </c>
      <c r="G96" t="s">
        <v>26</v>
      </c>
      <c r="H96" t="s">
        <v>27</v>
      </c>
      <c r="I96">
        <v>8905202264972</v>
      </c>
      <c r="J96" t="s">
        <v>174</v>
      </c>
      <c r="K96">
        <v>8905202264972</v>
      </c>
      <c r="L96" t="s">
        <v>144</v>
      </c>
      <c r="M96" t="s">
        <v>44</v>
      </c>
      <c r="N96">
        <v>2495</v>
      </c>
      <c r="O96">
        <v>2495</v>
      </c>
      <c r="P96">
        <v>1</v>
      </c>
      <c r="Q96">
        <v>2495</v>
      </c>
      <c r="R96">
        <v>748.5</v>
      </c>
      <c r="S96">
        <v>0</v>
      </c>
      <c r="T96">
        <v>1746.5</v>
      </c>
      <c r="U96" t="s">
        <v>50</v>
      </c>
    </row>
    <row r="97" spans="1:21" x14ac:dyDescent="0.2">
      <c r="A97" t="s">
        <v>62</v>
      </c>
      <c r="B97" t="s">
        <v>885</v>
      </c>
      <c r="C97" t="s">
        <v>887</v>
      </c>
      <c r="D97" t="s">
        <v>23</v>
      </c>
      <c r="E97" t="s">
        <v>24</v>
      </c>
      <c r="F97" t="s">
        <v>25</v>
      </c>
      <c r="G97" t="s">
        <v>26</v>
      </c>
      <c r="H97" t="s">
        <v>27</v>
      </c>
      <c r="I97">
        <v>8905302263396</v>
      </c>
      <c r="J97" t="s">
        <v>888</v>
      </c>
      <c r="K97" t="s">
        <v>889</v>
      </c>
      <c r="L97" t="s">
        <v>890</v>
      </c>
      <c r="M97" t="s">
        <v>44</v>
      </c>
      <c r="N97">
        <v>4495</v>
      </c>
      <c r="O97">
        <v>4495</v>
      </c>
      <c r="P97">
        <v>1</v>
      </c>
      <c r="Q97">
        <v>4495</v>
      </c>
      <c r="R97">
        <v>1348.5</v>
      </c>
      <c r="S97">
        <v>0</v>
      </c>
      <c r="T97">
        <v>3146.5</v>
      </c>
      <c r="U97" t="s">
        <v>50</v>
      </c>
    </row>
    <row r="98" spans="1:21" x14ac:dyDescent="0.2">
      <c r="A98" t="s">
        <v>575</v>
      </c>
      <c r="B98" t="s">
        <v>885</v>
      </c>
      <c r="C98" t="s">
        <v>135</v>
      </c>
      <c r="D98" t="s">
        <v>23</v>
      </c>
      <c r="E98" t="s">
        <v>24</v>
      </c>
      <c r="F98" t="s">
        <v>25</v>
      </c>
      <c r="G98" t="s">
        <v>26</v>
      </c>
      <c r="H98" t="s">
        <v>27</v>
      </c>
      <c r="I98">
        <v>8905202264828</v>
      </c>
      <c r="J98" t="s">
        <v>891</v>
      </c>
      <c r="K98">
        <v>8905202264828</v>
      </c>
      <c r="L98" t="s">
        <v>892</v>
      </c>
      <c r="M98" t="s">
        <v>44</v>
      </c>
      <c r="N98">
        <v>4495</v>
      </c>
      <c r="O98">
        <v>4495</v>
      </c>
      <c r="P98">
        <v>1</v>
      </c>
      <c r="Q98">
        <v>4495</v>
      </c>
      <c r="R98">
        <v>1348.5</v>
      </c>
      <c r="S98">
        <v>0</v>
      </c>
      <c r="T98">
        <v>3146.5</v>
      </c>
      <c r="U98" t="s">
        <v>55</v>
      </c>
    </row>
    <row r="99" spans="1:21" x14ac:dyDescent="0.2">
      <c r="A99" t="s">
        <v>575</v>
      </c>
      <c r="B99" t="s">
        <v>885</v>
      </c>
      <c r="C99" t="s">
        <v>135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>
        <v>8905202264866</v>
      </c>
      <c r="J99" t="s">
        <v>147</v>
      </c>
      <c r="K99" t="s">
        <v>148</v>
      </c>
      <c r="L99" t="s">
        <v>149</v>
      </c>
      <c r="M99" t="s">
        <v>38</v>
      </c>
      <c r="N99">
        <v>3995</v>
      </c>
      <c r="O99">
        <v>3995</v>
      </c>
      <c r="P99">
        <v>1</v>
      </c>
      <c r="Q99">
        <v>3995</v>
      </c>
      <c r="R99">
        <v>1198.5</v>
      </c>
      <c r="S99">
        <v>0</v>
      </c>
      <c r="T99">
        <v>2796.5</v>
      </c>
      <c r="U99" t="s">
        <v>55</v>
      </c>
    </row>
    <row r="100" spans="1:21" x14ac:dyDescent="0.2">
      <c r="A100" t="s">
        <v>20</v>
      </c>
      <c r="B100" t="s">
        <v>893</v>
      </c>
      <c r="C100" t="s">
        <v>894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>
        <v>8905202265047</v>
      </c>
      <c r="J100" t="s">
        <v>213</v>
      </c>
      <c r="K100" t="s">
        <v>214</v>
      </c>
      <c r="L100" t="s">
        <v>184</v>
      </c>
      <c r="M100" t="s">
        <v>61</v>
      </c>
      <c r="N100">
        <v>2995</v>
      </c>
      <c r="O100">
        <v>2995</v>
      </c>
      <c r="P100">
        <v>1</v>
      </c>
      <c r="Q100">
        <v>2995</v>
      </c>
      <c r="R100">
        <v>898.5</v>
      </c>
      <c r="S100">
        <v>0</v>
      </c>
      <c r="T100">
        <v>2096.5</v>
      </c>
      <c r="U100" t="s">
        <v>50</v>
      </c>
    </row>
    <row r="101" spans="1:21" x14ac:dyDescent="0.2">
      <c r="A101" t="s">
        <v>20</v>
      </c>
      <c r="B101" t="s">
        <v>893</v>
      </c>
      <c r="C101" t="s">
        <v>895</v>
      </c>
      <c r="D101" t="s">
        <v>23</v>
      </c>
      <c r="E101" t="s">
        <v>24</v>
      </c>
      <c r="F101" t="s">
        <v>25</v>
      </c>
      <c r="G101" t="s">
        <v>34</v>
      </c>
      <c r="H101" t="s">
        <v>27</v>
      </c>
      <c r="I101">
        <v>8905302263305</v>
      </c>
      <c r="J101" t="s">
        <v>896</v>
      </c>
      <c r="K101" t="s">
        <v>897</v>
      </c>
      <c r="L101" t="s">
        <v>802</v>
      </c>
      <c r="M101" t="s">
        <v>44</v>
      </c>
      <c r="N101">
        <v>4999</v>
      </c>
      <c r="O101">
        <v>4999</v>
      </c>
      <c r="P101">
        <v>1</v>
      </c>
      <c r="Q101">
        <v>4999</v>
      </c>
      <c r="R101">
        <v>1499.7</v>
      </c>
      <c r="S101">
        <v>0</v>
      </c>
      <c r="T101">
        <v>3499.3</v>
      </c>
      <c r="U101" t="s">
        <v>45</v>
      </c>
    </row>
    <row r="102" spans="1:21" x14ac:dyDescent="0.2">
      <c r="A102" t="s">
        <v>575</v>
      </c>
      <c r="B102" t="s">
        <v>893</v>
      </c>
      <c r="C102" t="s">
        <v>898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>
        <v>8905202264897</v>
      </c>
      <c r="J102" t="s">
        <v>203</v>
      </c>
      <c r="K102">
        <v>8905202264897</v>
      </c>
      <c r="L102" t="s">
        <v>191</v>
      </c>
      <c r="M102" t="s">
        <v>61</v>
      </c>
      <c r="N102">
        <v>2995</v>
      </c>
      <c r="O102">
        <v>2995</v>
      </c>
      <c r="P102">
        <v>1</v>
      </c>
      <c r="Q102">
        <v>2995</v>
      </c>
      <c r="R102">
        <v>898.5</v>
      </c>
      <c r="S102">
        <v>0</v>
      </c>
      <c r="T102">
        <v>2096.5</v>
      </c>
      <c r="U102" t="s">
        <v>45</v>
      </c>
    </row>
    <row r="103" spans="1:21" x14ac:dyDescent="0.2">
      <c r="A103" t="s">
        <v>20</v>
      </c>
      <c r="B103" t="s">
        <v>899</v>
      </c>
      <c r="C103" t="s">
        <v>135</v>
      </c>
      <c r="D103" t="s">
        <v>23</v>
      </c>
      <c r="E103" t="s">
        <v>24</v>
      </c>
      <c r="F103" t="s">
        <v>64</v>
      </c>
      <c r="G103" t="s">
        <v>65</v>
      </c>
      <c r="H103" t="s">
        <v>27</v>
      </c>
      <c r="I103">
        <v>8905302263364</v>
      </c>
      <c r="J103" t="s">
        <v>900</v>
      </c>
      <c r="K103" t="s">
        <v>901</v>
      </c>
      <c r="L103" t="s">
        <v>694</v>
      </c>
      <c r="M103" t="s">
        <v>38</v>
      </c>
      <c r="N103">
        <v>7999</v>
      </c>
      <c r="O103">
        <v>7999</v>
      </c>
      <c r="P103">
        <v>1</v>
      </c>
      <c r="Q103">
        <v>7999</v>
      </c>
      <c r="R103">
        <v>2399.6999999999998</v>
      </c>
      <c r="S103">
        <v>0</v>
      </c>
      <c r="T103">
        <v>5599.3</v>
      </c>
      <c r="U103" t="s">
        <v>45</v>
      </c>
    </row>
    <row r="104" spans="1:21" x14ac:dyDescent="0.2">
      <c r="A104" t="s">
        <v>20</v>
      </c>
      <c r="B104" t="s">
        <v>899</v>
      </c>
      <c r="C104" t="s">
        <v>135</v>
      </c>
      <c r="D104" t="s">
        <v>23</v>
      </c>
      <c r="E104" t="s">
        <v>136</v>
      </c>
      <c r="F104" t="s">
        <v>25</v>
      </c>
      <c r="G104" t="s">
        <v>160</v>
      </c>
      <c r="H104" t="s">
        <v>27</v>
      </c>
      <c r="I104">
        <v>8905302263178</v>
      </c>
      <c r="J104" t="s">
        <v>902</v>
      </c>
      <c r="K104" t="s">
        <v>903</v>
      </c>
      <c r="L104" t="s">
        <v>904</v>
      </c>
      <c r="M104" t="s">
        <v>44</v>
      </c>
      <c r="N104">
        <v>2995</v>
      </c>
      <c r="O104">
        <v>2995</v>
      </c>
      <c r="P104">
        <v>1</v>
      </c>
      <c r="Q104">
        <v>2995</v>
      </c>
      <c r="R104">
        <v>898.5</v>
      </c>
      <c r="S104">
        <v>0</v>
      </c>
      <c r="T104">
        <v>2096.5</v>
      </c>
      <c r="U104" t="s">
        <v>45</v>
      </c>
    </row>
    <row r="105" spans="1:21" x14ac:dyDescent="0.2">
      <c r="A105" t="s">
        <v>575</v>
      </c>
      <c r="B105" t="s">
        <v>899</v>
      </c>
      <c r="C105" t="s">
        <v>905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>
        <v>8905202264880</v>
      </c>
      <c r="J105" t="s">
        <v>417</v>
      </c>
      <c r="K105">
        <v>8905202264880</v>
      </c>
      <c r="L105" t="s">
        <v>416</v>
      </c>
      <c r="M105" t="s">
        <v>54</v>
      </c>
      <c r="N105">
        <v>2995</v>
      </c>
      <c r="O105">
        <v>2995</v>
      </c>
      <c r="P105">
        <v>1</v>
      </c>
      <c r="Q105">
        <v>2995</v>
      </c>
      <c r="R105">
        <v>898.5</v>
      </c>
      <c r="S105">
        <v>0</v>
      </c>
      <c r="T105">
        <v>2096.5</v>
      </c>
      <c r="U105" t="s">
        <v>259</v>
      </c>
    </row>
    <row r="106" spans="1:21" x14ac:dyDescent="0.2">
      <c r="A106" t="s">
        <v>575</v>
      </c>
      <c r="B106" t="s">
        <v>899</v>
      </c>
      <c r="C106" t="s">
        <v>906</v>
      </c>
      <c r="D106" t="s">
        <v>23</v>
      </c>
      <c r="E106" t="s">
        <v>24</v>
      </c>
      <c r="F106" t="s">
        <v>25</v>
      </c>
      <c r="G106" t="s">
        <v>26</v>
      </c>
      <c r="H106" t="s">
        <v>27</v>
      </c>
      <c r="I106">
        <v>8905202265030</v>
      </c>
      <c r="J106" t="s">
        <v>688</v>
      </c>
      <c r="K106" t="s">
        <v>689</v>
      </c>
      <c r="L106" t="s">
        <v>690</v>
      </c>
      <c r="M106" t="s">
        <v>54</v>
      </c>
      <c r="N106">
        <v>2995</v>
      </c>
      <c r="O106">
        <v>2995</v>
      </c>
      <c r="P106">
        <v>1</v>
      </c>
      <c r="Q106">
        <v>2995</v>
      </c>
      <c r="R106">
        <v>898.5</v>
      </c>
      <c r="S106">
        <v>0</v>
      </c>
      <c r="T106">
        <v>2096.5</v>
      </c>
      <c r="U106" t="s">
        <v>259</v>
      </c>
    </row>
    <row r="107" spans="1:21" x14ac:dyDescent="0.2">
      <c r="A107" t="s">
        <v>575</v>
      </c>
      <c r="B107" t="s">
        <v>899</v>
      </c>
      <c r="C107" t="s">
        <v>906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>
        <v>8905202269083</v>
      </c>
      <c r="J107" t="s">
        <v>189</v>
      </c>
      <c r="K107" t="s">
        <v>190</v>
      </c>
      <c r="L107" t="s">
        <v>191</v>
      </c>
      <c r="M107" t="s">
        <v>61</v>
      </c>
      <c r="N107">
        <v>3495</v>
      </c>
      <c r="O107">
        <v>3495</v>
      </c>
      <c r="P107">
        <v>1</v>
      </c>
      <c r="Q107">
        <v>3495</v>
      </c>
      <c r="R107">
        <v>1048.5</v>
      </c>
      <c r="S107">
        <v>0</v>
      </c>
      <c r="T107">
        <v>2446.5</v>
      </c>
      <c r="U107" t="s">
        <v>259</v>
      </c>
    </row>
    <row r="108" spans="1:21" x14ac:dyDescent="0.2">
      <c r="A108" t="s">
        <v>62</v>
      </c>
      <c r="B108" t="s">
        <v>907</v>
      </c>
      <c r="C108" t="s">
        <v>908</v>
      </c>
      <c r="D108" t="s">
        <v>23</v>
      </c>
      <c r="E108" t="s">
        <v>24</v>
      </c>
      <c r="F108" t="s">
        <v>25</v>
      </c>
      <c r="G108" t="s">
        <v>34</v>
      </c>
      <c r="H108" t="s">
        <v>27</v>
      </c>
      <c r="I108">
        <v>8905302263257</v>
      </c>
      <c r="J108" t="s">
        <v>759</v>
      </c>
      <c r="K108" t="s">
        <v>760</v>
      </c>
      <c r="L108" t="s">
        <v>118</v>
      </c>
      <c r="M108" t="s">
        <v>44</v>
      </c>
      <c r="N108">
        <v>5999</v>
      </c>
      <c r="O108">
        <v>5999</v>
      </c>
      <c r="P108">
        <v>1</v>
      </c>
      <c r="Q108">
        <v>5999</v>
      </c>
      <c r="R108">
        <v>1799.7</v>
      </c>
      <c r="S108">
        <v>0</v>
      </c>
      <c r="T108">
        <v>4199.3</v>
      </c>
      <c r="U108" t="s">
        <v>45</v>
      </c>
    </row>
    <row r="109" spans="1:21" x14ac:dyDescent="0.2">
      <c r="A109" t="s">
        <v>575</v>
      </c>
      <c r="B109" t="s">
        <v>909</v>
      </c>
      <c r="C109" t="s">
        <v>135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>
        <v>8905202265047</v>
      </c>
      <c r="J109" t="s">
        <v>213</v>
      </c>
      <c r="K109" t="s">
        <v>214</v>
      </c>
      <c r="L109" t="s">
        <v>184</v>
      </c>
      <c r="M109" t="s">
        <v>61</v>
      </c>
      <c r="N109">
        <v>2995</v>
      </c>
      <c r="O109">
        <v>2995</v>
      </c>
      <c r="P109">
        <v>1</v>
      </c>
      <c r="Q109">
        <v>2995</v>
      </c>
      <c r="R109">
        <v>898.5</v>
      </c>
      <c r="S109">
        <v>0</v>
      </c>
      <c r="T109">
        <v>2096.5</v>
      </c>
      <c r="U109" t="s">
        <v>45</v>
      </c>
    </row>
    <row r="110" spans="1:21" x14ac:dyDescent="0.2">
      <c r="A110" t="s">
        <v>20</v>
      </c>
      <c r="B110" t="s">
        <v>910</v>
      </c>
      <c r="C110" t="s">
        <v>915</v>
      </c>
      <c r="D110" t="s">
        <v>23</v>
      </c>
      <c r="E110" t="s">
        <v>24</v>
      </c>
      <c r="F110" t="s">
        <v>64</v>
      </c>
      <c r="G110" t="s">
        <v>294</v>
      </c>
      <c r="H110" t="s">
        <v>27</v>
      </c>
      <c r="I110">
        <v>8905302263218</v>
      </c>
      <c r="J110" t="s">
        <v>916</v>
      </c>
      <c r="K110" t="s">
        <v>917</v>
      </c>
      <c r="L110" t="s">
        <v>918</v>
      </c>
      <c r="M110" t="s">
        <v>84</v>
      </c>
      <c r="N110">
        <v>4999</v>
      </c>
      <c r="O110">
        <v>4999</v>
      </c>
      <c r="P110">
        <v>1</v>
      </c>
      <c r="Q110">
        <v>4999</v>
      </c>
      <c r="R110">
        <v>1499.7</v>
      </c>
      <c r="S110">
        <v>0</v>
      </c>
      <c r="T110">
        <v>3499.3</v>
      </c>
      <c r="U110" t="s">
        <v>31</v>
      </c>
    </row>
    <row r="111" spans="1:21" x14ac:dyDescent="0.2">
      <c r="A111" t="s">
        <v>62</v>
      </c>
      <c r="B111" t="s">
        <v>910</v>
      </c>
      <c r="C111" t="s">
        <v>583</v>
      </c>
      <c r="D111" t="s">
        <v>23</v>
      </c>
      <c r="E111" t="s">
        <v>24</v>
      </c>
      <c r="F111" t="s">
        <v>64</v>
      </c>
      <c r="G111" t="s">
        <v>65</v>
      </c>
      <c r="H111" t="s">
        <v>27</v>
      </c>
      <c r="I111">
        <v>8905302263400</v>
      </c>
      <c r="J111" t="s">
        <v>919</v>
      </c>
      <c r="K111" t="s">
        <v>920</v>
      </c>
      <c r="L111" t="s">
        <v>921</v>
      </c>
      <c r="M111" t="s">
        <v>61</v>
      </c>
      <c r="N111">
        <v>7999</v>
      </c>
      <c r="O111">
        <v>7999</v>
      </c>
      <c r="P111">
        <v>1</v>
      </c>
      <c r="Q111">
        <v>7999</v>
      </c>
      <c r="R111">
        <v>2399.6999999999998</v>
      </c>
      <c r="S111">
        <v>0</v>
      </c>
      <c r="T111">
        <v>5599.3</v>
      </c>
      <c r="U111" t="s">
        <v>55</v>
      </c>
    </row>
    <row r="112" spans="1:21" x14ac:dyDescent="0.2">
      <c r="A112" t="s">
        <v>62</v>
      </c>
      <c r="B112" t="s">
        <v>910</v>
      </c>
      <c r="C112" t="s">
        <v>922</v>
      </c>
      <c r="D112" t="s">
        <v>23</v>
      </c>
      <c r="E112" t="s">
        <v>24</v>
      </c>
      <c r="F112" t="s">
        <v>25</v>
      </c>
      <c r="G112" t="s">
        <v>26</v>
      </c>
      <c r="H112" t="s">
        <v>27</v>
      </c>
      <c r="I112">
        <v>8905202264828</v>
      </c>
      <c r="J112" t="s">
        <v>891</v>
      </c>
      <c r="K112">
        <v>8905202264828</v>
      </c>
      <c r="L112" t="s">
        <v>892</v>
      </c>
      <c r="M112" t="s">
        <v>44</v>
      </c>
      <c r="N112">
        <v>4495</v>
      </c>
      <c r="O112">
        <v>4495</v>
      </c>
      <c r="P112">
        <v>1</v>
      </c>
      <c r="Q112">
        <v>4495</v>
      </c>
      <c r="R112">
        <v>1348.5</v>
      </c>
      <c r="S112">
        <v>0</v>
      </c>
      <c r="T112">
        <v>3146.5</v>
      </c>
      <c r="U112" t="s">
        <v>45</v>
      </c>
    </row>
    <row r="113" spans="1:21" x14ac:dyDescent="0.2">
      <c r="A113" t="s">
        <v>62</v>
      </c>
      <c r="B113" t="s">
        <v>910</v>
      </c>
      <c r="C113" t="s">
        <v>922</v>
      </c>
      <c r="D113" t="s">
        <v>23</v>
      </c>
      <c r="E113" t="s">
        <v>24</v>
      </c>
      <c r="F113" t="s">
        <v>25</v>
      </c>
      <c r="G113" t="s">
        <v>26</v>
      </c>
      <c r="H113" t="s">
        <v>27</v>
      </c>
      <c r="I113">
        <v>8905302263381</v>
      </c>
      <c r="J113" t="s">
        <v>883</v>
      </c>
      <c r="K113" t="s">
        <v>884</v>
      </c>
      <c r="L113" t="s">
        <v>149</v>
      </c>
      <c r="M113" t="s">
        <v>38</v>
      </c>
      <c r="N113">
        <v>3999</v>
      </c>
      <c r="O113">
        <v>3999</v>
      </c>
      <c r="P113">
        <v>1</v>
      </c>
      <c r="Q113">
        <v>3999</v>
      </c>
      <c r="R113">
        <v>1199.7</v>
      </c>
      <c r="S113">
        <v>0</v>
      </c>
      <c r="T113">
        <v>2799.3</v>
      </c>
      <c r="U113" t="s">
        <v>45</v>
      </c>
    </row>
    <row r="114" spans="1:21" x14ac:dyDescent="0.2">
      <c r="A114" t="s">
        <v>62</v>
      </c>
      <c r="B114" t="s">
        <v>910</v>
      </c>
      <c r="C114" t="s">
        <v>911</v>
      </c>
      <c r="D114" t="s">
        <v>23</v>
      </c>
      <c r="E114" t="s">
        <v>24</v>
      </c>
      <c r="F114" t="s">
        <v>64</v>
      </c>
      <c r="G114" t="s">
        <v>65</v>
      </c>
      <c r="H114" t="s">
        <v>27</v>
      </c>
      <c r="I114">
        <v>8905302263207</v>
      </c>
      <c r="J114" t="s">
        <v>912</v>
      </c>
      <c r="K114" t="s">
        <v>913</v>
      </c>
      <c r="L114" t="s">
        <v>274</v>
      </c>
      <c r="M114" t="s">
        <v>61</v>
      </c>
      <c r="N114">
        <v>5999</v>
      </c>
      <c r="O114">
        <v>5999</v>
      </c>
      <c r="P114">
        <v>1</v>
      </c>
      <c r="Q114">
        <v>5999</v>
      </c>
      <c r="R114">
        <v>1799.7</v>
      </c>
      <c r="S114">
        <v>0</v>
      </c>
      <c r="T114">
        <v>4199.3</v>
      </c>
      <c r="U114" t="s">
        <v>45</v>
      </c>
    </row>
    <row r="115" spans="1:21" x14ac:dyDescent="0.2">
      <c r="A115" t="s">
        <v>575</v>
      </c>
      <c r="B115" t="s">
        <v>910</v>
      </c>
      <c r="C115" t="s">
        <v>914</v>
      </c>
      <c r="D115" t="s">
        <v>23</v>
      </c>
      <c r="E115" t="s">
        <v>24</v>
      </c>
      <c r="F115" t="s">
        <v>64</v>
      </c>
      <c r="G115" t="s">
        <v>65</v>
      </c>
      <c r="H115" t="s">
        <v>27</v>
      </c>
      <c r="I115">
        <v>8905302263202</v>
      </c>
      <c r="J115" t="s">
        <v>475</v>
      </c>
      <c r="K115" t="s">
        <v>474</v>
      </c>
      <c r="L115" t="s">
        <v>473</v>
      </c>
      <c r="M115" t="s">
        <v>61</v>
      </c>
      <c r="N115">
        <v>6999</v>
      </c>
      <c r="O115">
        <v>6999</v>
      </c>
      <c r="P115">
        <v>1</v>
      </c>
      <c r="Q115">
        <v>6999</v>
      </c>
      <c r="R115">
        <v>2099.6999999999998</v>
      </c>
      <c r="S115">
        <v>0</v>
      </c>
      <c r="T115">
        <v>4899.3</v>
      </c>
      <c r="U115" t="s">
        <v>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4CF1-CEC5-9044-A21B-1D442DB1A249}">
  <dimension ref="A1:V148"/>
  <sheetViews>
    <sheetView workbookViewId="0">
      <selection activeCell="O1" sqref="O1:O1048576"/>
    </sheetView>
  </sheetViews>
  <sheetFormatPr baseColWidth="10" defaultRowHeight="15" x14ac:dyDescent="0.2"/>
  <cols>
    <col min="1" max="1" width="22.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2" ht="19" x14ac:dyDescent="0.25">
      <c r="A2" s="48" t="s">
        <v>575</v>
      </c>
      <c r="B2" s="48" t="s">
        <v>1058</v>
      </c>
      <c r="C2" s="48" t="s">
        <v>1013</v>
      </c>
      <c r="D2" s="48" t="s">
        <v>23</v>
      </c>
      <c r="E2" s="48" t="s">
        <v>24</v>
      </c>
      <c r="F2" s="48" t="s">
        <v>25</v>
      </c>
      <c r="G2" s="48" t="s">
        <v>34</v>
      </c>
      <c r="H2" s="14" t="str">
        <f t="shared" ref="H2:H65" si="0">TEXT(DATE(RIGHT(B2,4),MID(B2,4,2),LEFT(B2,2)),"mmm")</f>
        <v>Jun</v>
      </c>
      <c r="I2" s="106">
        <v>8905302263330</v>
      </c>
      <c r="J2" s="48" t="s">
        <v>706</v>
      </c>
      <c r="K2" s="48" t="s">
        <v>707</v>
      </c>
      <c r="L2" s="48" t="s">
        <v>708</v>
      </c>
      <c r="M2" s="48" t="s">
        <v>44</v>
      </c>
      <c r="N2" s="48">
        <v>4999</v>
      </c>
      <c r="O2" s="48">
        <v>4999</v>
      </c>
      <c r="P2" s="48">
        <v>-1</v>
      </c>
      <c r="Q2" s="48">
        <v>-4999</v>
      </c>
      <c r="R2" s="48">
        <v>-999.8</v>
      </c>
      <c r="S2" s="48">
        <v>0</v>
      </c>
      <c r="T2" s="48">
        <v>-3999.2</v>
      </c>
      <c r="U2" s="48" t="s">
        <v>647</v>
      </c>
      <c r="V2" s="48"/>
    </row>
    <row r="3" spans="1:22" ht="19" x14ac:dyDescent="0.25">
      <c r="A3" t="s">
        <v>20</v>
      </c>
      <c r="B3" t="s">
        <v>923</v>
      </c>
      <c r="C3" t="s">
        <v>924</v>
      </c>
      <c r="D3" t="s">
        <v>23</v>
      </c>
      <c r="E3" t="s">
        <v>24</v>
      </c>
      <c r="F3" t="s">
        <v>25</v>
      </c>
      <c r="G3" t="s">
        <v>34</v>
      </c>
      <c r="H3" s="14" t="str">
        <f t="shared" si="0"/>
        <v>Jun</v>
      </c>
      <c r="I3" s="15">
        <v>8905302263346</v>
      </c>
      <c r="J3" t="s">
        <v>699</v>
      </c>
      <c r="K3" t="s">
        <v>700</v>
      </c>
      <c r="L3" t="s">
        <v>701</v>
      </c>
      <c r="M3" t="s">
        <v>44</v>
      </c>
      <c r="N3">
        <v>5999</v>
      </c>
      <c r="O3">
        <v>5999</v>
      </c>
      <c r="P3">
        <v>1</v>
      </c>
      <c r="Q3">
        <v>5999</v>
      </c>
      <c r="R3">
        <v>0</v>
      </c>
      <c r="S3">
        <v>0</v>
      </c>
      <c r="T3">
        <v>5999</v>
      </c>
      <c r="U3" t="s">
        <v>45</v>
      </c>
    </row>
    <row r="4" spans="1:22" ht="19" x14ac:dyDescent="0.25">
      <c r="A4" t="s">
        <v>20</v>
      </c>
      <c r="B4" t="s">
        <v>926</v>
      </c>
      <c r="C4" t="s">
        <v>927</v>
      </c>
      <c r="D4" t="s">
        <v>23</v>
      </c>
      <c r="E4" t="s">
        <v>24</v>
      </c>
      <c r="F4" t="s">
        <v>25</v>
      </c>
      <c r="G4" t="s">
        <v>34</v>
      </c>
      <c r="H4" s="14" t="str">
        <f t="shared" si="0"/>
        <v>Jun</v>
      </c>
      <c r="I4" s="15">
        <v>8905302263304</v>
      </c>
      <c r="J4" t="s">
        <v>928</v>
      </c>
      <c r="K4" t="s">
        <v>929</v>
      </c>
      <c r="L4" t="s">
        <v>829</v>
      </c>
      <c r="M4" t="s">
        <v>61</v>
      </c>
      <c r="N4">
        <v>4999</v>
      </c>
      <c r="O4">
        <v>4999</v>
      </c>
      <c r="P4">
        <v>1</v>
      </c>
      <c r="Q4">
        <v>4999</v>
      </c>
      <c r="R4">
        <v>0</v>
      </c>
      <c r="S4">
        <v>0</v>
      </c>
      <c r="T4">
        <v>4999</v>
      </c>
      <c r="U4" t="s">
        <v>45</v>
      </c>
    </row>
    <row r="5" spans="1:22" ht="19" x14ac:dyDescent="0.25">
      <c r="A5" t="s">
        <v>62</v>
      </c>
      <c r="B5" t="s">
        <v>926</v>
      </c>
      <c r="C5" t="s">
        <v>930</v>
      </c>
      <c r="D5" t="s">
        <v>23</v>
      </c>
      <c r="E5" t="s">
        <v>24</v>
      </c>
      <c r="F5" t="s">
        <v>25</v>
      </c>
      <c r="G5" t="s">
        <v>34</v>
      </c>
      <c r="H5" s="14" t="str">
        <f t="shared" si="0"/>
        <v>Jun</v>
      </c>
      <c r="I5" s="15">
        <v>8905302263304</v>
      </c>
      <c r="J5" t="s">
        <v>928</v>
      </c>
      <c r="K5" t="s">
        <v>929</v>
      </c>
      <c r="L5" t="s">
        <v>829</v>
      </c>
      <c r="M5" t="s">
        <v>61</v>
      </c>
      <c r="N5">
        <v>4999</v>
      </c>
      <c r="O5">
        <v>4999</v>
      </c>
      <c r="P5">
        <v>1</v>
      </c>
      <c r="Q5">
        <v>4999</v>
      </c>
      <c r="R5">
        <v>0</v>
      </c>
      <c r="S5">
        <v>0</v>
      </c>
      <c r="T5">
        <v>4999</v>
      </c>
      <c r="U5" t="s">
        <v>45</v>
      </c>
    </row>
    <row r="6" spans="1:22" ht="19" x14ac:dyDescent="0.25">
      <c r="A6" t="s">
        <v>62</v>
      </c>
      <c r="B6" t="s">
        <v>926</v>
      </c>
      <c r="C6" t="s">
        <v>931</v>
      </c>
      <c r="D6" t="s">
        <v>23</v>
      </c>
      <c r="E6" t="s">
        <v>24</v>
      </c>
      <c r="F6" t="s">
        <v>25</v>
      </c>
      <c r="G6" t="s">
        <v>26</v>
      </c>
      <c r="H6" s="14" t="str">
        <f t="shared" si="0"/>
        <v>Jun</v>
      </c>
      <c r="I6" s="15">
        <v>8905202264729</v>
      </c>
      <c r="J6" t="s">
        <v>28</v>
      </c>
      <c r="K6">
        <v>8905202264729</v>
      </c>
      <c r="L6" t="s">
        <v>29</v>
      </c>
      <c r="M6" t="s">
        <v>30</v>
      </c>
      <c r="N6">
        <v>2995</v>
      </c>
      <c r="O6">
        <v>2995</v>
      </c>
      <c r="P6">
        <v>1</v>
      </c>
      <c r="Q6">
        <v>2995</v>
      </c>
      <c r="R6">
        <v>0</v>
      </c>
      <c r="S6">
        <v>0</v>
      </c>
      <c r="T6">
        <v>2995</v>
      </c>
      <c r="U6" t="s">
        <v>55</v>
      </c>
    </row>
    <row r="7" spans="1:22" ht="19" x14ac:dyDescent="0.25">
      <c r="A7" t="s">
        <v>62</v>
      </c>
      <c r="B7" t="s">
        <v>926</v>
      </c>
      <c r="C7" t="s">
        <v>932</v>
      </c>
      <c r="D7" t="s">
        <v>23</v>
      </c>
      <c r="E7" t="s">
        <v>24</v>
      </c>
      <c r="F7" t="s">
        <v>64</v>
      </c>
      <c r="G7" t="s">
        <v>65</v>
      </c>
      <c r="H7" s="14" t="str">
        <f t="shared" si="0"/>
        <v>Jun</v>
      </c>
      <c r="I7" s="15">
        <v>8905302263364</v>
      </c>
      <c r="J7" t="s">
        <v>900</v>
      </c>
      <c r="K7" t="s">
        <v>901</v>
      </c>
      <c r="L7" t="s">
        <v>694</v>
      </c>
      <c r="M7" t="s">
        <v>38</v>
      </c>
      <c r="N7">
        <v>7999</v>
      </c>
      <c r="O7">
        <v>7999</v>
      </c>
      <c r="P7">
        <v>1</v>
      </c>
      <c r="Q7">
        <v>7999</v>
      </c>
      <c r="R7">
        <v>0</v>
      </c>
      <c r="S7">
        <v>0</v>
      </c>
      <c r="T7">
        <v>7999</v>
      </c>
      <c r="U7" t="s">
        <v>45</v>
      </c>
    </row>
    <row r="8" spans="1:22" ht="19" x14ac:dyDescent="0.25">
      <c r="A8" t="s">
        <v>62</v>
      </c>
      <c r="B8" t="s">
        <v>933</v>
      </c>
      <c r="C8" t="s">
        <v>934</v>
      </c>
      <c r="D8" t="s">
        <v>23</v>
      </c>
      <c r="E8" t="s">
        <v>24</v>
      </c>
      <c r="F8" t="s">
        <v>25</v>
      </c>
      <c r="G8" t="s">
        <v>34</v>
      </c>
      <c r="H8" s="14" t="str">
        <f t="shared" si="0"/>
        <v>Jun</v>
      </c>
      <c r="I8" s="15">
        <v>8905302263272</v>
      </c>
      <c r="J8" t="s">
        <v>935</v>
      </c>
      <c r="K8" t="s">
        <v>936</v>
      </c>
      <c r="L8" t="s">
        <v>667</v>
      </c>
      <c r="M8" t="s">
        <v>54</v>
      </c>
      <c r="N8">
        <v>4999</v>
      </c>
      <c r="O8">
        <v>4999</v>
      </c>
      <c r="P8">
        <v>1</v>
      </c>
      <c r="Q8">
        <v>4999</v>
      </c>
      <c r="R8">
        <v>0</v>
      </c>
      <c r="S8">
        <v>0</v>
      </c>
      <c r="T8">
        <v>4999</v>
      </c>
      <c r="U8" t="s">
        <v>50</v>
      </c>
    </row>
    <row r="9" spans="1:22" ht="19" x14ac:dyDescent="0.25">
      <c r="A9" t="s">
        <v>575</v>
      </c>
      <c r="B9" t="s">
        <v>933</v>
      </c>
      <c r="C9" t="s">
        <v>937</v>
      </c>
      <c r="D9" t="s">
        <v>23</v>
      </c>
      <c r="E9" t="s">
        <v>24</v>
      </c>
      <c r="F9" t="s">
        <v>25</v>
      </c>
      <c r="G9" t="s">
        <v>34</v>
      </c>
      <c r="H9" s="14" t="str">
        <f t="shared" si="0"/>
        <v>Jun</v>
      </c>
      <c r="I9" s="15">
        <v>8905302263322</v>
      </c>
      <c r="J9" t="s">
        <v>938</v>
      </c>
      <c r="K9" t="s">
        <v>939</v>
      </c>
      <c r="L9" t="s">
        <v>661</v>
      </c>
      <c r="M9" t="s">
        <v>61</v>
      </c>
      <c r="N9">
        <v>6999</v>
      </c>
      <c r="O9">
        <v>6999</v>
      </c>
      <c r="P9">
        <v>1</v>
      </c>
      <c r="Q9">
        <v>6999</v>
      </c>
      <c r="R9">
        <v>0</v>
      </c>
      <c r="S9">
        <v>0</v>
      </c>
      <c r="T9">
        <v>6999</v>
      </c>
      <c r="U9" t="s">
        <v>259</v>
      </c>
    </row>
    <row r="10" spans="1:22" ht="19" x14ac:dyDescent="0.25">
      <c r="A10" t="s">
        <v>575</v>
      </c>
      <c r="B10" t="s">
        <v>933</v>
      </c>
      <c r="C10" t="s">
        <v>940</v>
      </c>
      <c r="D10" t="s">
        <v>23</v>
      </c>
      <c r="E10" t="s">
        <v>24</v>
      </c>
      <c r="F10" t="s">
        <v>25</v>
      </c>
      <c r="G10" t="s">
        <v>26</v>
      </c>
      <c r="H10" s="14" t="str">
        <f t="shared" si="0"/>
        <v>Jun</v>
      </c>
      <c r="I10" s="15">
        <v>8905202265016</v>
      </c>
      <c r="J10" t="s">
        <v>180</v>
      </c>
      <c r="K10">
        <v>8905202265016</v>
      </c>
      <c r="L10" t="s">
        <v>49</v>
      </c>
      <c r="M10" t="s">
        <v>38</v>
      </c>
      <c r="N10">
        <v>2995</v>
      </c>
      <c r="O10">
        <v>2995</v>
      </c>
      <c r="P10">
        <v>1</v>
      </c>
      <c r="Q10">
        <v>2995</v>
      </c>
      <c r="R10">
        <v>0</v>
      </c>
      <c r="S10">
        <v>0</v>
      </c>
      <c r="T10">
        <v>2995</v>
      </c>
      <c r="U10" t="s">
        <v>55</v>
      </c>
    </row>
    <row r="11" spans="1:22" ht="19" x14ac:dyDescent="0.25">
      <c r="A11" t="s">
        <v>575</v>
      </c>
      <c r="B11" t="s">
        <v>942</v>
      </c>
      <c r="C11" t="s">
        <v>135</v>
      </c>
      <c r="D11" t="s">
        <v>23</v>
      </c>
      <c r="E11" t="s">
        <v>24</v>
      </c>
      <c r="F11" t="s">
        <v>64</v>
      </c>
      <c r="G11" t="s">
        <v>65</v>
      </c>
      <c r="H11" s="14" t="str">
        <f t="shared" si="0"/>
        <v>Jun</v>
      </c>
      <c r="I11" s="15">
        <v>8905302263203</v>
      </c>
      <c r="J11" t="s">
        <v>290</v>
      </c>
      <c r="K11" t="s">
        <v>291</v>
      </c>
      <c r="L11" t="s">
        <v>292</v>
      </c>
      <c r="M11" t="s">
        <v>44</v>
      </c>
      <c r="N11">
        <v>6999</v>
      </c>
      <c r="O11">
        <v>6999</v>
      </c>
      <c r="P11">
        <v>1</v>
      </c>
      <c r="Q11">
        <v>6999</v>
      </c>
      <c r="R11">
        <v>0</v>
      </c>
      <c r="S11">
        <v>0</v>
      </c>
      <c r="T11">
        <v>6999</v>
      </c>
      <c r="U11" t="s">
        <v>943</v>
      </c>
    </row>
    <row r="12" spans="1:22" ht="19" x14ac:dyDescent="0.25">
      <c r="A12" t="s">
        <v>575</v>
      </c>
      <c r="B12" t="s">
        <v>942</v>
      </c>
      <c r="C12" t="s">
        <v>791</v>
      </c>
      <c r="D12" t="s">
        <v>23</v>
      </c>
      <c r="E12" t="s">
        <v>24</v>
      </c>
      <c r="F12" t="s">
        <v>25</v>
      </c>
      <c r="G12" t="s">
        <v>26</v>
      </c>
      <c r="H12" s="14" t="str">
        <f t="shared" si="0"/>
        <v>Jun</v>
      </c>
      <c r="I12" s="15">
        <v>8905202264811</v>
      </c>
      <c r="J12" t="s">
        <v>172</v>
      </c>
      <c r="K12">
        <v>8905202264811</v>
      </c>
      <c r="L12" t="s">
        <v>173</v>
      </c>
      <c r="M12" t="s">
        <v>38</v>
      </c>
      <c r="N12">
        <v>4495</v>
      </c>
      <c r="O12">
        <v>4495</v>
      </c>
      <c r="P12">
        <v>1</v>
      </c>
      <c r="Q12">
        <v>4495</v>
      </c>
      <c r="R12">
        <v>0</v>
      </c>
      <c r="S12">
        <v>0</v>
      </c>
      <c r="T12">
        <v>4495</v>
      </c>
      <c r="U12" t="s">
        <v>55</v>
      </c>
    </row>
    <row r="13" spans="1:22" ht="19" x14ac:dyDescent="0.25">
      <c r="A13" t="s">
        <v>575</v>
      </c>
      <c r="B13" t="s">
        <v>944</v>
      </c>
      <c r="C13" t="s">
        <v>945</v>
      </c>
      <c r="D13" t="s">
        <v>23</v>
      </c>
      <c r="E13" t="s">
        <v>24</v>
      </c>
      <c r="F13" t="s">
        <v>64</v>
      </c>
      <c r="G13" t="s">
        <v>65</v>
      </c>
      <c r="H13" s="14" t="str">
        <f t="shared" si="0"/>
        <v>Jun</v>
      </c>
      <c r="I13" s="15">
        <v>8905302263195</v>
      </c>
      <c r="J13" t="s">
        <v>946</v>
      </c>
      <c r="K13" t="s">
        <v>947</v>
      </c>
      <c r="L13" t="s">
        <v>948</v>
      </c>
      <c r="M13" t="s">
        <v>44</v>
      </c>
      <c r="N13">
        <v>7999</v>
      </c>
      <c r="O13">
        <v>7999</v>
      </c>
      <c r="P13">
        <v>1</v>
      </c>
      <c r="Q13">
        <v>7999</v>
      </c>
      <c r="R13">
        <v>0</v>
      </c>
      <c r="S13">
        <v>0</v>
      </c>
      <c r="T13">
        <v>7999</v>
      </c>
      <c r="U13" t="s">
        <v>55</v>
      </c>
    </row>
    <row r="14" spans="1:22" ht="19" x14ac:dyDescent="0.25">
      <c r="A14" t="s">
        <v>575</v>
      </c>
      <c r="B14" t="s">
        <v>944</v>
      </c>
      <c r="C14" t="s">
        <v>945</v>
      </c>
      <c r="D14" t="s">
        <v>23</v>
      </c>
      <c r="E14" t="s">
        <v>24</v>
      </c>
      <c r="F14" t="s">
        <v>64</v>
      </c>
      <c r="G14" t="s">
        <v>65</v>
      </c>
      <c r="H14" s="14" t="str">
        <f t="shared" si="0"/>
        <v>Jun</v>
      </c>
      <c r="I14" s="15">
        <v>8905302263203</v>
      </c>
      <c r="J14" t="s">
        <v>290</v>
      </c>
      <c r="K14" t="s">
        <v>291</v>
      </c>
      <c r="L14" t="s">
        <v>292</v>
      </c>
      <c r="M14" t="s">
        <v>44</v>
      </c>
      <c r="N14">
        <v>6999</v>
      </c>
      <c r="O14">
        <v>6999</v>
      </c>
      <c r="P14">
        <v>1</v>
      </c>
      <c r="Q14">
        <v>6999</v>
      </c>
      <c r="R14">
        <v>0</v>
      </c>
      <c r="S14">
        <v>0</v>
      </c>
      <c r="T14">
        <v>6999</v>
      </c>
      <c r="U14" t="s">
        <v>55</v>
      </c>
    </row>
    <row r="15" spans="1:22" ht="19" x14ac:dyDescent="0.25">
      <c r="A15" t="s">
        <v>962</v>
      </c>
      <c r="B15" t="s">
        <v>949</v>
      </c>
      <c r="C15" t="s">
        <v>963</v>
      </c>
      <c r="D15" t="s">
        <v>23</v>
      </c>
      <c r="E15" t="s">
        <v>24</v>
      </c>
      <c r="F15" t="s">
        <v>25</v>
      </c>
      <c r="G15" t="s">
        <v>26</v>
      </c>
      <c r="H15" s="14" t="str">
        <f t="shared" si="0"/>
        <v>Jun</v>
      </c>
      <c r="I15" s="15">
        <v>8905202269274</v>
      </c>
      <c r="J15" t="s">
        <v>643</v>
      </c>
      <c r="K15" t="s">
        <v>644</v>
      </c>
      <c r="L15" t="s">
        <v>94</v>
      </c>
      <c r="M15" t="s">
        <v>44</v>
      </c>
      <c r="N15">
        <v>3495</v>
      </c>
      <c r="O15">
        <v>3495</v>
      </c>
      <c r="P15">
        <v>1</v>
      </c>
      <c r="Q15">
        <v>3495</v>
      </c>
      <c r="R15">
        <v>0</v>
      </c>
      <c r="S15">
        <v>0</v>
      </c>
      <c r="T15">
        <v>3495</v>
      </c>
      <c r="U15" t="s">
        <v>39</v>
      </c>
    </row>
    <row r="16" spans="1:22" ht="19" x14ac:dyDescent="0.25">
      <c r="A16" t="s">
        <v>62</v>
      </c>
      <c r="B16" t="s">
        <v>949</v>
      </c>
      <c r="C16" t="s">
        <v>950</v>
      </c>
      <c r="D16" t="s">
        <v>23</v>
      </c>
      <c r="E16" t="s">
        <v>24</v>
      </c>
      <c r="F16" t="s">
        <v>25</v>
      </c>
      <c r="G16" t="s">
        <v>34</v>
      </c>
      <c r="H16" s="14" t="str">
        <f t="shared" si="0"/>
        <v>Jun</v>
      </c>
      <c r="I16" s="15">
        <v>8905302263242</v>
      </c>
      <c r="J16" t="s">
        <v>951</v>
      </c>
      <c r="K16" t="s">
        <v>952</v>
      </c>
      <c r="L16" t="s">
        <v>802</v>
      </c>
      <c r="M16" t="s">
        <v>44</v>
      </c>
      <c r="N16">
        <v>5999</v>
      </c>
      <c r="O16">
        <v>5999</v>
      </c>
      <c r="P16">
        <v>1</v>
      </c>
      <c r="Q16">
        <v>5999</v>
      </c>
      <c r="R16">
        <v>0</v>
      </c>
      <c r="S16">
        <v>0</v>
      </c>
      <c r="T16">
        <v>5999</v>
      </c>
      <c r="U16" t="s">
        <v>284</v>
      </c>
    </row>
    <row r="17" spans="1:21" ht="19" x14ac:dyDescent="0.25">
      <c r="A17" t="s">
        <v>62</v>
      </c>
      <c r="B17" t="s">
        <v>953</v>
      </c>
      <c r="C17" t="s">
        <v>645</v>
      </c>
      <c r="D17" t="s">
        <v>23</v>
      </c>
      <c r="E17" t="s">
        <v>24</v>
      </c>
      <c r="F17" t="s">
        <v>25</v>
      </c>
      <c r="G17" t="s">
        <v>34</v>
      </c>
      <c r="H17" s="14" t="str">
        <f t="shared" si="0"/>
        <v>Jun</v>
      </c>
      <c r="I17" s="15">
        <v>8905302263305</v>
      </c>
      <c r="J17" t="s">
        <v>896</v>
      </c>
      <c r="K17" t="s">
        <v>897</v>
      </c>
      <c r="L17" t="s">
        <v>802</v>
      </c>
      <c r="M17" t="s">
        <v>44</v>
      </c>
      <c r="N17">
        <v>4999</v>
      </c>
      <c r="O17">
        <v>4999</v>
      </c>
      <c r="P17">
        <v>1</v>
      </c>
      <c r="Q17">
        <v>4999</v>
      </c>
      <c r="R17">
        <v>0</v>
      </c>
      <c r="S17">
        <v>0</v>
      </c>
      <c r="T17">
        <v>4999</v>
      </c>
      <c r="U17" t="s">
        <v>45</v>
      </c>
    </row>
    <row r="18" spans="1:21" ht="19" x14ac:dyDescent="0.25">
      <c r="A18" t="s">
        <v>62</v>
      </c>
      <c r="B18" t="s">
        <v>953</v>
      </c>
      <c r="C18" t="s">
        <v>645</v>
      </c>
      <c r="D18" t="s">
        <v>23</v>
      </c>
      <c r="E18" t="s">
        <v>24</v>
      </c>
      <c r="F18" t="s">
        <v>25</v>
      </c>
      <c r="G18" t="s">
        <v>26</v>
      </c>
      <c r="H18" s="14" t="str">
        <f t="shared" si="0"/>
        <v>Jun</v>
      </c>
      <c r="I18" s="15">
        <v>8905202265016</v>
      </c>
      <c r="J18" t="s">
        <v>180</v>
      </c>
      <c r="K18">
        <v>8905202265016</v>
      </c>
      <c r="L18" t="s">
        <v>49</v>
      </c>
      <c r="M18" t="s">
        <v>38</v>
      </c>
      <c r="N18">
        <v>2995</v>
      </c>
      <c r="O18">
        <v>2995</v>
      </c>
      <c r="P18">
        <v>1</v>
      </c>
      <c r="Q18">
        <v>2995</v>
      </c>
      <c r="R18">
        <v>0</v>
      </c>
      <c r="S18">
        <v>0</v>
      </c>
      <c r="T18">
        <v>2995</v>
      </c>
      <c r="U18" t="s">
        <v>45</v>
      </c>
    </row>
    <row r="19" spans="1:21" ht="19" x14ac:dyDescent="0.25">
      <c r="A19" t="s">
        <v>575</v>
      </c>
      <c r="B19" t="s">
        <v>960</v>
      </c>
      <c r="C19" t="s">
        <v>961</v>
      </c>
      <c r="D19" t="s">
        <v>23</v>
      </c>
      <c r="E19" t="s">
        <v>24</v>
      </c>
      <c r="F19" t="s">
        <v>25</v>
      </c>
      <c r="G19" t="s">
        <v>34</v>
      </c>
      <c r="H19" s="14" t="str">
        <f t="shared" si="0"/>
        <v>Jun</v>
      </c>
      <c r="I19" s="15">
        <v>8905302263239</v>
      </c>
      <c r="J19" t="s">
        <v>624</v>
      </c>
      <c r="K19" t="s">
        <v>625</v>
      </c>
      <c r="L19" t="s">
        <v>626</v>
      </c>
      <c r="M19" t="s">
        <v>38</v>
      </c>
      <c r="N19">
        <v>5999</v>
      </c>
      <c r="O19">
        <v>5999</v>
      </c>
      <c r="P19">
        <v>1</v>
      </c>
      <c r="Q19">
        <v>5999</v>
      </c>
      <c r="R19">
        <v>0</v>
      </c>
      <c r="S19">
        <v>0</v>
      </c>
      <c r="T19">
        <v>5999</v>
      </c>
      <c r="U19" t="s">
        <v>45</v>
      </c>
    </row>
    <row r="20" spans="1:21" ht="19" x14ac:dyDescent="0.25">
      <c r="A20" t="s">
        <v>575</v>
      </c>
      <c r="B20" t="s">
        <v>964</v>
      </c>
      <c r="C20" t="s">
        <v>965</v>
      </c>
      <c r="D20" t="s">
        <v>23</v>
      </c>
      <c r="E20" t="s">
        <v>24</v>
      </c>
      <c r="F20" t="s">
        <v>25</v>
      </c>
      <c r="G20" t="s">
        <v>34</v>
      </c>
      <c r="H20" s="14" t="str">
        <f t="shared" si="0"/>
        <v>Jun</v>
      </c>
      <c r="I20" s="15">
        <v>8905302263328</v>
      </c>
      <c r="J20" t="s">
        <v>715</v>
      </c>
      <c r="K20" t="s">
        <v>716</v>
      </c>
      <c r="L20" t="s">
        <v>717</v>
      </c>
      <c r="M20" t="s">
        <v>54</v>
      </c>
      <c r="N20">
        <v>4999</v>
      </c>
      <c r="O20">
        <v>4999</v>
      </c>
      <c r="P20">
        <v>1</v>
      </c>
      <c r="Q20">
        <v>4999</v>
      </c>
      <c r="R20">
        <v>0</v>
      </c>
      <c r="S20">
        <v>0</v>
      </c>
      <c r="T20">
        <v>4999</v>
      </c>
      <c r="U20" t="s">
        <v>259</v>
      </c>
    </row>
    <row r="21" spans="1:21" ht="19" x14ac:dyDescent="0.25">
      <c r="A21" t="s">
        <v>62</v>
      </c>
      <c r="B21" t="s">
        <v>967</v>
      </c>
      <c r="C21" t="s">
        <v>968</v>
      </c>
      <c r="D21" t="s">
        <v>23</v>
      </c>
      <c r="E21" t="s">
        <v>24</v>
      </c>
      <c r="F21" t="s">
        <v>25</v>
      </c>
      <c r="G21" t="s">
        <v>34</v>
      </c>
      <c r="H21" s="14" t="str">
        <f t="shared" si="0"/>
        <v>Jun</v>
      </c>
      <c r="I21" s="15">
        <v>8905302263303</v>
      </c>
      <c r="J21" t="s">
        <v>969</v>
      </c>
      <c r="K21" t="s">
        <v>970</v>
      </c>
      <c r="L21" t="s">
        <v>667</v>
      </c>
      <c r="M21" t="s">
        <v>54</v>
      </c>
      <c r="N21">
        <v>4999</v>
      </c>
      <c r="O21">
        <v>4999</v>
      </c>
      <c r="P21">
        <v>1</v>
      </c>
      <c r="Q21">
        <v>4999</v>
      </c>
      <c r="R21">
        <v>0</v>
      </c>
      <c r="S21">
        <v>0</v>
      </c>
      <c r="T21">
        <v>4999</v>
      </c>
      <c r="U21" t="s">
        <v>45</v>
      </c>
    </row>
    <row r="22" spans="1:21" ht="19" x14ac:dyDescent="0.25">
      <c r="A22" t="s">
        <v>20</v>
      </c>
      <c r="B22" t="s">
        <v>971</v>
      </c>
      <c r="C22" t="s">
        <v>972</v>
      </c>
      <c r="D22" t="s">
        <v>23</v>
      </c>
      <c r="E22" t="s">
        <v>24</v>
      </c>
      <c r="F22" t="s">
        <v>25</v>
      </c>
      <c r="G22" t="s">
        <v>26</v>
      </c>
      <c r="H22" s="14" t="str">
        <f t="shared" si="0"/>
        <v>Jun</v>
      </c>
      <c r="I22" s="15">
        <v>8905202264897</v>
      </c>
      <c r="J22" t="s">
        <v>203</v>
      </c>
      <c r="K22">
        <v>8905202264897</v>
      </c>
      <c r="L22" t="s">
        <v>191</v>
      </c>
      <c r="M22" t="s">
        <v>61</v>
      </c>
      <c r="N22">
        <v>2995</v>
      </c>
      <c r="O22">
        <v>2995</v>
      </c>
      <c r="P22">
        <v>1</v>
      </c>
      <c r="Q22">
        <v>2995</v>
      </c>
      <c r="R22">
        <v>1198</v>
      </c>
      <c r="S22">
        <v>0</v>
      </c>
      <c r="T22">
        <v>1797</v>
      </c>
      <c r="U22" t="s">
        <v>45</v>
      </c>
    </row>
    <row r="23" spans="1:21" ht="19" x14ac:dyDescent="0.25">
      <c r="A23" t="s">
        <v>20</v>
      </c>
      <c r="B23" t="s">
        <v>971</v>
      </c>
      <c r="C23" t="s">
        <v>972</v>
      </c>
      <c r="D23" t="s">
        <v>23</v>
      </c>
      <c r="E23" t="s">
        <v>24</v>
      </c>
      <c r="F23" t="s">
        <v>25</v>
      </c>
      <c r="G23" t="s">
        <v>26</v>
      </c>
      <c r="H23" s="14" t="str">
        <f t="shared" si="0"/>
        <v>Jun</v>
      </c>
      <c r="I23" s="15">
        <v>8905202264941</v>
      </c>
      <c r="J23" t="s">
        <v>973</v>
      </c>
      <c r="K23">
        <v>8905202264941</v>
      </c>
      <c r="L23" t="s">
        <v>191</v>
      </c>
      <c r="M23" t="s">
        <v>61</v>
      </c>
      <c r="N23">
        <v>2495</v>
      </c>
      <c r="O23">
        <v>2495</v>
      </c>
      <c r="P23">
        <v>1</v>
      </c>
      <c r="Q23">
        <v>2495</v>
      </c>
      <c r="R23">
        <v>998</v>
      </c>
      <c r="S23">
        <v>0</v>
      </c>
      <c r="T23">
        <v>1497</v>
      </c>
      <c r="U23" t="s">
        <v>45</v>
      </c>
    </row>
    <row r="24" spans="1:21" ht="19" x14ac:dyDescent="0.25">
      <c r="A24" t="s">
        <v>20</v>
      </c>
      <c r="B24" t="s">
        <v>971</v>
      </c>
      <c r="C24" t="s">
        <v>972</v>
      </c>
      <c r="D24" t="s">
        <v>23</v>
      </c>
      <c r="E24" t="s">
        <v>24</v>
      </c>
      <c r="F24" t="s">
        <v>25</v>
      </c>
      <c r="G24" t="s">
        <v>26</v>
      </c>
      <c r="H24" s="14" t="str">
        <f t="shared" si="0"/>
        <v>Jun</v>
      </c>
      <c r="I24" s="15">
        <v>8905202269335</v>
      </c>
      <c r="J24" t="s">
        <v>182</v>
      </c>
      <c r="K24" t="s">
        <v>183</v>
      </c>
      <c r="L24" t="s">
        <v>184</v>
      </c>
      <c r="M24" t="s">
        <v>61</v>
      </c>
      <c r="N24">
        <v>3495</v>
      </c>
      <c r="O24">
        <v>3495</v>
      </c>
      <c r="P24">
        <v>1</v>
      </c>
      <c r="Q24">
        <v>3495</v>
      </c>
      <c r="R24">
        <v>1398</v>
      </c>
      <c r="S24">
        <v>0</v>
      </c>
      <c r="T24">
        <v>2097</v>
      </c>
      <c r="U24" t="s">
        <v>45</v>
      </c>
    </row>
    <row r="25" spans="1:21" ht="19" x14ac:dyDescent="0.25">
      <c r="A25" t="s">
        <v>20</v>
      </c>
      <c r="B25" t="s">
        <v>971</v>
      </c>
      <c r="C25" t="s">
        <v>972</v>
      </c>
      <c r="D25" t="s">
        <v>23</v>
      </c>
      <c r="E25" t="s">
        <v>24</v>
      </c>
      <c r="F25" t="s">
        <v>25</v>
      </c>
      <c r="G25" t="s">
        <v>26</v>
      </c>
      <c r="H25" s="14" t="str">
        <f t="shared" si="0"/>
        <v>Jun</v>
      </c>
      <c r="I25" s="15">
        <v>8905302263380</v>
      </c>
      <c r="J25" t="s">
        <v>711</v>
      </c>
      <c r="K25" t="s">
        <v>712</v>
      </c>
      <c r="L25" t="s">
        <v>94</v>
      </c>
      <c r="M25" t="s">
        <v>44</v>
      </c>
      <c r="N25">
        <v>3999</v>
      </c>
      <c r="O25">
        <v>3999</v>
      </c>
      <c r="P25">
        <v>1</v>
      </c>
      <c r="Q25">
        <v>3999</v>
      </c>
      <c r="R25">
        <v>1599.6</v>
      </c>
      <c r="S25">
        <v>0</v>
      </c>
      <c r="T25">
        <v>2399.4</v>
      </c>
      <c r="U25" t="s">
        <v>45</v>
      </c>
    </row>
    <row r="26" spans="1:21" ht="19" x14ac:dyDescent="0.25">
      <c r="A26" t="s">
        <v>62</v>
      </c>
      <c r="B26" t="s">
        <v>971</v>
      </c>
      <c r="C26" t="s">
        <v>974</v>
      </c>
      <c r="D26" t="s">
        <v>23</v>
      </c>
      <c r="E26" t="s">
        <v>24</v>
      </c>
      <c r="F26" t="s">
        <v>25</v>
      </c>
      <c r="G26" t="s">
        <v>26</v>
      </c>
      <c r="H26" s="14" t="str">
        <f t="shared" si="0"/>
        <v>Jun</v>
      </c>
      <c r="I26" s="15">
        <v>8905202264835</v>
      </c>
      <c r="J26" t="s">
        <v>552</v>
      </c>
      <c r="K26" t="s">
        <v>553</v>
      </c>
      <c r="L26" t="s">
        <v>53</v>
      </c>
      <c r="M26" t="s">
        <v>54</v>
      </c>
      <c r="N26">
        <v>3995</v>
      </c>
      <c r="O26">
        <v>3995</v>
      </c>
      <c r="P26">
        <v>1</v>
      </c>
      <c r="Q26">
        <v>3995</v>
      </c>
      <c r="R26">
        <v>1598</v>
      </c>
      <c r="S26">
        <v>0</v>
      </c>
      <c r="T26">
        <v>2397</v>
      </c>
      <c r="U26" t="s">
        <v>45</v>
      </c>
    </row>
    <row r="27" spans="1:21" ht="19" x14ac:dyDescent="0.25">
      <c r="A27" t="s">
        <v>62</v>
      </c>
      <c r="B27" t="s">
        <v>971</v>
      </c>
      <c r="C27" t="s">
        <v>975</v>
      </c>
      <c r="D27" t="s">
        <v>23</v>
      </c>
      <c r="E27" t="s">
        <v>24</v>
      </c>
      <c r="F27" t="s">
        <v>25</v>
      </c>
      <c r="G27" t="s">
        <v>26</v>
      </c>
      <c r="H27" s="14" t="str">
        <f t="shared" si="0"/>
        <v>Jun</v>
      </c>
      <c r="I27" s="15">
        <v>8905302263383</v>
      </c>
      <c r="J27" t="s">
        <v>976</v>
      </c>
      <c r="K27" t="s">
        <v>977</v>
      </c>
      <c r="L27" t="s">
        <v>123</v>
      </c>
      <c r="M27" t="s">
        <v>44</v>
      </c>
      <c r="N27">
        <v>3999</v>
      </c>
      <c r="O27">
        <v>3999</v>
      </c>
      <c r="P27">
        <v>1</v>
      </c>
      <c r="Q27">
        <v>3999</v>
      </c>
      <c r="R27">
        <v>1599.6</v>
      </c>
      <c r="S27">
        <v>0</v>
      </c>
      <c r="T27">
        <v>2399.4</v>
      </c>
      <c r="U27" t="s">
        <v>45</v>
      </c>
    </row>
    <row r="28" spans="1:21" ht="19" x14ac:dyDescent="0.25">
      <c r="A28" t="s">
        <v>20</v>
      </c>
      <c r="B28" t="s">
        <v>978</v>
      </c>
      <c r="C28" t="s">
        <v>984</v>
      </c>
      <c r="D28" t="s">
        <v>23</v>
      </c>
      <c r="E28" t="s">
        <v>24</v>
      </c>
      <c r="F28" t="s">
        <v>25</v>
      </c>
      <c r="G28" t="s">
        <v>34</v>
      </c>
      <c r="H28" s="14" t="str">
        <f t="shared" si="0"/>
        <v>Jun</v>
      </c>
      <c r="I28" s="15">
        <v>8905302263276</v>
      </c>
      <c r="J28" t="s">
        <v>985</v>
      </c>
      <c r="K28" t="s">
        <v>986</v>
      </c>
      <c r="L28" t="s">
        <v>450</v>
      </c>
      <c r="M28" t="s">
        <v>61</v>
      </c>
      <c r="N28">
        <v>4999</v>
      </c>
      <c r="O28">
        <v>4999</v>
      </c>
      <c r="P28">
        <v>1</v>
      </c>
      <c r="Q28">
        <v>4999</v>
      </c>
      <c r="R28">
        <v>999.8</v>
      </c>
      <c r="S28">
        <v>0</v>
      </c>
      <c r="T28">
        <v>3999.2</v>
      </c>
      <c r="U28" t="s">
        <v>45</v>
      </c>
    </row>
    <row r="29" spans="1:21" ht="19" x14ac:dyDescent="0.25">
      <c r="A29" t="s">
        <v>20</v>
      </c>
      <c r="B29" t="s">
        <v>978</v>
      </c>
      <c r="C29" t="s">
        <v>979</v>
      </c>
      <c r="D29" t="s">
        <v>23</v>
      </c>
      <c r="E29" t="s">
        <v>24</v>
      </c>
      <c r="F29" t="s">
        <v>25</v>
      </c>
      <c r="G29" t="s">
        <v>26</v>
      </c>
      <c r="H29" s="14" t="str">
        <f t="shared" si="0"/>
        <v>Jun</v>
      </c>
      <c r="I29" s="15">
        <v>8905202264729</v>
      </c>
      <c r="J29" t="s">
        <v>28</v>
      </c>
      <c r="K29">
        <v>8905202264729</v>
      </c>
      <c r="L29" t="s">
        <v>29</v>
      </c>
      <c r="M29" t="s">
        <v>30</v>
      </c>
      <c r="N29">
        <v>2995</v>
      </c>
      <c r="O29">
        <v>2995</v>
      </c>
      <c r="P29">
        <v>1</v>
      </c>
      <c r="Q29">
        <v>2995</v>
      </c>
      <c r="R29">
        <v>1198</v>
      </c>
      <c r="S29">
        <v>0</v>
      </c>
      <c r="T29">
        <v>1797</v>
      </c>
      <c r="U29" t="s">
        <v>55</v>
      </c>
    </row>
    <row r="30" spans="1:21" ht="19" x14ac:dyDescent="0.25">
      <c r="A30" t="s">
        <v>20</v>
      </c>
      <c r="B30" t="s">
        <v>978</v>
      </c>
      <c r="C30" t="s">
        <v>980</v>
      </c>
      <c r="D30" t="s">
        <v>23</v>
      </c>
      <c r="E30" t="s">
        <v>24</v>
      </c>
      <c r="F30" t="s">
        <v>25</v>
      </c>
      <c r="G30" t="s">
        <v>26</v>
      </c>
      <c r="H30" s="14" t="str">
        <f t="shared" si="0"/>
        <v>Jun</v>
      </c>
      <c r="I30" s="15">
        <v>8905202264941</v>
      </c>
      <c r="J30" t="s">
        <v>973</v>
      </c>
      <c r="K30">
        <v>8905202264941</v>
      </c>
      <c r="L30" t="s">
        <v>191</v>
      </c>
      <c r="M30" t="s">
        <v>61</v>
      </c>
      <c r="N30">
        <v>2495</v>
      </c>
      <c r="O30">
        <v>2495</v>
      </c>
      <c r="P30">
        <v>1</v>
      </c>
      <c r="Q30">
        <v>2495</v>
      </c>
      <c r="R30">
        <v>998</v>
      </c>
      <c r="S30">
        <v>0</v>
      </c>
      <c r="T30">
        <v>1497</v>
      </c>
      <c r="U30" t="s">
        <v>45</v>
      </c>
    </row>
    <row r="31" spans="1:21" ht="19" x14ac:dyDescent="0.25">
      <c r="A31" t="s">
        <v>62</v>
      </c>
      <c r="B31" t="s">
        <v>978</v>
      </c>
      <c r="C31" t="s">
        <v>981</v>
      </c>
      <c r="D31" t="s">
        <v>23</v>
      </c>
      <c r="E31" t="s">
        <v>24</v>
      </c>
      <c r="F31" t="s">
        <v>25</v>
      </c>
      <c r="G31" t="s">
        <v>26</v>
      </c>
      <c r="H31" s="14" t="str">
        <f t="shared" si="0"/>
        <v>Jun</v>
      </c>
      <c r="I31" s="15">
        <v>8905202264651</v>
      </c>
      <c r="J31" t="s">
        <v>783</v>
      </c>
      <c r="K31" t="s">
        <v>784</v>
      </c>
      <c r="L31" t="s">
        <v>94</v>
      </c>
      <c r="M31" t="s">
        <v>44</v>
      </c>
      <c r="N31">
        <v>2995</v>
      </c>
      <c r="O31">
        <v>2995</v>
      </c>
      <c r="P31">
        <v>1</v>
      </c>
      <c r="Q31">
        <v>2995</v>
      </c>
      <c r="R31">
        <v>1198</v>
      </c>
      <c r="S31">
        <v>0</v>
      </c>
      <c r="T31">
        <v>1797</v>
      </c>
      <c r="U31" t="s">
        <v>45</v>
      </c>
    </row>
    <row r="32" spans="1:21" ht="19" x14ac:dyDescent="0.25">
      <c r="A32" t="s">
        <v>62</v>
      </c>
      <c r="B32" t="s">
        <v>978</v>
      </c>
      <c r="C32" t="s">
        <v>982</v>
      </c>
      <c r="D32" t="s">
        <v>23</v>
      </c>
      <c r="E32" t="s">
        <v>136</v>
      </c>
      <c r="F32" t="s">
        <v>25</v>
      </c>
      <c r="G32" t="s">
        <v>26</v>
      </c>
      <c r="H32" s="14" t="str">
        <f t="shared" si="0"/>
        <v>Jun</v>
      </c>
      <c r="I32" s="15">
        <v>8905202269250</v>
      </c>
      <c r="J32" t="s">
        <v>139</v>
      </c>
      <c r="K32">
        <v>8905202269250</v>
      </c>
      <c r="L32" t="s">
        <v>140</v>
      </c>
      <c r="M32" t="s">
        <v>61</v>
      </c>
      <c r="N32">
        <v>1995</v>
      </c>
      <c r="O32">
        <v>1995</v>
      </c>
      <c r="P32">
        <v>1</v>
      </c>
      <c r="Q32">
        <v>1995</v>
      </c>
      <c r="R32">
        <v>798</v>
      </c>
      <c r="S32">
        <v>0</v>
      </c>
      <c r="T32">
        <v>1197</v>
      </c>
      <c r="U32" t="s">
        <v>39</v>
      </c>
    </row>
    <row r="33" spans="1:21" ht="19" x14ac:dyDescent="0.25">
      <c r="A33" t="s">
        <v>575</v>
      </c>
      <c r="B33" t="s">
        <v>978</v>
      </c>
      <c r="C33" t="s">
        <v>987</v>
      </c>
      <c r="D33" t="s">
        <v>23</v>
      </c>
      <c r="E33" t="s">
        <v>24</v>
      </c>
      <c r="F33" t="s">
        <v>25</v>
      </c>
      <c r="G33" t="s">
        <v>26</v>
      </c>
      <c r="H33" s="14" t="str">
        <f t="shared" si="0"/>
        <v>Jun</v>
      </c>
      <c r="I33" s="15">
        <v>8905202264705</v>
      </c>
      <c r="J33" t="s">
        <v>438</v>
      </c>
      <c r="K33" t="s">
        <v>437</v>
      </c>
      <c r="L33" t="s">
        <v>436</v>
      </c>
      <c r="M33" t="s">
        <v>30</v>
      </c>
      <c r="N33">
        <v>3495</v>
      </c>
      <c r="O33">
        <v>3495</v>
      </c>
      <c r="P33">
        <v>1</v>
      </c>
      <c r="Q33">
        <v>3495</v>
      </c>
      <c r="R33">
        <v>1398</v>
      </c>
      <c r="S33">
        <v>0</v>
      </c>
      <c r="T33">
        <v>2097</v>
      </c>
      <c r="U33" t="s">
        <v>45</v>
      </c>
    </row>
    <row r="34" spans="1:21" ht="19" x14ac:dyDescent="0.25">
      <c r="A34" t="s">
        <v>575</v>
      </c>
      <c r="B34" t="s">
        <v>978</v>
      </c>
      <c r="C34" t="s">
        <v>987</v>
      </c>
      <c r="D34" t="s">
        <v>23</v>
      </c>
      <c r="E34" t="s">
        <v>24</v>
      </c>
      <c r="F34" t="s">
        <v>25</v>
      </c>
      <c r="G34" t="s">
        <v>26</v>
      </c>
      <c r="H34" s="14" t="str">
        <f t="shared" si="0"/>
        <v>Jun</v>
      </c>
      <c r="I34" s="15">
        <v>8905202264712</v>
      </c>
      <c r="J34" t="s">
        <v>670</v>
      </c>
      <c r="K34" t="s">
        <v>671</v>
      </c>
      <c r="L34" t="s">
        <v>29</v>
      </c>
      <c r="M34" t="s">
        <v>30</v>
      </c>
      <c r="N34">
        <v>3495</v>
      </c>
      <c r="O34">
        <v>3495</v>
      </c>
      <c r="P34">
        <v>1</v>
      </c>
      <c r="Q34">
        <v>3495</v>
      </c>
      <c r="R34">
        <v>1398</v>
      </c>
      <c r="S34">
        <v>0</v>
      </c>
      <c r="T34">
        <v>2097</v>
      </c>
      <c r="U34" t="s">
        <v>45</v>
      </c>
    </row>
    <row r="35" spans="1:21" ht="19" x14ac:dyDescent="0.25">
      <c r="A35" t="s">
        <v>575</v>
      </c>
      <c r="B35" t="s">
        <v>978</v>
      </c>
      <c r="C35" t="s">
        <v>135</v>
      </c>
      <c r="D35" t="s">
        <v>23</v>
      </c>
      <c r="E35" t="s">
        <v>24</v>
      </c>
      <c r="F35" t="s">
        <v>25</v>
      </c>
      <c r="G35" t="s">
        <v>26</v>
      </c>
      <c r="H35" s="14" t="str">
        <f t="shared" si="0"/>
        <v>Jun</v>
      </c>
      <c r="I35" s="15">
        <v>8905202264866</v>
      </c>
      <c r="J35" t="s">
        <v>147</v>
      </c>
      <c r="K35" t="s">
        <v>148</v>
      </c>
      <c r="L35" t="s">
        <v>149</v>
      </c>
      <c r="M35" t="s">
        <v>38</v>
      </c>
      <c r="N35">
        <v>3995</v>
      </c>
      <c r="O35">
        <v>3995</v>
      </c>
      <c r="P35">
        <v>1</v>
      </c>
      <c r="Q35">
        <v>3995</v>
      </c>
      <c r="R35">
        <v>1598</v>
      </c>
      <c r="S35">
        <v>0</v>
      </c>
      <c r="T35">
        <v>2397</v>
      </c>
      <c r="U35" t="s">
        <v>45</v>
      </c>
    </row>
    <row r="36" spans="1:21" ht="19" x14ac:dyDescent="0.25">
      <c r="A36" t="s">
        <v>575</v>
      </c>
      <c r="B36" t="s">
        <v>978</v>
      </c>
      <c r="C36" t="s">
        <v>135</v>
      </c>
      <c r="D36" t="s">
        <v>23</v>
      </c>
      <c r="E36" t="s">
        <v>24</v>
      </c>
      <c r="F36" t="s">
        <v>25</v>
      </c>
      <c r="G36" t="s">
        <v>26</v>
      </c>
      <c r="H36" s="14" t="str">
        <f t="shared" si="0"/>
        <v>Jun</v>
      </c>
      <c r="I36" s="15">
        <v>8905202264910</v>
      </c>
      <c r="J36" t="s">
        <v>85</v>
      </c>
      <c r="K36" t="s">
        <v>86</v>
      </c>
      <c r="L36" t="s">
        <v>87</v>
      </c>
      <c r="M36" t="s">
        <v>38</v>
      </c>
      <c r="N36">
        <v>2995</v>
      </c>
      <c r="O36">
        <v>2995</v>
      </c>
      <c r="P36">
        <v>1</v>
      </c>
      <c r="Q36">
        <v>2995</v>
      </c>
      <c r="R36">
        <v>1198</v>
      </c>
      <c r="S36">
        <v>0</v>
      </c>
      <c r="T36">
        <v>1797</v>
      </c>
      <c r="U36" t="s">
        <v>45</v>
      </c>
    </row>
    <row r="37" spans="1:21" ht="19" x14ac:dyDescent="0.25">
      <c r="A37" t="s">
        <v>575</v>
      </c>
      <c r="B37" t="s">
        <v>978</v>
      </c>
      <c r="C37" t="s">
        <v>135</v>
      </c>
      <c r="D37" t="s">
        <v>23</v>
      </c>
      <c r="E37" t="s">
        <v>24</v>
      </c>
      <c r="F37" t="s">
        <v>25</v>
      </c>
      <c r="G37" t="s">
        <v>26</v>
      </c>
      <c r="H37" s="14" t="str">
        <f t="shared" si="0"/>
        <v>Jun</v>
      </c>
      <c r="I37" s="15">
        <v>8905202265023</v>
      </c>
      <c r="J37" t="s">
        <v>983</v>
      </c>
      <c r="K37">
        <v>8905202265023</v>
      </c>
      <c r="L37" t="s">
        <v>144</v>
      </c>
      <c r="M37" t="s">
        <v>44</v>
      </c>
      <c r="N37">
        <v>2995</v>
      </c>
      <c r="O37">
        <v>2995</v>
      </c>
      <c r="P37">
        <v>1</v>
      </c>
      <c r="Q37">
        <v>2995</v>
      </c>
      <c r="R37">
        <v>1198</v>
      </c>
      <c r="S37">
        <v>0</v>
      </c>
      <c r="T37">
        <v>1797</v>
      </c>
      <c r="U37" t="s">
        <v>45</v>
      </c>
    </row>
    <row r="38" spans="1:21" ht="19" x14ac:dyDescent="0.25">
      <c r="A38" t="s">
        <v>20</v>
      </c>
      <c r="B38" t="s">
        <v>988</v>
      </c>
      <c r="C38" t="s">
        <v>989</v>
      </c>
      <c r="D38" t="s">
        <v>23</v>
      </c>
      <c r="E38" t="s">
        <v>24</v>
      </c>
      <c r="F38" t="s">
        <v>25</v>
      </c>
      <c r="G38" t="s">
        <v>26</v>
      </c>
      <c r="H38" s="14" t="str">
        <f t="shared" si="0"/>
        <v>Jun</v>
      </c>
      <c r="I38" s="15">
        <v>8905302263373</v>
      </c>
      <c r="J38" t="s">
        <v>990</v>
      </c>
      <c r="K38" t="s">
        <v>991</v>
      </c>
      <c r="L38" t="s">
        <v>60</v>
      </c>
      <c r="M38" t="s">
        <v>61</v>
      </c>
      <c r="N38">
        <v>3999</v>
      </c>
      <c r="O38">
        <v>3999</v>
      </c>
      <c r="P38">
        <v>1</v>
      </c>
      <c r="Q38">
        <v>3999</v>
      </c>
      <c r="R38">
        <v>1599.6</v>
      </c>
      <c r="S38">
        <v>0</v>
      </c>
      <c r="T38">
        <v>2399.4</v>
      </c>
      <c r="U38" t="s">
        <v>50</v>
      </c>
    </row>
    <row r="39" spans="1:21" ht="19" x14ac:dyDescent="0.25">
      <c r="A39" t="s">
        <v>20</v>
      </c>
      <c r="B39" t="s">
        <v>988</v>
      </c>
      <c r="C39" t="s">
        <v>992</v>
      </c>
      <c r="D39" t="s">
        <v>23</v>
      </c>
      <c r="E39" t="s">
        <v>24</v>
      </c>
      <c r="F39" t="s">
        <v>25</v>
      </c>
      <c r="G39" t="s">
        <v>26</v>
      </c>
      <c r="H39" s="14" t="str">
        <f t="shared" si="0"/>
        <v>Jun</v>
      </c>
      <c r="I39" s="15">
        <v>8905302263374</v>
      </c>
      <c r="J39" t="s">
        <v>993</v>
      </c>
      <c r="K39" t="s">
        <v>994</v>
      </c>
      <c r="L39" t="s">
        <v>94</v>
      </c>
      <c r="M39" t="s">
        <v>44</v>
      </c>
      <c r="N39">
        <v>3999</v>
      </c>
      <c r="O39">
        <v>3999</v>
      </c>
      <c r="P39">
        <v>1</v>
      </c>
      <c r="Q39">
        <v>3999</v>
      </c>
      <c r="R39">
        <v>1599.6</v>
      </c>
      <c r="S39">
        <v>0</v>
      </c>
      <c r="T39">
        <v>2399.4</v>
      </c>
      <c r="U39" t="s">
        <v>55</v>
      </c>
    </row>
    <row r="40" spans="1:21" ht="19" x14ac:dyDescent="0.25">
      <c r="A40" t="s">
        <v>20</v>
      </c>
      <c r="B40" t="s">
        <v>988</v>
      </c>
      <c r="C40" t="s">
        <v>995</v>
      </c>
      <c r="D40" t="s">
        <v>23</v>
      </c>
      <c r="E40" t="s">
        <v>24</v>
      </c>
      <c r="F40" t="s">
        <v>25</v>
      </c>
      <c r="G40" t="s">
        <v>34</v>
      </c>
      <c r="H40" s="14" t="str">
        <f t="shared" si="0"/>
        <v>Jun</v>
      </c>
      <c r="I40" s="15">
        <v>8905302263284</v>
      </c>
      <c r="J40" t="s">
        <v>996</v>
      </c>
      <c r="K40" t="s">
        <v>997</v>
      </c>
      <c r="L40" t="s">
        <v>998</v>
      </c>
      <c r="M40" t="s">
        <v>54</v>
      </c>
      <c r="N40">
        <v>5999</v>
      </c>
      <c r="O40">
        <v>5999</v>
      </c>
      <c r="P40">
        <v>1</v>
      </c>
      <c r="Q40">
        <v>5999</v>
      </c>
      <c r="R40">
        <v>1199.8</v>
      </c>
      <c r="S40">
        <v>174.54</v>
      </c>
      <c r="T40">
        <v>4624.66</v>
      </c>
      <c r="U40" t="s">
        <v>259</v>
      </c>
    </row>
    <row r="41" spans="1:21" ht="19" x14ac:dyDescent="0.25">
      <c r="A41" t="s">
        <v>20</v>
      </c>
      <c r="B41" t="s">
        <v>988</v>
      </c>
      <c r="C41" t="s">
        <v>999</v>
      </c>
      <c r="D41" t="s">
        <v>23</v>
      </c>
      <c r="E41" t="s">
        <v>24</v>
      </c>
      <c r="F41" t="s">
        <v>25</v>
      </c>
      <c r="G41" t="s">
        <v>26</v>
      </c>
      <c r="H41" s="14" t="str">
        <f t="shared" si="0"/>
        <v>Jun</v>
      </c>
      <c r="I41" s="15">
        <v>8905302263380</v>
      </c>
      <c r="J41" t="s">
        <v>711</v>
      </c>
      <c r="K41" t="s">
        <v>712</v>
      </c>
      <c r="L41" t="s">
        <v>94</v>
      </c>
      <c r="M41" t="s">
        <v>44</v>
      </c>
      <c r="N41">
        <v>3999</v>
      </c>
      <c r="O41">
        <v>3999</v>
      </c>
      <c r="P41">
        <v>1</v>
      </c>
      <c r="Q41">
        <v>3999</v>
      </c>
      <c r="R41">
        <v>1599.6</v>
      </c>
      <c r="S41">
        <v>0</v>
      </c>
      <c r="T41">
        <v>2399.4</v>
      </c>
      <c r="U41" t="s">
        <v>45</v>
      </c>
    </row>
    <row r="42" spans="1:21" ht="19" x14ac:dyDescent="0.25">
      <c r="A42" t="s">
        <v>62</v>
      </c>
      <c r="B42" t="s">
        <v>988</v>
      </c>
      <c r="C42" t="s">
        <v>1000</v>
      </c>
      <c r="D42" t="s">
        <v>23</v>
      </c>
      <c r="E42" t="s">
        <v>24</v>
      </c>
      <c r="F42" t="s">
        <v>25</v>
      </c>
      <c r="G42" t="s">
        <v>26</v>
      </c>
      <c r="H42" s="14" t="str">
        <f t="shared" si="0"/>
        <v>Jun</v>
      </c>
      <c r="I42" s="15">
        <v>8905202264729</v>
      </c>
      <c r="J42" t="s">
        <v>28</v>
      </c>
      <c r="K42">
        <v>8905202264729</v>
      </c>
      <c r="L42" t="s">
        <v>29</v>
      </c>
      <c r="M42" t="s">
        <v>30</v>
      </c>
      <c r="N42">
        <v>2995</v>
      </c>
      <c r="O42">
        <v>2995</v>
      </c>
      <c r="P42">
        <v>1</v>
      </c>
      <c r="Q42">
        <v>2995</v>
      </c>
      <c r="R42">
        <v>1198</v>
      </c>
      <c r="S42">
        <v>0</v>
      </c>
      <c r="T42">
        <v>1797</v>
      </c>
      <c r="U42" t="s">
        <v>45</v>
      </c>
    </row>
    <row r="43" spans="1:21" ht="19" x14ac:dyDescent="0.25">
      <c r="A43" t="s">
        <v>62</v>
      </c>
      <c r="B43" t="s">
        <v>988</v>
      </c>
      <c r="C43" t="s">
        <v>1001</v>
      </c>
      <c r="D43" t="s">
        <v>23</v>
      </c>
      <c r="E43" t="s">
        <v>24</v>
      </c>
      <c r="F43" t="s">
        <v>25</v>
      </c>
      <c r="G43" t="s">
        <v>26</v>
      </c>
      <c r="H43" s="14" t="str">
        <f t="shared" si="0"/>
        <v>Jun</v>
      </c>
      <c r="I43" s="15">
        <v>8905202264729</v>
      </c>
      <c r="J43" t="s">
        <v>28</v>
      </c>
      <c r="K43">
        <v>8905202264729</v>
      </c>
      <c r="L43" t="s">
        <v>29</v>
      </c>
      <c r="M43" t="s">
        <v>30</v>
      </c>
      <c r="N43">
        <v>2995</v>
      </c>
      <c r="O43">
        <v>2995</v>
      </c>
      <c r="P43">
        <v>1</v>
      </c>
      <c r="Q43">
        <v>2995</v>
      </c>
      <c r="R43">
        <v>1198</v>
      </c>
      <c r="S43">
        <v>0</v>
      </c>
      <c r="T43">
        <v>1797</v>
      </c>
      <c r="U43" t="s">
        <v>45</v>
      </c>
    </row>
    <row r="44" spans="1:21" ht="19" x14ac:dyDescent="0.25">
      <c r="A44" t="s">
        <v>62</v>
      </c>
      <c r="B44" t="s">
        <v>988</v>
      </c>
      <c r="C44" t="s">
        <v>1002</v>
      </c>
      <c r="D44" t="s">
        <v>23</v>
      </c>
      <c r="E44" t="s">
        <v>24</v>
      </c>
      <c r="F44" t="s">
        <v>64</v>
      </c>
      <c r="G44" t="s">
        <v>65</v>
      </c>
      <c r="H44" s="14" t="str">
        <f t="shared" si="0"/>
        <v>Jun</v>
      </c>
      <c r="I44" s="15">
        <v>8905302263405</v>
      </c>
      <c r="J44" t="s">
        <v>1003</v>
      </c>
      <c r="K44" t="s">
        <v>1004</v>
      </c>
      <c r="L44" t="s">
        <v>1005</v>
      </c>
      <c r="M44" t="s">
        <v>61</v>
      </c>
      <c r="N44">
        <v>6999</v>
      </c>
      <c r="O44">
        <v>6999</v>
      </c>
      <c r="P44">
        <v>1</v>
      </c>
      <c r="Q44">
        <v>6999</v>
      </c>
      <c r="R44">
        <v>2099.6999999999998</v>
      </c>
      <c r="S44">
        <v>0</v>
      </c>
      <c r="T44">
        <v>4899.3</v>
      </c>
      <c r="U44" t="s">
        <v>1006</v>
      </c>
    </row>
    <row r="45" spans="1:21" ht="19" x14ac:dyDescent="0.25">
      <c r="A45" t="s">
        <v>62</v>
      </c>
      <c r="B45" t="s">
        <v>988</v>
      </c>
      <c r="C45" t="s">
        <v>1007</v>
      </c>
      <c r="D45" t="s">
        <v>23</v>
      </c>
      <c r="E45" t="s">
        <v>24</v>
      </c>
      <c r="F45" t="s">
        <v>25</v>
      </c>
      <c r="G45" t="s">
        <v>26</v>
      </c>
      <c r="H45" s="14" t="str">
        <f t="shared" si="0"/>
        <v>Jun</v>
      </c>
      <c r="I45" s="15">
        <v>8905302263379</v>
      </c>
      <c r="J45" t="s">
        <v>737</v>
      </c>
      <c r="K45" t="s">
        <v>738</v>
      </c>
      <c r="L45" t="s">
        <v>60</v>
      </c>
      <c r="M45" t="s">
        <v>61</v>
      </c>
      <c r="N45">
        <v>3999</v>
      </c>
      <c r="O45">
        <v>3999</v>
      </c>
      <c r="P45">
        <v>1</v>
      </c>
      <c r="Q45">
        <v>3999</v>
      </c>
      <c r="R45">
        <v>1599.6</v>
      </c>
      <c r="S45">
        <v>0</v>
      </c>
      <c r="T45">
        <v>2399.4</v>
      </c>
      <c r="U45" t="s">
        <v>45</v>
      </c>
    </row>
    <row r="46" spans="1:21" ht="19" x14ac:dyDescent="0.25">
      <c r="A46" t="s">
        <v>575</v>
      </c>
      <c r="B46" t="s">
        <v>988</v>
      </c>
      <c r="C46" t="s">
        <v>1008</v>
      </c>
      <c r="D46" t="s">
        <v>23</v>
      </c>
      <c r="E46" t="s">
        <v>24</v>
      </c>
      <c r="F46" t="s">
        <v>25</v>
      </c>
      <c r="G46" t="s">
        <v>34</v>
      </c>
      <c r="H46" s="14" t="str">
        <f t="shared" si="0"/>
        <v>Jun</v>
      </c>
      <c r="I46" s="15">
        <v>8905302263350</v>
      </c>
      <c r="J46" t="s">
        <v>1009</v>
      </c>
      <c r="K46" t="s">
        <v>1010</v>
      </c>
      <c r="L46" t="s">
        <v>736</v>
      </c>
      <c r="M46" t="s">
        <v>54</v>
      </c>
      <c r="N46">
        <v>5999</v>
      </c>
      <c r="O46">
        <v>5999</v>
      </c>
      <c r="P46">
        <v>1</v>
      </c>
      <c r="Q46">
        <v>5999</v>
      </c>
      <c r="R46">
        <v>0</v>
      </c>
      <c r="S46">
        <v>0</v>
      </c>
      <c r="T46">
        <v>5999</v>
      </c>
      <c r="U46" t="s">
        <v>55</v>
      </c>
    </row>
    <row r="47" spans="1:21" ht="19" x14ac:dyDescent="0.25">
      <c r="A47" t="s">
        <v>575</v>
      </c>
      <c r="B47" t="s">
        <v>988</v>
      </c>
      <c r="C47" t="s">
        <v>1008</v>
      </c>
      <c r="D47" t="s">
        <v>23</v>
      </c>
      <c r="E47" t="s">
        <v>24</v>
      </c>
      <c r="F47" t="s">
        <v>25</v>
      </c>
      <c r="G47" t="s">
        <v>34</v>
      </c>
      <c r="H47" s="14" t="str">
        <f t="shared" si="0"/>
        <v>Jun</v>
      </c>
      <c r="I47" s="15">
        <v>8905302263389</v>
      </c>
      <c r="J47" t="s">
        <v>1011</v>
      </c>
      <c r="K47" t="s">
        <v>1012</v>
      </c>
      <c r="L47" t="s">
        <v>667</v>
      </c>
      <c r="M47" t="s">
        <v>54</v>
      </c>
      <c r="N47">
        <v>4999</v>
      </c>
      <c r="O47">
        <v>4999</v>
      </c>
      <c r="P47">
        <v>1</v>
      </c>
      <c r="Q47">
        <v>4999</v>
      </c>
      <c r="R47">
        <v>999.8</v>
      </c>
      <c r="S47">
        <v>0</v>
      </c>
      <c r="T47">
        <v>3999.2</v>
      </c>
      <c r="U47" t="s">
        <v>55</v>
      </c>
    </row>
    <row r="48" spans="1:21" ht="19" x14ac:dyDescent="0.25">
      <c r="A48" t="s">
        <v>575</v>
      </c>
      <c r="B48" t="s">
        <v>988</v>
      </c>
      <c r="C48" t="s">
        <v>1013</v>
      </c>
      <c r="D48" t="s">
        <v>23</v>
      </c>
      <c r="E48" t="s">
        <v>24</v>
      </c>
      <c r="F48" t="s">
        <v>25</v>
      </c>
      <c r="G48" t="s">
        <v>34</v>
      </c>
      <c r="H48" s="14" t="str">
        <f t="shared" si="0"/>
        <v>Jun</v>
      </c>
      <c r="I48" s="15">
        <v>8905302263330</v>
      </c>
      <c r="J48" t="s">
        <v>706</v>
      </c>
      <c r="K48" t="s">
        <v>707</v>
      </c>
      <c r="L48" t="s">
        <v>708</v>
      </c>
      <c r="M48" t="s">
        <v>44</v>
      </c>
      <c r="N48">
        <v>4999</v>
      </c>
      <c r="O48">
        <v>4999</v>
      </c>
      <c r="P48">
        <v>1</v>
      </c>
      <c r="Q48">
        <v>4999</v>
      </c>
      <c r="R48">
        <v>999.8</v>
      </c>
      <c r="S48">
        <v>0</v>
      </c>
      <c r="T48">
        <v>3999.2</v>
      </c>
      <c r="U48" t="s">
        <v>55</v>
      </c>
    </row>
    <row r="49" spans="1:21" ht="19" x14ac:dyDescent="0.25">
      <c r="A49" t="s">
        <v>575</v>
      </c>
      <c r="B49" t="s">
        <v>988</v>
      </c>
      <c r="C49" t="s">
        <v>135</v>
      </c>
      <c r="D49" t="s">
        <v>23</v>
      </c>
      <c r="E49" t="s">
        <v>24</v>
      </c>
      <c r="F49" t="s">
        <v>64</v>
      </c>
      <c r="G49" t="s">
        <v>65</v>
      </c>
      <c r="H49" s="14" t="str">
        <f t="shared" si="0"/>
        <v>Jun</v>
      </c>
      <c r="I49" s="15">
        <v>8905302263364</v>
      </c>
      <c r="J49" t="s">
        <v>900</v>
      </c>
      <c r="K49" t="s">
        <v>901</v>
      </c>
      <c r="L49" t="s">
        <v>694</v>
      </c>
      <c r="M49" t="s">
        <v>38</v>
      </c>
      <c r="N49">
        <v>7999</v>
      </c>
      <c r="O49">
        <v>7999</v>
      </c>
      <c r="P49">
        <v>1</v>
      </c>
      <c r="Q49">
        <v>7999</v>
      </c>
      <c r="R49">
        <v>2399.6999999999998</v>
      </c>
      <c r="S49">
        <v>0</v>
      </c>
      <c r="T49">
        <v>5599.3</v>
      </c>
      <c r="U49" t="s">
        <v>254</v>
      </c>
    </row>
    <row r="50" spans="1:21" ht="19" x14ac:dyDescent="0.25">
      <c r="A50" t="s">
        <v>20</v>
      </c>
      <c r="B50" t="s">
        <v>1014</v>
      </c>
      <c r="C50" t="s">
        <v>972</v>
      </c>
      <c r="D50" t="s">
        <v>23</v>
      </c>
      <c r="E50" t="s">
        <v>24</v>
      </c>
      <c r="F50" t="s">
        <v>64</v>
      </c>
      <c r="G50" t="s">
        <v>65</v>
      </c>
      <c r="H50" s="14" t="str">
        <f t="shared" si="0"/>
        <v>Jun</v>
      </c>
      <c r="I50" s="15">
        <v>8905302263393</v>
      </c>
      <c r="J50" t="s">
        <v>1015</v>
      </c>
      <c r="K50" t="s">
        <v>1016</v>
      </c>
      <c r="L50" t="s">
        <v>1017</v>
      </c>
      <c r="M50" t="s">
        <v>44</v>
      </c>
      <c r="N50">
        <v>6999</v>
      </c>
      <c r="O50">
        <v>6999</v>
      </c>
      <c r="P50">
        <v>1</v>
      </c>
      <c r="Q50">
        <v>6999</v>
      </c>
      <c r="R50">
        <v>2099.6999999999998</v>
      </c>
      <c r="S50">
        <v>0</v>
      </c>
      <c r="T50">
        <v>4899.3</v>
      </c>
      <c r="U50" t="s">
        <v>1018</v>
      </c>
    </row>
    <row r="51" spans="1:21" ht="19" x14ac:dyDescent="0.25">
      <c r="A51" t="s">
        <v>62</v>
      </c>
      <c r="B51" t="s">
        <v>1014</v>
      </c>
      <c r="C51" t="s">
        <v>1019</v>
      </c>
      <c r="D51" t="s">
        <v>23</v>
      </c>
      <c r="E51" t="s">
        <v>24</v>
      </c>
      <c r="F51" t="s">
        <v>64</v>
      </c>
      <c r="G51" t="s">
        <v>294</v>
      </c>
      <c r="H51" s="14" t="str">
        <f t="shared" si="0"/>
        <v>Jun</v>
      </c>
      <c r="I51" s="15">
        <v>8905302263218</v>
      </c>
      <c r="J51" t="s">
        <v>916</v>
      </c>
      <c r="K51" t="s">
        <v>917</v>
      </c>
      <c r="L51" t="s">
        <v>918</v>
      </c>
      <c r="M51" t="s">
        <v>84</v>
      </c>
      <c r="N51">
        <v>4999</v>
      </c>
      <c r="O51">
        <v>4999</v>
      </c>
      <c r="P51">
        <v>1</v>
      </c>
      <c r="Q51">
        <v>4999</v>
      </c>
      <c r="R51">
        <v>1999.6</v>
      </c>
      <c r="S51">
        <v>0</v>
      </c>
      <c r="T51">
        <v>2999.4</v>
      </c>
      <c r="U51" t="s">
        <v>50</v>
      </c>
    </row>
    <row r="52" spans="1:21" ht="19" x14ac:dyDescent="0.25">
      <c r="A52" t="s">
        <v>62</v>
      </c>
      <c r="B52" t="s">
        <v>1014</v>
      </c>
      <c r="C52" t="s">
        <v>1019</v>
      </c>
      <c r="D52" t="s">
        <v>23</v>
      </c>
      <c r="E52" t="s">
        <v>24</v>
      </c>
      <c r="F52" t="s">
        <v>64</v>
      </c>
      <c r="G52" t="s">
        <v>294</v>
      </c>
      <c r="H52" s="14" t="str">
        <f t="shared" si="0"/>
        <v>Jun</v>
      </c>
      <c r="I52" s="15">
        <v>8905302263223</v>
      </c>
      <c r="J52" t="s">
        <v>1020</v>
      </c>
      <c r="K52" t="s">
        <v>1021</v>
      </c>
      <c r="L52" t="s">
        <v>1022</v>
      </c>
      <c r="M52" t="s">
        <v>84</v>
      </c>
      <c r="N52">
        <v>4999</v>
      </c>
      <c r="O52">
        <v>4999</v>
      </c>
      <c r="P52">
        <v>1</v>
      </c>
      <c r="Q52">
        <v>4999</v>
      </c>
      <c r="R52">
        <v>1999.6</v>
      </c>
      <c r="S52">
        <v>0</v>
      </c>
      <c r="T52">
        <v>2999.4</v>
      </c>
      <c r="U52" t="s">
        <v>50</v>
      </c>
    </row>
    <row r="53" spans="1:21" ht="19" x14ac:dyDescent="0.25">
      <c r="A53" t="s">
        <v>62</v>
      </c>
      <c r="B53" t="s">
        <v>1014</v>
      </c>
      <c r="C53" t="s">
        <v>1023</v>
      </c>
      <c r="D53" t="s">
        <v>23</v>
      </c>
      <c r="E53" t="s">
        <v>24</v>
      </c>
      <c r="F53" t="s">
        <v>25</v>
      </c>
      <c r="G53" t="s">
        <v>26</v>
      </c>
      <c r="H53" s="14" t="str">
        <f t="shared" si="0"/>
        <v>Jun</v>
      </c>
      <c r="I53" s="15">
        <v>8905202264903</v>
      </c>
      <c r="J53" t="s">
        <v>1024</v>
      </c>
      <c r="K53" t="s">
        <v>1025</v>
      </c>
      <c r="L53" t="s">
        <v>1026</v>
      </c>
      <c r="M53" t="s">
        <v>84</v>
      </c>
      <c r="N53">
        <v>2995</v>
      </c>
      <c r="O53">
        <v>2995</v>
      </c>
      <c r="P53">
        <v>1</v>
      </c>
      <c r="Q53">
        <v>2995</v>
      </c>
      <c r="R53">
        <v>1198</v>
      </c>
      <c r="S53">
        <v>0</v>
      </c>
      <c r="T53">
        <v>1797</v>
      </c>
      <c r="U53" t="s">
        <v>50</v>
      </c>
    </row>
    <row r="54" spans="1:21" ht="19" x14ac:dyDescent="0.25">
      <c r="A54" t="s">
        <v>62</v>
      </c>
      <c r="B54" t="s">
        <v>1014</v>
      </c>
      <c r="C54" t="s">
        <v>1027</v>
      </c>
      <c r="D54" t="s">
        <v>23</v>
      </c>
      <c r="E54" t="s">
        <v>24</v>
      </c>
      <c r="F54" t="s">
        <v>25</v>
      </c>
      <c r="G54" t="s">
        <v>34</v>
      </c>
      <c r="H54" s="14" t="str">
        <f t="shared" si="0"/>
        <v>Jun</v>
      </c>
      <c r="I54" s="15">
        <v>8905302263295</v>
      </c>
      <c r="J54" t="s">
        <v>1028</v>
      </c>
      <c r="K54" t="s">
        <v>1029</v>
      </c>
      <c r="L54" t="s">
        <v>829</v>
      </c>
      <c r="M54" t="s">
        <v>61</v>
      </c>
      <c r="N54">
        <v>6999</v>
      </c>
      <c r="O54">
        <v>6999</v>
      </c>
      <c r="P54">
        <v>1</v>
      </c>
      <c r="Q54">
        <v>6999</v>
      </c>
      <c r="R54">
        <v>1399.8</v>
      </c>
      <c r="S54">
        <v>0</v>
      </c>
      <c r="T54">
        <v>5599.2</v>
      </c>
      <c r="U54" t="s">
        <v>55</v>
      </c>
    </row>
    <row r="55" spans="1:21" ht="19" x14ac:dyDescent="0.25">
      <c r="A55" t="s">
        <v>575</v>
      </c>
      <c r="B55" t="s">
        <v>1014</v>
      </c>
      <c r="C55" t="s">
        <v>1030</v>
      </c>
      <c r="D55" t="s">
        <v>23</v>
      </c>
      <c r="E55" t="s">
        <v>24</v>
      </c>
      <c r="F55" t="s">
        <v>25</v>
      </c>
      <c r="G55" t="s">
        <v>26</v>
      </c>
      <c r="H55" s="14" t="str">
        <f t="shared" si="0"/>
        <v>Jun</v>
      </c>
      <c r="I55" s="15">
        <v>8905202264705</v>
      </c>
      <c r="J55" t="s">
        <v>438</v>
      </c>
      <c r="K55" t="s">
        <v>437</v>
      </c>
      <c r="L55" t="s">
        <v>436</v>
      </c>
      <c r="M55" t="s">
        <v>30</v>
      </c>
      <c r="N55">
        <v>3495</v>
      </c>
      <c r="O55">
        <v>3495</v>
      </c>
      <c r="P55">
        <v>1</v>
      </c>
      <c r="Q55">
        <v>3495</v>
      </c>
      <c r="R55">
        <v>1398</v>
      </c>
      <c r="S55">
        <v>0</v>
      </c>
      <c r="T55">
        <v>2097</v>
      </c>
      <c r="U55" t="s">
        <v>259</v>
      </c>
    </row>
    <row r="56" spans="1:21" ht="19" x14ac:dyDescent="0.25">
      <c r="A56" t="s">
        <v>62</v>
      </c>
      <c r="B56" t="s">
        <v>1031</v>
      </c>
      <c r="C56" t="s">
        <v>1032</v>
      </c>
      <c r="D56" t="s">
        <v>23</v>
      </c>
      <c r="E56" t="s">
        <v>24</v>
      </c>
      <c r="F56" t="s">
        <v>25</v>
      </c>
      <c r="G56" t="s">
        <v>26</v>
      </c>
      <c r="H56" s="14" t="str">
        <f t="shared" si="0"/>
        <v>Jun</v>
      </c>
      <c r="I56" s="15">
        <v>8905202269106</v>
      </c>
      <c r="J56" t="s">
        <v>47</v>
      </c>
      <c r="K56" t="s">
        <v>48</v>
      </c>
      <c r="L56" t="s">
        <v>49</v>
      </c>
      <c r="M56" t="s">
        <v>38</v>
      </c>
      <c r="N56">
        <v>3495</v>
      </c>
      <c r="O56">
        <v>3495</v>
      </c>
      <c r="P56">
        <v>1</v>
      </c>
      <c r="Q56">
        <v>3495</v>
      </c>
      <c r="R56">
        <v>1398</v>
      </c>
      <c r="S56">
        <v>0</v>
      </c>
      <c r="T56">
        <v>2097</v>
      </c>
      <c r="U56" t="s">
        <v>45</v>
      </c>
    </row>
    <row r="57" spans="1:21" ht="19" x14ac:dyDescent="0.25">
      <c r="A57" t="s">
        <v>62</v>
      </c>
      <c r="B57" t="s">
        <v>1033</v>
      </c>
      <c r="C57" t="s">
        <v>1034</v>
      </c>
      <c r="D57" t="s">
        <v>23</v>
      </c>
      <c r="E57" t="s">
        <v>24</v>
      </c>
      <c r="F57" t="s">
        <v>25</v>
      </c>
      <c r="G57" t="s">
        <v>26</v>
      </c>
      <c r="H57" s="14" t="str">
        <f t="shared" si="0"/>
        <v>Jun</v>
      </c>
      <c r="I57" s="15">
        <v>8905202269298</v>
      </c>
      <c r="J57" t="s">
        <v>628</v>
      </c>
      <c r="K57">
        <v>8905202269298</v>
      </c>
      <c r="L57" t="s">
        <v>53</v>
      </c>
      <c r="M57" t="s">
        <v>54</v>
      </c>
      <c r="N57">
        <v>3495</v>
      </c>
      <c r="O57">
        <v>3495</v>
      </c>
      <c r="P57">
        <v>1</v>
      </c>
      <c r="Q57">
        <v>3495</v>
      </c>
      <c r="R57">
        <v>1398</v>
      </c>
      <c r="S57">
        <v>0</v>
      </c>
      <c r="T57">
        <v>2097</v>
      </c>
      <c r="U57" t="s">
        <v>449</v>
      </c>
    </row>
    <row r="58" spans="1:21" ht="19" x14ac:dyDescent="0.25">
      <c r="A58" t="s">
        <v>575</v>
      </c>
      <c r="B58" t="s">
        <v>1033</v>
      </c>
      <c r="C58" t="s">
        <v>1035</v>
      </c>
      <c r="D58" t="s">
        <v>23</v>
      </c>
      <c r="E58" t="s">
        <v>24</v>
      </c>
      <c r="F58" t="s">
        <v>25</v>
      </c>
      <c r="G58" t="s">
        <v>26</v>
      </c>
      <c r="H58" s="14" t="str">
        <f t="shared" si="0"/>
        <v>Jun</v>
      </c>
      <c r="I58" s="15">
        <v>8905202264729</v>
      </c>
      <c r="J58" t="s">
        <v>28</v>
      </c>
      <c r="K58">
        <v>8905202264729</v>
      </c>
      <c r="L58" t="s">
        <v>29</v>
      </c>
      <c r="M58" t="s">
        <v>30</v>
      </c>
      <c r="N58">
        <v>2995</v>
      </c>
      <c r="O58">
        <v>2995</v>
      </c>
      <c r="P58">
        <v>1</v>
      </c>
      <c r="Q58">
        <v>2995</v>
      </c>
      <c r="R58">
        <v>1198</v>
      </c>
      <c r="S58">
        <v>0</v>
      </c>
      <c r="T58">
        <v>1797</v>
      </c>
      <c r="U58" t="s">
        <v>55</v>
      </c>
    </row>
    <row r="59" spans="1:21" ht="19" x14ac:dyDescent="0.25">
      <c r="A59" t="s">
        <v>962</v>
      </c>
      <c r="B59" t="s">
        <v>1036</v>
      </c>
      <c r="C59" t="s">
        <v>1037</v>
      </c>
      <c r="D59" t="s">
        <v>23</v>
      </c>
      <c r="E59" t="s">
        <v>24</v>
      </c>
      <c r="F59" t="s">
        <v>25</v>
      </c>
      <c r="G59" t="s">
        <v>26</v>
      </c>
      <c r="H59" s="14" t="str">
        <f t="shared" si="0"/>
        <v>Jun</v>
      </c>
      <c r="I59" s="15">
        <v>8905202264842</v>
      </c>
      <c r="J59" t="s">
        <v>58</v>
      </c>
      <c r="K59" t="s">
        <v>59</v>
      </c>
      <c r="L59" t="s">
        <v>60</v>
      </c>
      <c r="M59" t="s">
        <v>61</v>
      </c>
      <c r="N59">
        <v>3995</v>
      </c>
      <c r="O59">
        <v>3995</v>
      </c>
      <c r="P59">
        <v>1</v>
      </c>
      <c r="Q59">
        <v>3995</v>
      </c>
      <c r="R59">
        <v>1598</v>
      </c>
      <c r="S59">
        <v>0</v>
      </c>
      <c r="T59">
        <v>2397</v>
      </c>
      <c r="U59" t="s">
        <v>31</v>
      </c>
    </row>
    <row r="60" spans="1:21" ht="19" x14ac:dyDescent="0.25">
      <c r="A60" t="s">
        <v>20</v>
      </c>
      <c r="B60" t="s">
        <v>1036</v>
      </c>
      <c r="C60" t="s">
        <v>1038</v>
      </c>
      <c r="D60" t="s">
        <v>23</v>
      </c>
      <c r="E60" t="s">
        <v>24</v>
      </c>
      <c r="F60" t="s">
        <v>25</v>
      </c>
      <c r="G60" t="s">
        <v>26</v>
      </c>
      <c r="H60" s="14" t="str">
        <f t="shared" si="0"/>
        <v>Jun</v>
      </c>
      <c r="I60" s="15">
        <v>8905202269397</v>
      </c>
      <c r="J60" t="s">
        <v>1039</v>
      </c>
      <c r="K60">
        <v>8905202269397</v>
      </c>
      <c r="L60" t="s">
        <v>53</v>
      </c>
      <c r="M60" t="s">
        <v>54</v>
      </c>
      <c r="N60">
        <v>4495</v>
      </c>
      <c r="O60">
        <v>4495</v>
      </c>
      <c r="P60">
        <v>1</v>
      </c>
      <c r="Q60">
        <v>4495</v>
      </c>
      <c r="R60">
        <v>1798</v>
      </c>
      <c r="S60">
        <v>0</v>
      </c>
      <c r="T60">
        <v>2697</v>
      </c>
      <c r="U60" t="s">
        <v>31</v>
      </c>
    </row>
    <row r="61" spans="1:21" ht="19" x14ac:dyDescent="0.25">
      <c r="A61" t="s">
        <v>62</v>
      </c>
      <c r="B61" t="s">
        <v>1036</v>
      </c>
      <c r="C61" t="s">
        <v>1040</v>
      </c>
      <c r="D61" t="s">
        <v>23</v>
      </c>
      <c r="E61" t="s">
        <v>24</v>
      </c>
      <c r="F61" t="s">
        <v>64</v>
      </c>
      <c r="G61" t="s">
        <v>65</v>
      </c>
      <c r="H61" s="14" t="str">
        <f t="shared" si="0"/>
        <v>Jun</v>
      </c>
      <c r="I61" s="15">
        <v>8905302263399</v>
      </c>
      <c r="J61" t="s">
        <v>1041</v>
      </c>
      <c r="K61" t="s">
        <v>1042</v>
      </c>
      <c r="L61" t="s">
        <v>1043</v>
      </c>
      <c r="M61" t="s">
        <v>54</v>
      </c>
      <c r="N61">
        <v>7999</v>
      </c>
      <c r="O61">
        <v>7999</v>
      </c>
      <c r="P61">
        <v>1</v>
      </c>
      <c r="Q61">
        <v>7999</v>
      </c>
      <c r="R61">
        <v>2399.6999999999998</v>
      </c>
      <c r="S61">
        <v>0</v>
      </c>
      <c r="T61">
        <v>5599.3</v>
      </c>
      <c r="U61" t="s">
        <v>45</v>
      </c>
    </row>
    <row r="62" spans="1:21" ht="19" x14ac:dyDescent="0.25">
      <c r="A62" t="s">
        <v>20</v>
      </c>
      <c r="B62" t="s">
        <v>1044</v>
      </c>
      <c r="C62" t="s">
        <v>1045</v>
      </c>
      <c r="D62" t="s">
        <v>23</v>
      </c>
      <c r="E62" t="s">
        <v>24</v>
      </c>
      <c r="F62" t="s">
        <v>25</v>
      </c>
      <c r="G62" t="s">
        <v>26</v>
      </c>
      <c r="H62" s="14" t="str">
        <f t="shared" si="0"/>
        <v>Jun</v>
      </c>
      <c r="I62" s="15">
        <v>8905302263379</v>
      </c>
      <c r="J62" t="s">
        <v>737</v>
      </c>
      <c r="K62" t="s">
        <v>738</v>
      </c>
      <c r="L62" t="s">
        <v>60</v>
      </c>
      <c r="M62" t="s">
        <v>61</v>
      </c>
      <c r="N62">
        <v>3999</v>
      </c>
      <c r="O62">
        <v>3999</v>
      </c>
      <c r="P62">
        <v>1</v>
      </c>
      <c r="Q62">
        <v>3999</v>
      </c>
      <c r="R62">
        <v>1599.6</v>
      </c>
      <c r="S62">
        <v>479.88</v>
      </c>
      <c r="T62">
        <v>1919.52</v>
      </c>
      <c r="U62" t="s">
        <v>31</v>
      </c>
    </row>
    <row r="63" spans="1:21" ht="19" x14ac:dyDescent="0.25">
      <c r="A63" t="s">
        <v>20</v>
      </c>
      <c r="B63" t="s">
        <v>1044</v>
      </c>
      <c r="C63" t="s">
        <v>135</v>
      </c>
      <c r="D63" t="s">
        <v>23</v>
      </c>
      <c r="E63" t="s">
        <v>24</v>
      </c>
      <c r="F63" t="s">
        <v>64</v>
      </c>
      <c r="G63" t="s">
        <v>65</v>
      </c>
      <c r="H63" s="14" t="str">
        <f t="shared" si="0"/>
        <v>Jun</v>
      </c>
      <c r="I63" s="15">
        <v>8905302263392</v>
      </c>
      <c r="J63" t="s">
        <v>1046</v>
      </c>
      <c r="K63" t="s">
        <v>1047</v>
      </c>
      <c r="L63" t="s">
        <v>601</v>
      </c>
      <c r="M63" t="s">
        <v>61</v>
      </c>
      <c r="N63">
        <v>6999</v>
      </c>
      <c r="O63">
        <v>6999</v>
      </c>
      <c r="P63">
        <v>1</v>
      </c>
      <c r="Q63">
        <v>6999</v>
      </c>
      <c r="R63">
        <v>2099.6999999999998</v>
      </c>
      <c r="S63">
        <v>0</v>
      </c>
      <c r="T63">
        <v>4899.3</v>
      </c>
      <c r="U63" t="s">
        <v>31</v>
      </c>
    </row>
    <row r="64" spans="1:21" ht="19" x14ac:dyDescent="0.25">
      <c r="A64" t="s">
        <v>20</v>
      </c>
      <c r="B64" t="s">
        <v>1044</v>
      </c>
      <c r="C64" t="s">
        <v>135</v>
      </c>
      <c r="D64" t="s">
        <v>23</v>
      </c>
      <c r="E64" t="s">
        <v>24</v>
      </c>
      <c r="F64" t="s">
        <v>64</v>
      </c>
      <c r="G64" t="s">
        <v>65</v>
      </c>
      <c r="H64" s="14" t="str">
        <f t="shared" si="0"/>
        <v>Jun</v>
      </c>
      <c r="I64" s="15">
        <v>8905302263399</v>
      </c>
      <c r="J64" t="s">
        <v>1041</v>
      </c>
      <c r="K64" t="s">
        <v>1042</v>
      </c>
      <c r="L64" t="s">
        <v>1043</v>
      </c>
      <c r="M64" t="s">
        <v>54</v>
      </c>
      <c r="N64">
        <v>7999</v>
      </c>
      <c r="O64">
        <v>7999</v>
      </c>
      <c r="P64">
        <v>1</v>
      </c>
      <c r="Q64">
        <v>7999</v>
      </c>
      <c r="R64">
        <v>2399.6999999999998</v>
      </c>
      <c r="S64">
        <v>0</v>
      </c>
      <c r="T64">
        <v>5599.3</v>
      </c>
      <c r="U64" t="s">
        <v>45</v>
      </c>
    </row>
    <row r="65" spans="1:21" ht="19" x14ac:dyDescent="0.25">
      <c r="A65" t="s">
        <v>62</v>
      </c>
      <c r="B65" t="s">
        <v>1044</v>
      </c>
      <c r="C65" t="s">
        <v>1048</v>
      </c>
      <c r="D65" t="s">
        <v>23</v>
      </c>
      <c r="E65" t="s">
        <v>24</v>
      </c>
      <c r="F65" t="s">
        <v>64</v>
      </c>
      <c r="G65" t="s">
        <v>65</v>
      </c>
      <c r="H65" s="14" t="str">
        <f t="shared" si="0"/>
        <v>Jun</v>
      </c>
      <c r="I65" s="15">
        <v>8905302263318</v>
      </c>
      <c r="J65" t="s">
        <v>1049</v>
      </c>
      <c r="K65" t="s">
        <v>1050</v>
      </c>
      <c r="L65" t="s">
        <v>604</v>
      </c>
      <c r="M65" t="s">
        <v>61</v>
      </c>
      <c r="N65">
        <v>6999</v>
      </c>
      <c r="O65">
        <v>6999</v>
      </c>
      <c r="P65">
        <v>1</v>
      </c>
      <c r="Q65">
        <v>6999</v>
      </c>
      <c r="R65">
        <v>2099.6999999999998</v>
      </c>
      <c r="S65">
        <v>0</v>
      </c>
      <c r="T65">
        <v>4899.3</v>
      </c>
      <c r="U65" t="s">
        <v>45</v>
      </c>
    </row>
    <row r="66" spans="1:21" ht="19" x14ac:dyDescent="0.25">
      <c r="A66" t="s">
        <v>62</v>
      </c>
      <c r="B66" t="s">
        <v>1044</v>
      </c>
      <c r="C66" t="s">
        <v>1048</v>
      </c>
      <c r="D66" t="s">
        <v>23</v>
      </c>
      <c r="E66" t="s">
        <v>24</v>
      </c>
      <c r="F66" t="s">
        <v>25</v>
      </c>
      <c r="G66" t="s">
        <v>34</v>
      </c>
      <c r="H66" s="14" t="str">
        <f t="shared" ref="H66:H129" si="1">TEXT(DATE(RIGHT(B66,4),MID(B66,4,2),LEFT(B66,2)),"mmm")</f>
        <v>Jun</v>
      </c>
      <c r="I66" s="15">
        <v>8905302263241</v>
      </c>
      <c r="J66" t="s">
        <v>1051</v>
      </c>
      <c r="K66" t="s">
        <v>1052</v>
      </c>
      <c r="L66" t="s">
        <v>829</v>
      </c>
      <c r="M66" t="s">
        <v>61</v>
      </c>
      <c r="N66">
        <v>5999</v>
      </c>
      <c r="O66">
        <v>5999</v>
      </c>
      <c r="P66">
        <v>1</v>
      </c>
      <c r="Q66">
        <v>5999</v>
      </c>
      <c r="R66">
        <v>1199.8</v>
      </c>
      <c r="S66">
        <v>0</v>
      </c>
      <c r="T66">
        <v>4799.2</v>
      </c>
      <c r="U66" t="s">
        <v>45</v>
      </c>
    </row>
    <row r="67" spans="1:21" ht="19" x14ac:dyDescent="0.25">
      <c r="A67" t="s">
        <v>62</v>
      </c>
      <c r="B67" t="s">
        <v>1044</v>
      </c>
      <c r="C67" t="s">
        <v>1053</v>
      </c>
      <c r="D67" t="s">
        <v>23</v>
      </c>
      <c r="E67" t="s">
        <v>24</v>
      </c>
      <c r="F67" t="s">
        <v>25</v>
      </c>
      <c r="G67" t="s">
        <v>26</v>
      </c>
      <c r="H67" s="14" t="str">
        <f t="shared" si="1"/>
        <v>Jun</v>
      </c>
      <c r="I67" s="15">
        <v>8905302263383</v>
      </c>
      <c r="J67" t="s">
        <v>976</v>
      </c>
      <c r="K67" t="s">
        <v>977</v>
      </c>
      <c r="L67" t="s">
        <v>123</v>
      </c>
      <c r="M67" t="s">
        <v>44</v>
      </c>
      <c r="N67">
        <v>3999</v>
      </c>
      <c r="O67">
        <v>3999</v>
      </c>
      <c r="P67">
        <v>1</v>
      </c>
      <c r="Q67">
        <v>3999</v>
      </c>
      <c r="R67">
        <v>1599.6</v>
      </c>
      <c r="S67">
        <v>0</v>
      </c>
      <c r="T67">
        <v>2399.4</v>
      </c>
      <c r="U67" t="s">
        <v>50</v>
      </c>
    </row>
    <row r="68" spans="1:21" ht="19" x14ac:dyDescent="0.25">
      <c r="A68" t="s">
        <v>62</v>
      </c>
      <c r="B68" t="s">
        <v>1044</v>
      </c>
      <c r="C68" t="s">
        <v>1054</v>
      </c>
      <c r="D68" t="s">
        <v>23</v>
      </c>
      <c r="E68" t="s">
        <v>24</v>
      </c>
      <c r="F68" t="s">
        <v>64</v>
      </c>
      <c r="G68" t="s">
        <v>65</v>
      </c>
      <c r="H68" s="14" t="str">
        <f t="shared" si="1"/>
        <v>Jun</v>
      </c>
      <c r="I68" s="15">
        <v>8905302263200</v>
      </c>
      <c r="J68" t="s">
        <v>584</v>
      </c>
      <c r="K68" t="s">
        <v>585</v>
      </c>
      <c r="L68" t="s">
        <v>586</v>
      </c>
      <c r="M68" t="s">
        <v>38</v>
      </c>
      <c r="N68">
        <v>6999</v>
      </c>
      <c r="O68">
        <v>6999</v>
      </c>
      <c r="P68">
        <v>1</v>
      </c>
      <c r="Q68">
        <v>6999</v>
      </c>
      <c r="R68">
        <v>2099.6999999999998</v>
      </c>
      <c r="S68">
        <v>0</v>
      </c>
      <c r="T68">
        <v>4899.3</v>
      </c>
      <c r="U68" t="s">
        <v>45</v>
      </c>
    </row>
    <row r="69" spans="1:21" ht="19" x14ac:dyDescent="0.25">
      <c r="A69" t="s">
        <v>62</v>
      </c>
      <c r="B69" t="s">
        <v>1044</v>
      </c>
      <c r="C69" t="s">
        <v>1054</v>
      </c>
      <c r="D69" t="s">
        <v>23</v>
      </c>
      <c r="E69" t="s">
        <v>24</v>
      </c>
      <c r="F69" t="s">
        <v>25</v>
      </c>
      <c r="G69" t="s">
        <v>26</v>
      </c>
      <c r="H69" s="14" t="str">
        <f t="shared" si="1"/>
        <v>Jun</v>
      </c>
      <c r="I69" s="15">
        <v>8905202264743</v>
      </c>
      <c r="J69" t="s">
        <v>221</v>
      </c>
      <c r="K69" t="s">
        <v>222</v>
      </c>
      <c r="L69" t="s">
        <v>191</v>
      </c>
      <c r="M69" t="s">
        <v>61</v>
      </c>
      <c r="N69">
        <v>2495</v>
      </c>
      <c r="O69">
        <v>2495</v>
      </c>
      <c r="P69">
        <v>1</v>
      </c>
      <c r="Q69">
        <v>2495</v>
      </c>
      <c r="R69">
        <v>998</v>
      </c>
      <c r="S69">
        <v>0</v>
      </c>
      <c r="T69">
        <v>1497</v>
      </c>
      <c r="U69" t="s">
        <v>45</v>
      </c>
    </row>
    <row r="70" spans="1:21" ht="19" x14ac:dyDescent="0.25">
      <c r="A70" t="s">
        <v>62</v>
      </c>
      <c r="B70" t="s">
        <v>1044</v>
      </c>
      <c r="C70" t="s">
        <v>1055</v>
      </c>
      <c r="D70" t="s">
        <v>23</v>
      </c>
      <c r="E70" t="s">
        <v>136</v>
      </c>
      <c r="F70" t="s">
        <v>25</v>
      </c>
      <c r="G70" t="s">
        <v>26</v>
      </c>
      <c r="H70" s="14" t="str">
        <f t="shared" si="1"/>
        <v>Jun</v>
      </c>
      <c r="I70" s="15">
        <v>8905202268918</v>
      </c>
      <c r="J70" t="s">
        <v>287</v>
      </c>
      <c r="K70">
        <v>8905202268918</v>
      </c>
      <c r="L70" t="s">
        <v>288</v>
      </c>
      <c r="M70" t="s">
        <v>44</v>
      </c>
      <c r="N70">
        <v>1995</v>
      </c>
      <c r="O70">
        <v>1995</v>
      </c>
      <c r="P70">
        <v>1</v>
      </c>
      <c r="Q70">
        <v>1995</v>
      </c>
      <c r="R70">
        <v>798</v>
      </c>
      <c r="S70">
        <v>17.13</v>
      </c>
      <c r="T70">
        <v>1179.8699999999999</v>
      </c>
      <c r="U70" t="s">
        <v>45</v>
      </c>
    </row>
    <row r="71" spans="1:21" ht="19" x14ac:dyDescent="0.25">
      <c r="A71" t="s">
        <v>62</v>
      </c>
      <c r="B71" t="s">
        <v>1044</v>
      </c>
      <c r="C71" t="s">
        <v>1055</v>
      </c>
      <c r="D71" t="s">
        <v>23</v>
      </c>
      <c r="E71" t="s">
        <v>136</v>
      </c>
      <c r="F71" t="s">
        <v>25</v>
      </c>
      <c r="G71" t="s">
        <v>26</v>
      </c>
      <c r="H71" s="14" t="str">
        <f t="shared" si="1"/>
        <v>Jun</v>
      </c>
      <c r="I71" s="15">
        <v>8905202269267</v>
      </c>
      <c r="J71" t="s">
        <v>1056</v>
      </c>
      <c r="K71">
        <v>8905202269267</v>
      </c>
      <c r="L71" t="s">
        <v>1057</v>
      </c>
      <c r="M71" t="s">
        <v>44</v>
      </c>
      <c r="N71">
        <v>1995</v>
      </c>
      <c r="O71">
        <v>1995</v>
      </c>
      <c r="P71">
        <v>1</v>
      </c>
      <c r="Q71">
        <v>1995</v>
      </c>
      <c r="R71">
        <v>798</v>
      </c>
      <c r="S71">
        <v>17.13</v>
      </c>
      <c r="T71">
        <v>1179.8699999999999</v>
      </c>
      <c r="U71" t="s">
        <v>45</v>
      </c>
    </row>
    <row r="72" spans="1:21" ht="19" x14ac:dyDescent="0.25">
      <c r="A72" t="s">
        <v>62</v>
      </c>
      <c r="B72" t="s">
        <v>1044</v>
      </c>
      <c r="C72" t="s">
        <v>223</v>
      </c>
      <c r="D72" t="s">
        <v>23</v>
      </c>
      <c r="E72" t="s">
        <v>24</v>
      </c>
      <c r="F72" t="s">
        <v>25</v>
      </c>
      <c r="G72" t="s">
        <v>26</v>
      </c>
      <c r="H72" s="14" t="str">
        <f t="shared" si="1"/>
        <v>Jun</v>
      </c>
      <c r="I72" s="15">
        <v>8905202264606</v>
      </c>
      <c r="J72" t="s">
        <v>93</v>
      </c>
      <c r="K72">
        <v>8905202264606</v>
      </c>
      <c r="L72" t="s">
        <v>94</v>
      </c>
      <c r="M72" t="s">
        <v>44</v>
      </c>
      <c r="N72">
        <v>3495</v>
      </c>
      <c r="O72">
        <v>3495</v>
      </c>
      <c r="P72">
        <v>1</v>
      </c>
      <c r="Q72">
        <v>3495</v>
      </c>
      <c r="R72">
        <v>1398</v>
      </c>
      <c r="S72">
        <v>0</v>
      </c>
      <c r="T72">
        <v>2097</v>
      </c>
      <c r="U72" t="s">
        <v>50</v>
      </c>
    </row>
    <row r="73" spans="1:21" ht="19" x14ac:dyDescent="0.25">
      <c r="A73" t="s">
        <v>62</v>
      </c>
      <c r="B73" t="s">
        <v>1044</v>
      </c>
      <c r="C73" t="s">
        <v>223</v>
      </c>
      <c r="D73" t="s">
        <v>23</v>
      </c>
      <c r="E73" t="s">
        <v>24</v>
      </c>
      <c r="F73" t="s">
        <v>25</v>
      </c>
      <c r="G73" t="s">
        <v>26</v>
      </c>
      <c r="H73" s="14" t="str">
        <f t="shared" si="1"/>
        <v>Jun</v>
      </c>
      <c r="I73" s="15">
        <v>8905202264927</v>
      </c>
      <c r="J73" t="s">
        <v>232</v>
      </c>
      <c r="K73" t="s">
        <v>233</v>
      </c>
      <c r="L73" t="s">
        <v>123</v>
      </c>
      <c r="M73" t="s">
        <v>44</v>
      </c>
      <c r="N73">
        <v>2995</v>
      </c>
      <c r="O73">
        <v>2995</v>
      </c>
      <c r="P73">
        <v>1</v>
      </c>
      <c r="Q73">
        <v>2995</v>
      </c>
      <c r="R73">
        <v>1198</v>
      </c>
      <c r="S73">
        <v>0</v>
      </c>
      <c r="T73">
        <v>1797</v>
      </c>
      <c r="U73" t="s">
        <v>50</v>
      </c>
    </row>
    <row r="74" spans="1:21" ht="19" x14ac:dyDescent="0.25">
      <c r="A74" t="s">
        <v>962</v>
      </c>
      <c r="B74" t="s">
        <v>1058</v>
      </c>
      <c r="C74" t="s">
        <v>1059</v>
      </c>
      <c r="D74" t="s">
        <v>23</v>
      </c>
      <c r="E74" t="s">
        <v>24</v>
      </c>
      <c r="F74" t="s">
        <v>25</v>
      </c>
      <c r="G74" t="s">
        <v>34</v>
      </c>
      <c r="H74" s="14" t="str">
        <f t="shared" si="1"/>
        <v>Jun</v>
      </c>
      <c r="I74" s="15">
        <v>8905302263344</v>
      </c>
      <c r="J74" t="s">
        <v>734</v>
      </c>
      <c r="K74" t="s">
        <v>735</v>
      </c>
      <c r="L74" t="s">
        <v>736</v>
      </c>
      <c r="M74" t="s">
        <v>54</v>
      </c>
      <c r="N74">
        <v>5999</v>
      </c>
      <c r="O74">
        <v>5999</v>
      </c>
      <c r="P74">
        <v>1</v>
      </c>
      <c r="Q74">
        <v>5999</v>
      </c>
      <c r="R74">
        <v>1199.8</v>
      </c>
      <c r="S74">
        <v>0</v>
      </c>
      <c r="T74">
        <v>4799.2</v>
      </c>
      <c r="U74" t="s">
        <v>284</v>
      </c>
    </row>
    <row r="75" spans="1:21" ht="19" x14ac:dyDescent="0.25">
      <c r="A75" t="s">
        <v>962</v>
      </c>
      <c r="B75" t="s">
        <v>1058</v>
      </c>
      <c r="C75" t="s">
        <v>1060</v>
      </c>
      <c r="D75" t="s">
        <v>23</v>
      </c>
      <c r="E75" t="s">
        <v>24</v>
      </c>
      <c r="F75" t="s">
        <v>25</v>
      </c>
      <c r="G75" t="s">
        <v>34</v>
      </c>
      <c r="H75" s="14" t="str">
        <f t="shared" si="1"/>
        <v>Jun</v>
      </c>
      <c r="I75" s="15">
        <v>8905302263389</v>
      </c>
      <c r="J75" t="s">
        <v>1011</v>
      </c>
      <c r="K75" t="s">
        <v>1012</v>
      </c>
      <c r="L75" t="s">
        <v>667</v>
      </c>
      <c r="M75" t="s">
        <v>54</v>
      </c>
      <c r="N75">
        <v>4999</v>
      </c>
      <c r="O75">
        <v>4999</v>
      </c>
      <c r="P75">
        <v>1</v>
      </c>
      <c r="Q75">
        <v>4999</v>
      </c>
      <c r="R75">
        <v>999.8</v>
      </c>
      <c r="S75">
        <v>0</v>
      </c>
      <c r="T75">
        <v>3999.2</v>
      </c>
      <c r="U75" t="s">
        <v>55</v>
      </c>
    </row>
    <row r="76" spans="1:21" ht="19" x14ac:dyDescent="0.25">
      <c r="A76" t="s">
        <v>20</v>
      </c>
      <c r="B76" t="s">
        <v>1058</v>
      </c>
      <c r="C76" t="s">
        <v>1061</v>
      </c>
      <c r="D76" t="s">
        <v>23</v>
      </c>
      <c r="E76" t="s">
        <v>24</v>
      </c>
      <c r="F76" t="s">
        <v>64</v>
      </c>
      <c r="G76" t="s">
        <v>65</v>
      </c>
      <c r="H76" s="14" t="str">
        <f t="shared" si="1"/>
        <v>Jun</v>
      </c>
      <c r="I76" s="15">
        <v>8905302263357</v>
      </c>
      <c r="J76" t="s">
        <v>1062</v>
      </c>
      <c r="K76" t="s">
        <v>1063</v>
      </c>
      <c r="L76" t="s">
        <v>1064</v>
      </c>
      <c r="M76" t="s">
        <v>54</v>
      </c>
      <c r="N76">
        <v>7999</v>
      </c>
      <c r="O76">
        <v>7999</v>
      </c>
      <c r="P76">
        <v>1</v>
      </c>
      <c r="Q76">
        <v>7999</v>
      </c>
      <c r="R76">
        <v>2399.6999999999998</v>
      </c>
      <c r="S76">
        <v>112.14</v>
      </c>
      <c r="T76">
        <v>5487.16</v>
      </c>
      <c r="U76" t="s">
        <v>50</v>
      </c>
    </row>
    <row r="77" spans="1:21" ht="19" x14ac:dyDescent="0.25">
      <c r="A77" t="s">
        <v>20</v>
      </c>
      <c r="B77" t="s">
        <v>1058</v>
      </c>
      <c r="C77" t="s">
        <v>1061</v>
      </c>
      <c r="D77" t="s">
        <v>23</v>
      </c>
      <c r="E77" t="s">
        <v>24</v>
      </c>
      <c r="F77" t="s">
        <v>25</v>
      </c>
      <c r="G77" t="s">
        <v>34</v>
      </c>
      <c r="H77" s="14" t="str">
        <f t="shared" si="1"/>
        <v>Jun</v>
      </c>
      <c r="I77" s="15">
        <v>8905302263283</v>
      </c>
      <c r="J77" t="s">
        <v>1065</v>
      </c>
      <c r="K77" t="s">
        <v>1066</v>
      </c>
      <c r="L77" t="s">
        <v>802</v>
      </c>
      <c r="M77" t="s">
        <v>44</v>
      </c>
      <c r="N77">
        <v>5999</v>
      </c>
      <c r="O77">
        <v>5999</v>
      </c>
      <c r="P77">
        <v>1</v>
      </c>
      <c r="Q77">
        <v>5999</v>
      </c>
      <c r="R77">
        <v>1199.8</v>
      </c>
      <c r="S77">
        <v>96.11</v>
      </c>
      <c r="T77">
        <v>4703.09</v>
      </c>
      <c r="U77" t="s">
        <v>50</v>
      </c>
    </row>
    <row r="78" spans="1:21" ht="19" x14ac:dyDescent="0.25">
      <c r="A78" t="s">
        <v>20</v>
      </c>
      <c r="B78" t="s">
        <v>1058</v>
      </c>
      <c r="C78" t="s">
        <v>1067</v>
      </c>
      <c r="D78" t="s">
        <v>23</v>
      </c>
      <c r="E78" t="s">
        <v>24</v>
      </c>
      <c r="F78" t="s">
        <v>25</v>
      </c>
      <c r="G78" t="s">
        <v>34</v>
      </c>
      <c r="H78" s="14" t="str">
        <f t="shared" si="1"/>
        <v>Jun</v>
      </c>
      <c r="I78" s="15">
        <v>8905302263300</v>
      </c>
      <c r="J78" t="s">
        <v>1068</v>
      </c>
      <c r="K78" t="s">
        <v>1069</v>
      </c>
      <c r="L78" t="s">
        <v>1070</v>
      </c>
      <c r="M78" t="s">
        <v>61</v>
      </c>
      <c r="N78">
        <v>6999</v>
      </c>
      <c r="O78">
        <v>6999</v>
      </c>
      <c r="P78">
        <v>1</v>
      </c>
      <c r="Q78">
        <v>6999</v>
      </c>
      <c r="R78">
        <v>1399.8</v>
      </c>
      <c r="S78">
        <v>0</v>
      </c>
      <c r="T78">
        <v>5599.2</v>
      </c>
      <c r="U78" t="s">
        <v>31</v>
      </c>
    </row>
    <row r="79" spans="1:21" ht="19" x14ac:dyDescent="0.25">
      <c r="A79" t="s">
        <v>20</v>
      </c>
      <c r="B79" t="s">
        <v>1058</v>
      </c>
      <c r="C79" t="s">
        <v>1071</v>
      </c>
      <c r="D79" t="s">
        <v>23</v>
      </c>
      <c r="E79" t="s">
        <v>24</v>
      </c>
      <c r="F79" t="s">
        <v>25</v>
      </c>
      <c r="G79" t="s">
        <v>26</v>
      </c>
      <c r="H79" s="14" t="str">
        <f t="shared" si="1"/>
        <v>Jun</v>
      </c>
      <c r="I79" s="15">
        <v>8905202269090</v>
      </c>
      <c r="J79" t="s">
        <v>478</v>
      </c>
      <c r="K79" t="s">
        <v>477</v>
      </c>
      <c r="L79" t="s">
        <v>416</v>
      </c>
      <c r="M79" t="s">
        <v>54</v>
      </c>
      <c r="N79">
        <v>3495</v>
      </c>
      <c r="O79">
        <v>3495</v>
      </c>
      <c r="P79">
        <v>1</v>
      </c>
      <c r="Q79">
        <v>3495</v>
      </c>
      <c r="R79">
        <v>1398</v>
      </c>
      <c r="S79">
        <v>0</v>
      </c>
      <c r="T79">
        <v>2097</v>
      </c>
      <c r="U79" t="s">
        <v>45</v>
      </c>
    </row>
    <row r="80" spans="1:21" ht="19" x14ac:dyDescent="0.25">
      <c r="A80" t="s">
        <v>62</v>
      </c>
      <c r="B80" t="s">
        <v>1058</v>
      </c>
      <c r="C80" t="s">
        <v>1072</v>
      </c>
      <c r="D80" t="s">
        <v>23</v>
      </c>
      <c r="E80" t="s">
        <v>24</v>
      </c>
      <c r="F80" t="s">
        <v>25</v>
      </c>
      <c r="G80" t="s">
        <v>34</v>
      </c>
      <c r="H80" s="14" t="str">
        <f t="shared" si="1"/>
        <v>Jun</v>
      </c>
      <c r="I80" s="15">
        <v>8905302263239</v>
      </c>
      <c r="J80" t="s">
        <v>624</v>
      </c>
      <c r="K80" t="s">
        <v>625</v>
      </c>
      <c r="L80" t="s">
        <v>626</v>
      </c>
      <c r="M80" t="s">
        <v>38</v>
      </c>
      <c r="N80">
        <v>5999</v>
      </c>
      <c r="O80">
        <v>5999</v>
      </c>
      <c r="P80">
        <v>1</v>
      </c>
      <c r="Q80">
        <v>5999</v>
      </c>
      <c r="R80">
        <v>1199.8</v>
      </c>
      <c r="S80">
        <v>0</v>
      </c>
      <c r="T80">
        <v>4799.2</v>
      </c>
      <c r="U80" t="s">
        <v>45</v>
      </c>
    </row>
    <row r="81" spans="1:21" ht="19" x14ac:dyDescent="0.25">
      <c r="A81" t="s">
        <v>62</v>
      </c>
      <c r="B81" t="s">
        <v>1058</v>
      </c>
      <c r="C81" t="s">
        <v>1073</v>
      </c>
      <c r="D81" t="s">
        <v>23</v>
      </c>
      <c r="E81" t="s">
        <v>24</v>
      </c>
      <c r="F81" t="s">
        <v>25</v>
      </c>
      <c r="G81" t="s">
        <v>34</v>
      </c>
      <c r="H81" s="14" t="str">
        <f t="shared" si="1"/>
        <v>Jun</v>
      </c>
      <c r="I81" s="15">
        <v>8905302263254</v>
      </c>
      <c r="J81" t="s">
        <v>659</v>
      </c>
      <c r="K81" t="s">
        <v>660</v>
      </c>
      <c r="L81" t="s">
        <v>661</v>
      </c>
      <c r="M81" t="s">
        <v>61</v>
      </c>
      <c r="N81">
        <v>4999</v>
      </c>
      <c r="O81">
        <v>4999</v>
      </c>
      <c r="P81">
        <v>1</v>
      </c>
      <c r="Q81">
        <v>4999</v>
      </c>
      <c r="R81">
        <v>999.8</v>
      </c>
      <c r="S81">
        <v>0</v>
      </c>
      <c r="T81">
        <v>3999.2</v>
      </c>
      <c r="U81" t="s">
        <v>45</v>
      </c>
    </row>
    <row r="82" spans="1:21" ht="19" x14ac:dyDescent="0.25">
      <c r="A82" t="s">
        <v>62</v>
      </c>
      <c r="B82" t="s">
        <v>1058</v>
      </c>
      <c r="C82" t="s">
        <v>1074</v>
      </c>
      <c r="D82" t="s">
        <v>23</v>
      </c>
      <c r="E82" t="s">
        <v>24</v>
      </c>
      <c r="F82" t="s">
        <v>25</v>
      </c>
      <c r="G82" t="s">
        <v>26</v>
      </c>
      <c r="H82" s="14" t="str">
        <f t="shared" si="1"/>
        <v>Jun</v>
      </c>
      <c r="I82" s="15">
        <v>8905302263384</v>
      </c>
      <c r="J82" t="s">
        <v>1075</v>
      </c>
      <c r="K82" t="s">
        <v>1076</v>
      </c>
      <c r="L82" t="s">
        <v>87</v>
      </c>
      <c r="M82" t="s">
        <v>38</v>
      </c>
      <c r="N82">
        <v>3999</v>
      </c>
      <c r="O82">
        <v>3999</v>
      </c>
      <c r="P82">
        <v>1</v>
      </c>
      <c r="Q82">
        <v>3999</v>
      </c>
      <c r="R82">
        <v>1599.6</v>
      </c>
      <c r="S82">
        <v>0</v>
      </c>
      <c r="T82">
        <v>2399.4</v>
      </c>
      <c r="U82" t="s">
        <v>45</v>
      </c>
    </row>
    <row r="83" spans="1:21" ht="19" x14ac:dyDescent="0.25">
      <c r="A83" t="s">
        <v>62</v>
      </c>
      <c r="B83" t="s">
        <v>1058</v>
      </c>
      <c r="C83" t="s">
        <v>1077</v>
      </c>
      <c r="D83" t="s">
        <v>23</v>
      </c>
      <c r="E83" t="s">
        <v>24</v>
      </c>
      <c r="F83" t="s">
        <v>25</v>
      </c>
      <c r="G83" t="s">
        <v>26</v>
      </c>
      <c r="H83" s="14" t="str">
        <f t="shared" si="1"/>
        <v>Jun</v>
      </c>
      <c r="I83" s="15">
        <v>8905302263382</v>
      </c>
      <c r="J83" t="s">
        <v>853</v>
      </c>
      <c r="K83" t="s">
        <v>854</v>
      </c>
      <c r="L83" t="s">
        <v>184</v>
      </c>
      <c r="M83" t="s">
        <v>61</v>
      </c>
      <c r="N83">
        <v>3999</v>
      </c>
      <c r="O83">
        <v>3999</v>
      </c>
      <c r="P83">
        <v>1</v>
      </c>
      <c r="Q83">
        <v>3999</v>
      </c>
      <c r="R83">
        <v>1599.6</v>
      </c>
      <c r="S83">
        <v>0</v>
      </c>
      <c r="T83">
        <v>2399.4</v>
      </c>
      <c r="U83" t="s">
        <v>1078</v>
      </c>
    </row>
    <row r="84" spans="1:21" ht="19" x14ac:dyDescent="0.25">
      <c r="A84" t="s">
        <v>62</v>
      </c>
      <c r="B84" t="s">
        <v>1058</v>
      </c>
      <c r="C84" t="s">
        <v>1079</v>
      </c>
      <c r="D84" t="s">
        <v>23</v>
      </c>
      <c r="E84" t="s">
        <v>24</v>
      </c>
      <c r="F84" t="s">
        <v>25</v>
      </c>
      <c r="G84" t="s">
        <v>34</v>
      </c>
      <c r="H84" s="14" t="str">
        <f t="shared" si="1"/>
        <v>Jun</v>
      </c>
      <c r="I84" s="15">
        <v>8905302263256</v>
      </c>
      <c r="J84" t="s">
        <v>750</v>
      </c>
      <c r="K84" t="s">
        <v>751</v>
      </c>
      <c r="L84" t="s">
        <v>110</v>
      </c>
      <c r="M84" t="s">
        <v>61</v>
      </c>
      <c r="N84">
        <v>5999</v>
      </c>
      <c r="O84">
        <v>5999</v>
      </c>
      <c r="P84">
        <v>1</v>
      </c>
      <c r="Q84">
        <v>5999</v>
      </c>
      <c r="R84">
        <v>1199.8</v>
      </c>
      <c r="S84">
        <v>145.65</v>
      </c>
      <c r="T84">
        <v>4653.55</v>
      </c>
      <c r="U84" t="s">
        <v>1080</v>
      </c>
    </row>
    <row r="85" spans="1:21" ht="19" x14ac:dyDescent="0.25">
      <c r="A85" t="s">
        <v>575</v>
      </c>
      <c r="B85" t="s">
        <v>1058</v>
      </c>
      <c r="C85" t="s">
        <v>1081</v>
      </c>
      <c r="D85" t="s">
        <v>23</v>
      </c>
      <c r="E85" t="s">
        <v>24</v>
      </c>
      <c r="F85" t="s">
        <v>25</v>
      </c>
      <c r="G85" t="s">
        <v>26</v>
      </c>
      <c r="H85" s="14" t="str">
        <f t="shared" si="1"/>
        <v>Jun</v>
      </c>
      <c r="I85" s="15">
        <v>8905202269106</v>
      </c>
      <c r="J85" t="s">
        <v>47</v>
      </c>
      <c r="K85" t="s">
        <v>48</v>
      </c>
      <c r="L85" t="s">
        <v>49</v>
      </c>
      <c r="M85" t="s">
        <v>38</v>
      </c>
      <c r="N85">
        <v>3495</v>
      </c>
      <c r="O85">
        <v>3495</v>
      </c>
      <c r="P85">
        <v>1</v>
      </c>
      <c r="Q85">
        <v>3495</v>
      </c>
      <c r="R85">
        <v>1398</v>
      </c>
      <c r="S85">
        <v>0</v>
      </c>
      <c r="T85">
        <v>2097</v>
      </c>
      <c r="U85" t="s">
        <v>55</v>
      </c>
    </row>
    <row r="86" spans="1:21" ht="19" x14ac:dyDescent="0.25">
      <c r="A86" t="s">
        <v>20</v>
      </c>
      <c r="B86" t="s">
        <v>1082</v>
      </c>
      <c r="C86" t="s">
        <v>1083</v>
      </c>
      <c r="D86" t="s">
        <v>23</v>
      </c>
      <c r="E86" t="s">
        <v>24</v>
      </c>
      <c r="F86" t="s">
        <v>25</v>
      </c>
      <c r="G86" t="s">
        <v>26</v>
      </c>
      <c r="H86" s="14" t="str">
        <f t="shared" si="1"/>
        <v>Jun</v>
      </c>
      <c r="I86" s="15">
        <v>8905202264729</v>
      </c>
      <c r="J86" t="s">
        <v>28</v>
      </c>
      <c r="K86">
        <v>8905202264729</v>
      </c>
      <c r="L86" t="s">
        <v>29</v>
      </c>
      <c r="M86" t="s">
        <v>30</v>
      </c>
      <c r="N86">
        <v>2995</v>
      </c>
      <c r="O86">
        <v>2995</v>
      </c>
      <c r="P86">
        <v>1</v>
      </c>
      <c r="Q86">
        <v>2995</v>
      </c>
      <c r="R86">
        <v>1198</v>
      </c>
      <c r="S86">
        <v>0</v>
      </c>
      <c r="T86">
        <v>1797</v>
      </c>
      <c r="U86" t="s">
        <v>55</v>
      </c>
    </row>
    <row r="87" spans="1:21" ht="19" x14ac:dyDescent="0.25">
      <c r="A87" t="s">
        <v>20</v>
      </c>
      <c r="B87" t="s">
        <v>1082</v>
      </c>
      <c r="C87" t="s">
        <v>1083</v>
      </c>
      <c r="D87" t="s">
        <v>23</v>
      </c>
      <c r="E87" t="s">
        <v>24</v>
      </c>
      <c r="F87" t="s">
        <v>25</v>
      </c>
      <c r="G87" t="s">
        <v>26</v>
      </c>
      <c r="H87" s="14" t="str">
        <f t="shared" si="1"/>
        <v>Jun</v>
      </c>
      <c r="I87" s="15">
        <v>8905202269311</v>
      </c>
      <c r="J87" t="s">
        <v>1084</v>
      </c>
      <c r="K87" t="s">
        <v>1085</v>
      </c>
      <c r="L87" t="s">
        <v>251</v>
      </c>
      <c r="M87" t="s">
        <v>84</v>
      </c>
      <c r="N87">
        <v>3495</v>
      </c>
      <c r="O87">
        <v>3495</v>
      </c>
      <c r="P87">
        <v>1</v>
      </c>
      <c r="Q87">
        <v>3495</v>
      </c>
      <c r="R87">
        <v>1398</v>
      </c>
      <c r="S87">
        <v>0</v>
      </c>
      <c r="T87">
        <v>2097</v>
      </c>
      <c r="U87" t="s">
        <v>55</v>
      </c>
    </row>
    <row r="88" spans="1:21" ht="19" x14ac:dyDescent="0.25">
      <c r="A88" t="s">
        <v>20</v>
      </c>
      <c r="B88" t="s">
        <v>1082</v>
      </c>
      <c r="C88" t="s">
        <v>1086</v>
      </c>
      <c r="D88" t="s">
        <v>23</v>
      </c>
      <c r="E88" t="s">
        <v>24</v>
      </c>
      <c r="F88" t="s">
        <v>64</v>
      </c>
      <c r="G88" t="s">
        <v>65</v>
      </c>
      <c r="H88" s="14" t="str">
        <f t="shared" si="1"/>
        <v>Jun</v>
      </c>
      <c r="I88" s="15">
        <v>8905302263400</v>
      </c>
      <c r="J88" t="s">
        <v>919</v>
      </c>
      <c r="K88" t="s">
        <v>920</v>
      </c>
      <c r="L88" t="s">
        <v>921</v>
      </c>
      <c r="M88" t="s">
        <v>61</v>
      </c>
      <c r="N88">
        <v>7999</v>
      </c>
      <c r="O88">
        <v>7999</v>
      </c>
      <c r="P88">
        <v>1</v>
      </c>
      <c r="Q88">
        <v>7999</v>
      </c>
      <c r="R88">
        <v>2399.6999999999998</v>
      </c>
      <c r="S88">
        <v>0</v>
      </c>
      <c r="T88">
        <v>5599.3</v>
      </c>
      <c r="U88" t="s">
        <v>45</v>
      </c>
    </row>
    <row r="89" spans="1:21" ht="19" x14ac:dyDescent="0.25">
      <c r="A89" t="s">
        <v>20</v>
      </c>
      <c r="B89" t="s">
        <v>1082</v>
      </c>
      <c r="D89" t="s">
        <v>23</v>
      </c>
      <c r="E89" t="s">
        <v>24</v>
      </c>
      <c r="F89" t="s">
        <v>25</v>
      </c>
      <c r="G89" t="s">
        <v>26</v>
      </c>
      <c r="H89" s="14" t="str">
        <f t="shared" si="1"/>
        <v>Jun</v>
      </c>
      <c r="I89" s="15">
        <v>8905202269076</v>
      </c>
      <c r="J89" t="s">
        <v>142</v>
      </c>
      <c r="K89" t="s">
        <v>143</v>
      </c>
      <c r="L89" t="s">
        <v>144</v>
      </c>
      <c r="M89" t="s">
        <v>44</v>
      </c>
      <c r="N89">
        <v>3495</v>
      </c>
      <c r="O89">
        <v>3495</v>
      </c>
      <c r="P89">
        <v>1</v>
      </c>
      <c r="Q89">
        <v>3495</v>
      </c>
      <c r="R89">
        <v>1398</v>
      </c>
      <c r="S89">
        <v>0</v>
      </c>
      <c r="T89">
        <v>2097</v>
      </c>
      <c r="U89" t="s">
        <v>45</v>
      </c>
    </row>
    <row r="90" spans="1:21" ht="19" x14ac:dyDescent="0.25">
      <c r="A90" t="s">
        <v>20</v>
      </c>
      <c r="B90" t="s">
        <v>1082</v>
      </c>
      <c r="C90" t="s">
        <v>1087</v>
      </c>
      <c r="D90" t="s">
        <v>23</v>
      </c>
      <c r="E90" t="s">
        <v>24</v>
      </c>
      <c r="F90" t="s">
        <v>64</v>
      </c>
      <c r="G90" t="s">
        <v>65</v>
      </c>
      <c r="H90" s="14" t="str">
        <f t="shared" si="1"/>
        <v>Jun</v>
      </c>
      <c r="I90" s="15">
        <v>8905302263358</v>
      </c>
      <c r="J90" t="s">
        <v>868</v>
      </c>
      <c r="K90" t="s">
        <v>869</v>
      </c>
      <c r="L90" t="s">
        <v>601</v>
      </c>
      <c r="M90" t="s">
        <v>61</v>
      </c>
      <c r="N90">
        <v>7999</v>
      </c>
      <c r="O90">
        <v>7999</v>
      </c>
      <c r="P90">
        <v>1</v>
      </c>
      <c r="Q90">
        <v>7999</v>
      </c>
      <c r="R90">
        <v>2399.6999999999998</v>
      </c>
      <c r="S90">
        <v>0</v>
      </c>
      <c r="T90">
        <v>5599.3</v>
      </c>
      <c r="U90" t="s">
        <v>31</v>
      </c>
    </row>
    <row r="91" spans="1:21" ht="19" x14ac:dyDescent="0.25">
      <c r="A91" t="s">
        <v>62</v>
      </c>
      <c r="B91" t="s">
        <v>1082</v>
      </c>
      <c r="C91" t="s">
        <v>1088</v>
      </c>
      <c r="D91" t="s">
        <v>23</v>
      </c>
      <c r="E91" t="s">
        <v>24</v>
      </c>
      <c r="F91" t="s">
        <v>64</v>
      </c>
      <c r="G91" t="s">
        <v>65</v>
      </c>
      <c r="H91" s="14" t="str">
        <f t="shared" si="1"/>
        <v>Jun</v>
      </c>
      <c r="I91" s="15">
        <v>8905302263406</v>
      </c>
      <c r="J91" t="s">
        <v>1089</v>
      </c>
      <c r="K91" t="s">
        <v>1090</v>
      </c>
      <c r="L91" t="s">
        <v>1091</v>
      </c>
      <c r="M91" t="s">
        <v>44</v>
      </c>
      <c r="N91">
        <v>6999</v>
      </c>
      <c r="O91">
        <v>6999</v>
      </c>
      <c r="P91">
        <v>1</v>
      </c>
      <c r="Q91">
        <v>6999</v>
      </c>
      <c r="R91">
        <v>2099.6999999999998</v>
      </c>
      <c r="S91">
        <v>0</v>
      </c>
      <c r="T91">
        <v>4899.3</v>
      </c>
      <c r="U91" t="s">
        <v>50</v>
      </c>
    </row>
    <row r="92" spans="1:21" ht="19" x14ac:dyDescent="0.25">
      <c r="A92" t="s">
        <v>62</v>
      </c>
      <c r="B92" t="s">
        <v>1082</v>
      </c>
      <c r="C92" t="s">
        <v>1092</v>
      </c>
      <c r="D92" t="s">
        <v>23</v>
      </c>
      <c r="E92" t="s">
        <v>24</v>
      </c>
      <c r="F92" t="s">
        <v>64</v>
      </c>
      <c r="G92" t="s">
        <v>65</v>
      </c>
      <c r="H92" s="14" t="str">
        <f t="shared" si="1"/>
        <v>Jun</v>
      </c>
      <c r="I92" s="15">
        <v>8905302263364</v>
      </c>
      <c r="J92" t="s">
        <v>900</v>
      </c>
      <c r="K92" t="s">
        <v>901</v>
      </c>
      <c r="L92" t="s">
        <v>694</v>
      </c>
      <c r="M92" t="s">
        <v>38</v>
      </c>
      <c r="N92">
        <v>7999</v>
      </c>
      <c r="O92">
        <v>7999</v>
      </c>
      <c r="P92">
        <v>1</v>
      </c>
      <c r="Q92">
        <v>7999</v>
      </c>
      <c r="R92">
        <v>2399.6999999999998</v>
      </c>
      <c r="S92">
        <v>0</v>
      </c>
      <c r="T92">
        <v>5599.3</v>
      </c>
      <c r="U92" t="s">
        <v>74</v>
      </c>
    </row>
    <row r="93" spans="1:21" ht="19" x14ac:dyDescent="0.25">
      <c r="A93" t="s">
        <v>575</v>
      </c>
      <c r="B93" t="s">
        <v>1082</v>
      </c>
      <c r="C93" t="s">
        <v>135</v>
      </c>
      <c r="D93" t="s">
        <v>23</v>
      </c>
      <c r="E93" t="s">
        <v>24</v>
      </c>
      <c r="F93" t="s">
        <v>25</v>
      </c>
      <c r="G93" t="s">
        <v>26</v>
      </c>
      <c r="H93" s="14" t="str">
        <f t="shared" si="1"/>
        <v>Jun</v>
      </c>
      <c r="I93" s="15">
        <v>8905202264798</v>
      </c>
      <c r="J93" t="s">
        <v>1093</v>
      </c>
      <c r="K93">
        <v>8905202264798</v>
      </c>
      <c r="L93" t="s">
        <v>1094</v>
      </c>
      <c r="M93" t="s">
        <v>61</v>
      </c>
      <c r="N93">
        <v>4495</v>
      </c>
      <c r="O93">
        <v>4495</v>
      </c>
      <c r="P93">
        <v>1</v>
      </c>
      <c r="Q93">
        <v>4495</v>
      </c>
      <c r="R93">
        <v>1798</v>
      </c>
      <c r="S93">
        <v>0</v>
      </c>
      <c r="T93">
        <v>2697</v>
      </c>
      <c r="U93" t="s">
        <v>31</v>
      </c>
    </row>
    <row r="94" spans="1:21" ht="19" x14ac:dyDescent="0.25">
      <c r="A94" t="s">
        <v>962</v>
      </c>
      <c r="B94" t="s">
        <v>1095</v>
      </c>
      <c r="C94" t="s">
        <v>135</v>
      </c>
      <c r="D94" t="s">
        <v>23</v>
      </c>
      <c r="E94" t="s">
        <v>24</v>
      </c>
      <c r="F94" t="s">
        <v>25</v>
      </c>
      <c r="G94" t="s">
        <v>34</v>
      </c>
      <c r="H94" s="14" t="str">
        <f t="shared" si="1"/>
        <v>Jun</v>
      </c>
      <c r="I94" s="15">
        <v>8905302263417</v>
      </c>
      <c r="J94" t="s">
        <v>1096</v>
      </c>
      <c r="K94" t="s">
        <v>1097</v>
      </c>
      <c r="L94" t="s">
        <v>1098</v>
      </c>
      <c r="M94" t="s">
        <v>38</v>
      </c>
      <c r="N94">
        <v>6999</v>
      </c>
      <c r="O94">
        <v>6999</v>
      </c>
      <c r="P94">
        <v>1</v>
      </c>
      <c r="Q94">
        <v>6999</v>
      </c>
      <c r="R94">
        <v>1399.8</v>
      </c>
      <c r="S94">
        <v>0</v>
      </c>
      <c r="T94">
        <v>5599.2</v>
      </c>
      <c r="U94" t="s">
        <v>45</v>
      </c>
    </row>
    <row r="95" spans="1:21" ht="19" x14ac:dyDescent="0.25">
      <c r="A95" t="s">
        <v>62</v>
      </c>
      <c r="B95" t="s">
        <v>1095</v>
      </c>
      <c r="C95" t="s">
        <v>1099</v>
      </c>
      <c r="D95" t="s">
        <v>23</v>
      </c>
      <c r="E95" t="s">
        <v>24</v>
      </c>
      <c r="F95" t="s">
        <v>25</v>
      </c>
      <c r="G95" t="s">
        <v>26</v>
      </c>
      <c r="H95" s="14" t="str">
        <f t="shared" si="1"/>
        <v>Jun</v>
      </c>
      <c r="I95" s="15">
        <v>8905202264873</v>
      </c>
      <c r="J95" t="s">
        <v>130</v>
      </c>
      <c r="K95" t="s">
        <v>131</v>
      </c>
      <c r="L95" t="s">
        <v>94</v>
      </c>
      <c r="M95" t="s">
        <v>44</v>
      </c>
      <c r="N95">
        <v>3995</v>
      </c>
      <c r="O95">
        <v>3995</v>
      </c>
      <c r="P95">
        <v>1</v>
      </c>
      <c r="Q95">
        <v>3995</v>
      </c>
      <c r="R95">
        <v>1598</v>
      </c>
      <c r="S95">
        <v>0</v>
      </c>
      <c r="T95">
        <v>2397</v>
      </c>
      <c r="U95" t="s">
        <v>45</v>
      </c>
    </row>
    <row r="96" spans="1:21" ht="19" x14ac:dyDescent="0.25">
      <c r="A96" t="s">
        <v>62</v>
      </c>
      <c r="B96" t="s">
        <v>1095</v>
      </c>
      <c r="C96" t="s">
        <v>1099</v>
      </c>
      <c r="D96" t="s">
        <v>23</v>
      </c>
      <c r="E96" t="s">
        <v>24</v>
      </c>
      <c r="F96" t="s">
        <v>25</v>
      </c>
      <c r="G96" t="s">
        <v>26</v>
      </c>
      <c r="H96" s="14" t="str">
        <f t="shared" si="1"/>
        <v>Jun</v>
      </c>
      <c r="I96" s="15">
        <v>8905202269106</v>
      </c>
      <c r="J96" t="s">
        <v>47</v>
      </c>
      <c r="K96" t="s">
        <v>48</v>
      </c>
      <c r="L96" t="s">
        <v>49</v>
      </c>
      <c r="M96" t="s">
        <v>38</v>
      </c>
      <c r="N96">
        <v>3495</v>
      </c>
      <c r="O96">
        <v>3495</v>
      </c>
      <c r="P96">
        <v>1</v>
      </c>
      <c r="Q96">
        <v>3495</v>
      </c>
      <c r="R96">
        <v>1398</v>
      </c>
      <c r="S96">
        <v>0</v>
      </c>
      <c r="T96">
        <v>2097</v>
      </c>
      <c r="U96" t="s">
        <v>45</v>
      </c>
    </row>
    <row r="97" spans="1:21" ht="19" x14ac:dyDescent="0.25">
      <c r="A97" t="s">
        <v>62</v>
      </c>
      <c r="B97" t="s">
        <v>1095</v>
      </c>
      <c r="C97" t="s">
        <v>1100</v>
      </c>
      <c r="D97" t="s">
        <v>23</v>
      </c>
      <c r="E97" t="s">
        <v>24</v>
      </c>
      <c r="F97" t="s">
        <v>64</v>
      </c>
      <c r="G97" t="s">
        <v>65</v>
      </c>
      <c r="H97" s="14" t="str">
        <f t="shared" si="1"/>
        <v>Jun</v>
      </c>
      <c r="I97" s="15">
        <v>8905302263202</v>
      </c>
      <c r="J97" t="s">
        <v>475</v>
      </c>
      <c r="K97" t="s">
        <v>474</v>
      </c>
      <c r="L97" t="s">
        <v>473</v>
      </c>
      <c r="M97" t="s">
        <v>61</v>
      </c>
      <c r="N97">
        <v>6999</v>
      </c>
      <c r="O97">
        <v>6999</v>
      </c>
      <c r="P97">
        <v>1</v>
      </c>
      <c r="Q97">
        <v>6999</v>
      </c>
      <c r="R97">
        <v>2099.6999999999998</v>
      </c>
      <c r="S97">
        <v>0</v>
      </c>
      <c r="T97">
        <v>4899.3</v>
      </c>
      <c r="U97" t="s">
        <v>55</v>
      </c>
    </row>
    <row r="98" spans="1:21" ht="19" x14ac:dyDescent="0.25">
      <c r="A98" t="s">
        <v>62</v>
      </c>
      <c r="B98" t="s">
        <v>1095</v>
      </c>
      <c r="C98" t="s">
        <v>1101</v>
      </c>
      <c r="D98" t="s">
        <v>23</v>
      </c>
      <c r="E98" t="s">
        <v>24</v>
      </c>
      <c r="F98" t="s">
        <v>25</v>
      </c>
      <c r="G98" t="s">
        <v>34</v>
      </c>
      <c r="H98" s="14" t="str">
        <f t="shared" si="1"/>
        <v>Jun</v>
      </c>
      <c r="I98" s="15">
        <v>8905302263252</v>
      </c>
      <c r="J98" t="s">
        <v>1102</v>
      </c>
      <c r="K98" t="s">
        <v>1103</v>
      </c>
      <c r="L98" t="s">
        <v>1104</v>
      </c>
      <c r="M98" t="s">
        <v>44</v>
      </c>
      <c r="N98">
        <v>4999</v>
      </c>
      <c r="O98">
        <v>4999</v>
      </c>
      <c r="P98">
        <v>1</v>
      </c>
      <c r="Q98">
        <v>4999</v>
      </c>
      <c r="R98">
        <v>999.8</v>
      </c>
      <c r="S98">
        <v>0</v>
      </c>
      <c r="T98">
        <v>3999.2</v>
      </c>
      <c r="U98" t="s">
        <v>55</v>
      </c>
    </row>
    <row r="99" spans="1:21" ht="19" x14ac:dyDescent="0.25">
      <c r="A99" t="s">
        <v>62</v>
      </c>
      <c r="B99" t="s">
        <v>1095</v>
      </c>
      <c r="C99" t="s">
        <v>1105</v>
      </c>
      <c r="D99" t="s">
        <v>23</v>
      </c>
      <c r="E99" t="s">
        <v>24</v>
      </c>
      <c r="F99" t="s">
        <v>25</v>
      </c>
      <c r="G99" t="s">
        <v>26</v>
      </c>
      <c r="H99" s="14" t="str">
        <f t="shared" si="1"/>
        <v>Jun</v>
      </c>
      <c r="I99" s="15">
        <v>8905302263377</v>
      </c>
      <c r="J99" t="s">
        <v>1106</v>
      </c>
      <c r="K99" t="s">
        <v>1107</v>
      </c>
      <c r="L99" t="s">
        <v>1108</v>
      </c>
      <c r="M99" t="s">
        <v>44</v>
      </c>
      <c r="N99">
        <v>3999</v>
      </c>
      <c r="O99">
        <v>3999</v>
      </c>
      <c r="P99">
        <v>1</v>
      </c>
      <c r="Q99">
        <v>3999</v>
      </c>
      <c r="R99">
        <v>1599.6</v>
      </c>
      <c r="S99">
        <v>0</v>
      </c>
      <c r="T99">
        <v>2399.4</v>
      </c>
      <c r="U99" t="s">
        <v>50</v>
      </c>
    </row>
    <row r="100" spans="1:21" ht="19" x14ac:dyDescent="0.25">
      <c r="A100" t="s">
        <v>575</v>
      </c>
      <c r="B100" t="s">
        <v>1095</v>
      </c>
      <c r="C100" t="s">
        <v>1109</v>
      </c>
      <c r="D100" t="s">
        <v>23</v>
      </c>
      <c r="E100" t="s">
        <v>24</v>
      </c>
      <c r="F100" t="s">
        <v>64</v>
      </c>
      <c r="G100" t="s">
        <v>65</v>
      </c>
      <c r="H100" s="14" t="str">
        <f t="shared" si="1"/>
        <v>Jun</v>
      </c>
      <c r="I100" s="15">
        <v>8905302263339</v>
      </c>
      <c r="J100" t="s">
        <v>1110</v>
      </c>
      <c r="K100" t="s">
        <v>1111</v>
      </c>
      <c r="L100" t="s">
        <v>1112</v>
      </c>
      <c r="M100" t="s">
        <v>44</v>
      </c>
      <c r="N100">
        <v>7999</v>
      </c>
      <c r="O100">
        <v>7999</v>
      </c>
      <c r="P100">
        <v>1</v>
      </c>
      <c r="Q100">
        <v>7999</v>
      </c>
      <c r="R100">
        <v>2399.6999999999998</v>
      </c>
      <c r="S100">
        <v>0</v>
      </c>
      <c r="T100">
        <v>5599.3</v>
      </c>
      <c r="U100" t="s">
        <v>45</v>
      </c>
    </row>
    <row r="101" spans="1:21" ht="19" x14ac:dyDescent="0.25">
      <c r="A101" t="s">
        <v>62</v>
      </c>
      <c r="B101" t="s">
        <v>1113</v>
      </c>
      <c r="C101" t="s">
        <v>1114</v>
      </c>
      <c r="D101" t="s">
        <v>23</v>
      </c>
      <c r="E101" t="s">
        <v>24</v>
      </c>
      <c r="F101" t="s">
        <v>25</v>
      </c>
      <c r="G101" t="s">
        <v>26</v>
      </c>
      <c r="H101" s="14" t="str">
        <f t="shared" si="1"/>
        <v>Jun</v>
      </c>
      <c r="I101" s="15">
        <v>8905202264828</v>
      </c>
      <c r="J101" t="s">
        <v>891</v>
      </c>
      <c r="K101">
        <v>8905202264828</v>
      </c>
      <c r="L101" t="s">
        <v>892</v>
      </c>
      <c r="M101" t="s">
        <v>44</v>
      </c>
      <c r="N101">
        <v>4495</v>
      </c>
      <c r="O101">
        <v>4495</v>
      </c>
      <c r="P101">
        <v>1</v>
      </c>
      <c r="Q101">
        <v>4495</v>
      </c>
      <c r="R101">
        <v>1798</v>
      </c>
      <c r="S101">
        <v>0</v>
      </c>
      <c r="T101">
        <v>2697</v>
      </c>
      <c r="U101" t="s">
        <v>55</v>
      </c>
    </row>
    <row r="102" spans="1:21" ht="19" x14ac:dyDescent="0.25">
      <c r="A102" t="s">
        <v>62</v>
      </c>
      <c r="B102" t="s">
        <v>1113</v>
      </c>
      <c r="C102" t="s">
        <v>1115</v>
      </c>
      <c r="D102" t="s">
        <v>23</v>
      </c>
      <c r="E102" t="s">
        <v>24</v>
      </c>
      <c r="F102" t="s">
        <v>25</v>
      </c>
      <c r="G102" t="s">
        <v>26</v>
      </c>
      <c r="H102" s="14" t="str">
        <f t="shared" si="1"/>
        <v>Jun</v>
      </c>
      <c r="I102" s="15">
        <v>8905302263384</v>
      </c>
      <c r="J102" t="s">
        <v>1075</v>
      </c>
      <c r="K102" t="s">
        <v>1076</v>
      </c>
      <c r="L102" t="s">
        <v>87</v>
      </c>
      <c r="M102" t="s">
        <v>38</v>
      </c>
      <c r="N102">
        <v>3999</v>
      </c>
      <c r="O102">
        <v>3999</v>
      </c>
      <c r="P102">
        <v>1</v>
      </c>
      <c r="Q102">
        <v>3999</v>
      </c>
      <c r="R102">
        <v>1599.6</v>
      </c>
      <c r="S102">
        <v>0</v>
      </c>
      <c r="T102">
        <v>2399.4</v>
      </c>
      <c r="U102" t="s">
        <v>50</v>
      </c>
    </row>
    <row r="103" spans="1:21" ht="19" x14ac:dyDescent="0.25">
      <c r="A103" t="s">
        <v>62</v>
      </c>
      <c r="B103" t="s">
        <v>1113</v>
      </c>
      <c r="C103" t="s">
        <v>1116</v>
      </c>
      <c r="D103" t="s">
        <v>23</v>
      </c>
      <c r="E103" t="s">
        <v>24</v>
      </c>
      <c r="F103" t="s">
        <v>25</v>
      </c>
      <c r="G103" t="s">
        <v>34</v>
      </c>
      <c r="H103" s="14" t="str">
        <f t="shared" si="1"/>
        <v>Jun</v>
      </c>
      <c r="I103" s="15">
        <v>8905302263296</v>
      </c>
      <c r="J103" t="s">
        <v>1117</v>
      </c>
      <c r="K103" t="s">
        <v>1118</v>
      </c>
      <c r="L103" t="s">
        <v>802</v>
      </c>
      <c r="M103" t="s">
        <v>44</v>
      </c>
      <c r="N103">
        <v>6999</v>
      </c>
      <c r="O103">
        <v>6999</v>
      </c>
      <c r="P103">
        <v>1</v>
      </c>
      <c r="Q103">
        <v>6999</v>
      </c>
      <c r="R103">
        <v>1399.8</v>
      </c>
      <c r="S103">
        <v>0</v>
      </c>
      <c r="T103">
        <v>5599.2</v>
      </c>
      <c r="U103" t="s">
        <v>45</v>
      </c>
    </row>
    <row r="104" spans="1:21" ht="19" x14ac:dyDescent="0.25">
      <c r="A104" t="s">
        <v>62</v>
      </c>
      <c r="B104" t="s">
        <v>1119</v>
      </c>
      <c r="C104" t="s">
        <v>930</v>
      </c>
      <c r="D104" t="s">
        <v>23</v>
      </c>
      <c r="E104" t="s">
        <v>24</v>
      </c>
      <c r="F104" t="s">
        <v>64</v>
      </c>
      <c r="G104" t="s">
        <v>65</v>
      </c>
      <c r="H104" s="14" t="str">
        <f t="shared" si="1"/>
        <v>Jun</v>
      </c>
      <c r="I104" s="15">
        <v>8905302263362</v>
      </c>
      <c r="J104" t="s">
        <v>602</v>
      </c>
      <c r="K104" t="s">
        <v>603</v>
      </c>
      <c r="L104" t="s">
        <v>604</v>
      </c>
      <c r="M104" t="s">
        <v>61</v>
      </c>
      <c r="N104">
        <v>7999</v>
      </c>
      <c r="O104">
        <v>7999</v>
      </c>
      <c r="P104">
        <v>1</v>
      </c>
      <c r="Q104">
        <v>7999</v>
      </c>
      <c r="R104">
        <v>2399.6999999999998</v>
      </c>
      <c r="S104">
        <v>0</v>
      </c>
      <c r="T104">
        <v>5599.3</v>
      </c>
      <c r="U104" t="s">
        <v>50</v>
      </c>
    </row>
    <row r="105" spans="1:21" ht="19" x14ac:dyDescent="0.25">
      <c r="A105" t="s">
        <v>62</v>
      </c>
      <c r="B105" t="s">
        <v>1119</v>
      </c>
      <c r="C105" t="s">
        <v>1120</v>
      </c>
      <c r="D105" t="s">
        <v>23</v>
      </c>
      <c r="E105" t="s">
        <v>24</v>
      </c>
      <c r="F105" t="s">
        <v>25</v>
      </c>
      <c r="G105" t="s">
        <v>26</v>
      </c>
      <c r="H105" s="14" t="str">
        <f t="shared" si="1"/>
        <v>Jun</v>
      </c>
      <c r="I105" s="15">
        <v>8905202264613</v>
      </c>
      <c r="J105" t="s">
        <v>796</v>
      </c>
      <c r="K105">
        <v>8905202264613</v>
      </c>
      <c r="L105" t="s">
        <v>60</v>
      </c>
      <c r="M105" t="s">
        <v>61</v>
      </c>
      <c r="N105">
        <v>3495</v>
      </c>
      <c r="O105">
        <v>3495</v>
      </c>
      <c r="P105">
        <v>1</v>
      </c>
      <c r="Q105">
        <v>3495</v>
      </c>
      <c r="R105">
        <v>1398</v>
      </c>
      <c r="S105">
        <v>419.4</v>
      </c>
      <c r="T105">
        <v>1677.6</v>
      </c>
      <c r="U105" t="s">
        <v>50</v>
      </c>
    </row>
    <row r="106" spans="1:21" ht="19" x14ac:dyDescent="0.25">
      <c r="A106" t="s">
        <v>62</v>
      </c>
      <c r="B106" t="s">
        <v>1119</v>
      </c>
      <c r="C106" t="s">
        <v>1120</v>
      </c>
      <c r="D106" t="s">
        <v>23</v>
      </c>
      <c r="E106" t="s">
        <v>24</v>
      </c>
      <c r="F106" t="s">
        <v>25</v>
      </c>
      <c r="G106" t="s">
        <v>26</v>
      </c>
      <c r="H106" s="14" t="str">
        <f t="shared" si="1"/>
        <v>Jun</v>
      </c>
      <c r="I106" s="15">
        <v>8905302263379</v>
      </c>
      <c r="J106" t="s">
        <v>737</v>
      </c>
      <c r="K106" t="s">
        <v>738</v>
      </c>
      <c r="L106" t="s">
        <v>60</v>
      </c>
      <c r="M106" t="s">
        <v>61</v>
      </c>
      <c r="N106">
        <v>3999</v>
      </c>
      <c r="O106">
        <v>3999</v>
      </c>
      <c r="P106">
        <v>1</v>
      </c>
      <c r="Q106">
        <v>3999</v>
      </c>
      <c r="R106">
        <v>1599.6</v>
      </c>
      <c r="S106">
        <v>479.88</v>
      </c>
      <c r="T106">
        <v>1919.52</v>
      </c>
      <c r="U106" t="s">
        <v>50</v>
      </c>
    </row>
    <row r="107" spans="1:21" ht="19" x14ac:dyDescent="0.25">
      <c r="A107" t="s">
        <v>62</v>
      </c>
      <c r="B107" t="s">
        <v>1119</v>
      </c>
      <c r="C107" t="s">
        <v>1121</v>
      </c>
      <c r="D107" t="s">
        <v>23</v>
      </c>
      <c r="E107" t="s">
        <v>24</v>
      </c>
      <c r="F107" t="s">
        <v>25</v>
      </c>
      <c r="G107" t="s">
        <v>34</v>
      </c>
      <c r="H107" s="14" t="str">
        <f t="shared" si="1"/>
        <v>Jun</v>
      </c>
      <c r="I107" s="15">
        <v>8905302263236</v>
      </c>
      <c r="J107" t="s">
        <v>76</v>
      </c>
      <c r="K107" t="s">
        <v>77</v>
      </c>
      <c r="L107" t="s">
        <v>78</v>
      </c>
      <c r="M107" t="s">
        <v>54</v>
      </c>
      <c r="N107">
        <v>5999</v>
      </c>
      <c r="O107">
        <v>5999</v>
      </c>
      <c r="P107">
        <v>1</v>
      </c>
      <c r="Q107">
        <v>5999</v>
      </c>
      <c r="R107">
        <v>1199.8</v>
      </c>
      <c r="S107">
        <v>666.75</v>
      </c>
      <c r="T107">
        <v>4132.45</v>
      </c>
      <c r="U107" t="s">
        <v>55</v>
      </c>
    </row>
    <row r="108" spans="1:21" ht="19" x14ac:dyDescent="0.25">
      <c r="A108" t="s">
        <v>962</v>
      </c>
      <c r="B108" t="s">
        <v>1122</v>
      </c>
      <c r="C108" t="s">
        <v>1123</v>
      </c>
      <c r="D108" t="s">
        <v>23</v>
      </c>
      <c r="E108" t="s">
        <v>24</v>
      </c>
      <c r="F108" t="s">
        <v>25</v>
      </c>
      <c r="G108" t="s">
        <v>34</v>
      </c>
      <c r="H108" s="14" t="str">
        <f t="shared" si="1"/>
        <v>Jun</v>
      </c>
      <c r="I108" s="15">
        <v>8905302263345</v>
      </c>
      <c r="J108" t="s">
        <v>610</v>
      </c>
      <c r="K108" t="s">
        <v>611</v>
      </c>
      <c r="L108" t="s">
        <v>612</v>
      </c>
      <c r="M108" t="s">
        <v>61</v>
      </c>
      <c r="N108">
        <v>5999</v>
      </c>
      <c r="O108">
        <v>5999</v>
      </c>
      <c r="P108">
        <v>1</v>
      </c>
      <c r="Q108">
        <v>5999</v>
      </c>
      <c r="R108">
        <v>1199.8</v>
      </c>
      <c r="S108">
        <v>0</v>
      </c>
      <c r="T108">
        <v>4799.2</v>
      </c>
      <c r="U108" t="s">
        <v>55</v>
      </c>
    </row>
    <row r="109" spans="1:21" ht="19" x14ac:dyDescent="0.25">
      <c r="A109" t="s">
        <v>575</v>
      </c>
      <c r="B109" t="s">
        <v>1122</v>
      </c>
      <c r="C109" t="s">
        <v>1124</v>
      </c>
      <c r="D109" t="s">
        <v>23</v>
      </c>
      <c r="E109" t="s">
        <v>24</v>
      </c>
      <c r="F109" t="s">
        <v>64</v>
      </c>
      <c r="G109" t="s">
        <v>65</v>
      </c>
      <c r="H109" s="14" t="str">
        <f t="shared" si="1"/>
        <v>Jun</v>
      </c>
      <c r="I109" s="15">
        <v>8905302263363</v>
      </c>
      <c r="J109" t="s">
        <v>849</v>
      </c>
      <c r="K109" t="s">
        <v>850</v>
      </c>
      <c r="L109" t="s">
        <v>851</v>
      </c>
      <c r="M109" t="s">
        <v>44</v>
      </c>
      <c r="N109">
        <v>7999</v>
      </c>
      <c r="O109">
        <v>7999</v>
      </c>
      <c r="P109">
        <v>1</v>
      </c>
      <c r="Q109">
        <v>7999</v>
      </c>
      <c r="R109">
        <v>2399.6999999999998</v>
      </c>
      <c r="S109">
        <v>0</v>
      </c>
      <c r="T109">
        <v>5599.3</v>
      </c>
      <c r="U109" t="s">
        <v>45</v>
      </c>
    </row>
    <row r="110" spans="1:21" ht="19" x14ac:dyDescent="0.25">
      <c r="A110" t="s">
        <v>575</v>
      </c>
      <c r="B110" t="s">
        <v>1122</v>
      </c>
      <c r="C110" t="s">
        <v>1124</v>
      </c>
      <c r="D110" t="s">
        <v>23</v>
      </c>
      <c r="E110" t="s">
        <v>24</v>
      </c>
      <c r="F110" t="s">
        <v>25</v>
      </c>
      <c r="G110" t="s">
        <v>34</v>
      </c>
      <c r="H110" s="14" t="str">
        <f t="shared" si="1"/>
        <v>Jun</v>
      </c>
      <c r="I110" s="15">
        <v>8905302263390</v>
      </c>
      <c r="J110" t="s">
        <v>1125</v>
      </c>
      <c r="K110" t="s">
        <v>1126</v>
      </c>
      <c r="L110" t="s">
        <v>829</v>
      </c>
      <c r="M110" t="s">
        <v>61</v>
      </c>
      <c r="N110">
        <v>4999</v>
      </c>
      <c r="O110">
        <v>4999</v>
      </c>
      <c r="P110">
        <v>1</v>
      </c>
      <c r="Q110">
        <v>4999</v>
      </c>
      <c r="R110">
        <v>999.8</v>
      </c>
      <c r="S110">
        <v>0</v>
      </c>
      <c r="T110">
        <v>3999.2</v>
      </c>
      <c r="U110" t="s">
        <v>45</v>
      </c>
    </row>
    <row r="111" spans="1:21" ht="19" x14ac:dyDescent="0.25">
      <c r="A111" t="s">
        <v>575</v>
      </c>
      <c r="B111" t="s">
        <v>1122</v>
      </c>
      <c r="C111" t="s">
        <v>1127</v>
      </c>
      <c r="D111" t="s">
        <v>23</v>
      </c>
      <c r="E111" t="s">
        <v>24</v>
      </c>
      <c r="F111" t="s">
        <v>25</v>
      </c>
      <c r="G111" t="s">
        <v>26</v>
      </c>
      <c r="H111" s="14" t="str">
        <f t="shared" si="1"/>
        <v>Jun</v>
      </c>
      <c r="I111" s="15">
        <v>8905202264705</v>
      </c>
      <c r="J111" t="s">
        <v>438</v>
      </c>
      <c r="K111" t="s">
        <v>437</v>
      </c>
      <c r="L111" t="s">
        <v>436</v>
      </c>
      <c r="M111" t="s">
        <v>30</v>
      </c>
      <c r="N111">
        <v>3495</v>
      </c>
      <c r="O111">
        <v>3495</v>
      </c>
      <c r="P111">
        <v>1</v>
      </c>
      <c r="Q111">
        <v>3495</v>
      </c>
      <c r="R111">
        <v>1398</v>
      </c>
      <c r="S111">
        <v>0</v>
      </c>
      <c r="T111">
        <v>2097</v>
      </c>
      <c r="U111" t="s">
        <v>55</v>
      </c>
    </row>
    <row r="112" spans="1:21" ht="19" x14ac:dyDescent="0.25">
      <c r="A112" t="s">
        <v>962</v>
      </c>
      <c r="B112" t="s">
        <v>1128</v>
      </c>
      <c r="C112" t="s">
        <v>1129</v>
      </c>
      <c r="D112" t="s">
        <v>23</v>
      </c>
      <c r="E112" t="s">
        <v>24</v>
      </c>
      <c r="F112" t="s">
        <v>25</v>
      </c>
      <c r="G112" t="s">
        <v>26</v>
      </c>
      <c r="H112" s="14" t="str">
        <f t="shared" si="1"/>
        <v>Jun</v>
      </c>
      <c r="I112" s="15">
        <v>8905202269083</v>
      </c>
      <c r="J112" t="s">
        <v>189</v>
      </c>
      <c r="K112" t="s">
        <v>190</v>
      </c>
      <c r="L112" t="s">
        <v>191</v>
      </c>
      <c r="M112" t="s">
        <v>61</v>
      </c>
      <c r="N112">
        <v>3495</v>
      </c>
      <c r="O112">
        <v>3495</v>
      </c>
      <c r="P112">
        <v>1</v>
      </c>
      <c r="Q112">
        <v>3495</v>
      </c>
      <c r="R112">
        <v>1398</v>
      </c>
      <c r="S112">
        <v>0</v>
      </c>
      <c r="T112">
        <v>2097</v>
      </c>
      <c r="U112" t="s">
        <v>55</v>
      </c>
    </row>
    <row r="113" spans="1:22" ht="19" x14ac:dyDescent="0.25">
      <c r="A113" t="s">
        <v>20</v>
      </c>
      <c r="B113" t="s">
        <v>1128</v>
      </c>
      <c r="C113" t="s">
        <v>1130</v>
      </c>
      <c r="D113" t="s">
        <v>23</v>
      </c>
      <c r="E113" t="s">
        <v>24</v>
      </c>
      <c r="F113" t="s">
        <v>25</v>
      </c>
      <c r="G113" t="s">
        <v>26</v>
      </c>
      <c r="H113" s="14" t="str">
        <f t="shared" si="1"/>
        <v>Jun</v>
      </c>
      <c r="I113" s="15">
        <v>8905302263376</v>
      </c>
      <c r="J113" t="s">
        <v>864</v>
      </c>
      <c r="K113" t="s">
        <v>865</v>
      </c>
      <c r="L113" t="s">
        <v>866</v>
      </c>
      <c r="M113" t="s">
        <v>61</v>
      </c>
      <c r="N113">
        <v>3999</v>
      </c>
      <c r="O113">
        <v>3999</v>
      </c>
      <c r="P113">
        <v>1</v>
      </c>
      <c r="Q113">
        <v>3999</v>
      </c>
      <c r="R113">
        <v>1599.6</v>
      </c>
      <c r="S113">
        <v>0</v>
      </c>
      <c r="T113">
        <v>2399.4</v>
      </c>
      <c r="U113" t="s">
        <v>55</v>
      </c>
    </row>
    <row r="114" spans="1:22" ht="19" x14ac:dyDescent="0.25">
      <c r="A114" t="s">
        <v>20</v>
      </c>
      <c r="B114" t="s">
        <v>1128</v>
      </c>
      <c r="C114" t="s">
        <v>1131</v>
      </c>
      <c r="D114" t="s">
        <v>23</v>
      </c>
      <c r="E114" t="s">
        <v>24</v>
      </c>
      <c r="F114" t="s">
        <v>25</v>
      </c>
      <c r="G114" t="s">
        <v>34</v>
      </c>
      <c r="H114" s="14" t="str">
        <f t="shared" si="1"/>
        <v>Jun</v>
      </c>
      <c r="I114" s="15">
        <v>8905302263344</v>
      </c>
      <c r="J114" t="s">
        <v>734</v>
      </c>
      <c r="K114" t="s">
        <v>735</v>
      </c>
      <c r="L114" t="s">
        <v>736</v>
      </c>
      <c r="M114" t="s">
        <v>54</v>
      </c>
      <c r="N114">
        <v>5999</v>
      </c>
      <c r="O114">
        <v>5999</v>
      </c>
      <c r="P114">
        <v>1</v>
      </c>
      <c r="Q114">
        <v>5999</v>
      </c>
      <c r="R114">
        <v>1199.8</v>
      </c>
      <c r="S114">
        <v>0</v>
      </c>
      <c r="T114">
        <v>4799.2</v>
      </c>
      <c r="U114" t="s">
        <v>39</v>
      </c>
    </row>
    <row r="115" spans="1:22" ht="19" x14ac:dyDescent="0.25">
      <c r="A115" t="s">
        <v>20</v>
      </c>
      <c r="B115" t="s">
        <v>1128</v>
      </c>
      <c r="C115" t="s">
        <v>1132</v>
      </c>
      <c r="D115" t="s">
        <v>23</v>
      </c>
      <c r="E115" t="s">
        <v>24</v>
      </c>
      <c r="F115" t="s">
        <v>64</v>
      </c>
      <c r="G115" t="s">
        <v>65</v>
      </c>
      <c r="H115" s="14" t="str">
        <f t="shared" si="1"/>
        <v>Jun</v>
      </c>
      <c r="I115" s="15">
        <v>8905302263314</v>
      </c>
      <c r="J115" t="s">
        <v>599</v>
      </c>
      <c r="K115" t="s">
        <v>600</v>
      </c>
      <c r="L115" t="s">
        <v>601</v>
      </c>
      <c r="M115" t="s">
        <v>61</v>
      </c>
      <c r="N115">
        <v>6999</v>
      </c>
      <c r="O115">
        <v>6999</v>
      </c>
      <c r="P115">
        <v>1</v>
      </c>
      <c r="Q115">
        <v>6999</v>
      </c>
      <c r="R115">
        <v>2099.6999999999998</v>
      </c>
      <c r="S115">
        <v>0</v>
      </c>
      <c r="T115">
        <v>4899.3</v>
      </c>
      <c r="U115" t="s">
        <v>55</v>
      </c>
    </row>
    <row r="116" spans="1:22" ht="19" x14ac:dyDescent="0.25">
      <c r="A116" t="s">
        <v>62</v>
      </c>
      <c r="B116" t="s">
        <v>1128</v>
      </c>
      <c r="C116" t="s">
        <v>1133</v>
      </c>
      <c r="D116" t="s">
        <v>23</v>
      </c>
      <c r="E116" t="s">
        <v>24</v>
      </c>
      <c r="F116" t="s">
        <v>64</v>
      </c>
      <c r="G116" t="s">
        <v>65</v>
      </c>
      <c r="H116" s="14" t="str">
        <f t="shared" si="1"/>
        <v>Jun</v>
      </c>
      <c r="I116" s="15">
        <v>8905302263192</v>
      </c>
      <c r="J116" t="s">
        <v>465</v>
      </c>
      <c r="K116" t="s">
        <v>464</v>
      </c>
      <c r="L116" t="s">
        <v>463</v>
      </c>
      <c r="M116" t="s">
        <v>38</v>
      </c>
      <c r="N116">
        <v>7999</v>
      </c>
      <c r="O116">
        <v>7999</v>
      </c>
      <c r="P116">
        <v>1</v>
      </c>
      <c r="Q116">
        <v>7999</v>
      </c>
      <c r="R116">
        <v>2399.6999999999998</v>
      </c>
      <c r="S116">
        <v>0</v>
      </c>
      <c r="T116">
        <v>5599.3</v>
      </c>
      <c r="U116" t="s">
        <v>50</v>
      </c>
    </row>
    <row r="117" spans="1:22" ht="19" x14ac:dyDescent="0.25">
      <c r="A117" t="s">
        <v>962</v>
      </c>
      <c r="B117" t="s">
        <v>1134</v>
      </c>
      <c r="C117" t="s">
        <v>1159</v>
      </c>
      <c r="D117" t="s">
        <v>23</v>
      </c>
      <c r="E117" t="s">
        <v>24</v>
      </c>
      <c r="F117" t="s">
        <v>25</v>
      </c>
      <c r="G117" t="s">
        <v>26</v>
      </c>
      <c r="H117" s="14" t="str">
        <f t="shared" si="1"/>
        <v>Jun</v>
      </c>
      <c r="I117" s="15">
        <v>8905202269298</v>
      </c>
      <c r="J117" t="s">
        <v>628</v>
      </c>
      <c r="K117">
        <v>8905202269298</v>
      </c>
      <c r="L117" t="s">
        <v>53</v>
      </c>
      <c r="M117" t="s">
        <v>54</v>
      </c>
      <c r="N117">
        <v>3495</v>
      </c>
      <c r="O117">
        <v>3495</v>
      </c>
      <c r="P117">
        <v>1</v>
      </c>
      <c r="Q117">
        <v>3495</v>
      </c>
      <c r="R117">
        <v>1398</v>
      </c>
      <c r="S117">
        <v>0</v>
      </c>
      <c r="T117">
        <v>2097</v>
      </c>
      <c r="U117" t="s">
        <v>55</v>
      </c>
      <c r="V117" s="105"/>
    </row>
    <row r="118" spans="1:22" ht="19" x14ac:dyDescent="0.25">
      <c r="A118" t="s">
        <v>962</v>
      </c>
      <c r="B118" t="s">
        <v>1134</v>
      </c>
      <c r="C118" t="s">
        <v>135</v>
      </c>
      <c r="D118" t="s">
        <v>23</v>
      </c>
      <c r="E118" t="s">
        <v>24</v>
      </c>
      <c r="F118" t="s">
        <v>25</v>
      </c>
      <c r="G118" t="s">
        <v>34</v>
      </c>
      <c r="H118" s="14" t="str">
        <f t="shared" si="1"/>
        <v>Jun</v>
      </c>
      <c r="I118" s="15">
        <v>8905302263412</v>
      </c>
      <c r="J118" t="s">
        <v>1135</v>
      </c>
      <c r="K118" t="s">
        <v>1136</v>
      </c>
      <c r="L118" t="s">
        <v>1137</v>
      </c>
      <c r="M118" t="s">
        <v>38</v>
      </c>
      <c r="N118">
        <v>6999</v>
      </c>
      <c r="O118">
        <v>6999</v>
      </c>
      <c r="P118">
        <v>1</v>
      </c>
      <c r="Q118">
        <v>6999</v>
      </c>
      <c r="R118">
        <v>1399.8</v>
      </c>
      <c r="S118">
        <v>0</v>
      </c>
      <c r="T118">
        <v>5599.2</v>
      </c>
      <c r="U118" t="s">
        <v>55</v>
      </c>
    </row>
    <row r="119" spans="1:22" ht="19" x14ac:dyDescent="0.25">
      <c r="A119" t="s">
        <v>20</v>
      </c>
      <c r="B119" t="s">
        <v>1134</v>
      </c>
      <c r="C119" t="s">
        <v>1160</v>
      </c>
      <c r="D119" t="s">
        <v>23</v>
      </c>
      <c r="E119" t="s">
        <v>24</v>
      </c>
      <c r="F119" t="s">
        <v>64</v>
      </c>
      <c r="G119" t="s">
        <v>65</v>
      </c>
      <c r="H119" s="14" t="str">
        <f t="shared" si="1"/>
        <v>Jun</v>
      </c>
      <c r="I119" s="15">
        <v>8905302263360</v>
      </c>
      <c r="J119" t="s">
        <v>744</v>
      </c>
      <c r="K119" t="s">
        <v>745</v>
      </c>
      <c r="L119" t="s">
        <v>743</v>
      </c>
      <c r="M119" t="s">
        <v>38</v>
      </c>
      <c r="N119">
        <v>7999</v>
      </c>
      <c r="O119">
        <v>7999</v>
      </c>
      <c r="P119">
        <v>1</v>
      </c>
      <c r="Q119">
        <v>7999</v>
      </c>
      <c r="R119">
        <v>2399.6999999999998</v>
      </c>
      <c r="S119">
        <v>0</v>
      </c>
      <c r="T119">
        <v>5599.3</v>
      </c>
      <c r="U119" t="s">
        <v>31</v>
      </c>
    </row>
    <row r="120" spans="1:22" ht="19" x14ac:dyDescent="0.25">
      <c r="A120" t="s">
        <v>20</v>
      </c>
      <c r="B120" t="s">
        <v>1134</v>
      </c>
      <c r="C120" t="s">
        <v>1161</v>
      </c>
      <c r="D120" t="s">
        <v>23</v>
      </c>
      <c r="E120" t="s">
        <v>24</v>
      </c>
      <c r="F120" t="s">
        <v>25</v>
      </c>
      <c r="G120" t="s">
        <v>34</v>
      </c>
      <c r="H120" s="14" t="str">
        <f t="shared" si="1"/>
        <v>Jun</v>
      </c>
      <c r="I120" s="15">
        <v>8905302263286</v>
      </c>
      <c r="J120" t="s">
        <v>746</v>
      </c>
      <c r="K120" t="s">
        <v>747</v>
      </c>
      <c r="L120" t="s">
        <v>748</v>
      </c>
      <c r="M120" t="s">
        <v>44</v>
      </c>
      <c r="N120">
        <v>5999</v>
      </c>
      <c r="O120">
        <v>5999</v>
      </c>
      <c r="P120">
        <v>1</v>
      </c>
      <c r="Q120">
        <v>5999</v>
      </c>
      <c r="R120">
        <v>1199.8</v>
      </c>
      <c r="S120">
        <v>0</v>
      </c>
      <c r="T120">
        <v>4799.2</v>
      </c>
      <c r="U120" t="s">
        <v>45</v>
      </c>
    </row>
    <row r="121" spans="1:22" ht="19" x14ac:dyDescent="0.25">
      <c r="A121" t="s">
        <v>20</v>
      </c>
      <c r="B121" t="s">
        <v>1134</v>
      </c>
      <c r="C121" t="s">
        <v>1162</v>
      </c>
      <c r="D121" t="s">
        <v>23</v>
      </c>
      <c r="E121" t="s">
        <v>24</v>
      </c>
      <c r="F121" t="s">
        <v>25</v>
      </c>
      <c r="G121" t="s">
        <v>26</v>
      </c>
      <c r="H121" s="14" t="str">
        <f t="shared" si="1"/>
        <v>Jun</v>
      </c>
      <c r="I121" s="15">
        <v>8905302263382</v>
      </c>
      <c r="J121" t="s">
        <v>853</v>
      </c>
      <c r="K121" t="s">
        <v>854</v>
      </c>
      <c r="L121" t="s">
        <v>184</v>
      </c>
      <c r="M121" t="s">
        <v>61</v>
      </c>
      <c r="N121">
        <v>3999</v>
      </c>
      <c r="O121">
        <v>3999</v>
      </c>
      <c r="P121">
        <v>1</v>
      </c>
      <c r="Q121">
        <v>3999</v>
      </c>
      <c r="R121">
        <v>1599.6</v>
      </c>
      <c r="S121">
        <v>0</v>
      </c>
      <c r="T121">
        <v>2399.4</v>
      </c>
      <c r="U121" t="s">
        <v>31</v>
      </c>
    </row>
    <row r="122" spans="1:22" ht="19" x14ac:dyDescent="0.25">
      <c r="A122" t="s">
        <v>20</v>
      </c>
      <c r="B122" t="s">
        <v>1134</v>
      </c>
      <c r="C122" t="s">
        <v>1138</v>
      </c>
      <c r="D122" t="s">
        <v>23</v>
      </c>
      <c r="E122" t="s">
        <v>24</v>
      </c>
      <c r="F122" t="s">
        <v>64</v>
      </c>
      <c r="G122" t="s">
        <v>65</v>
      </c>
      <c r="H122" s="14" t="str">
        <f t="shared" si="1"/>
        <v>Jun</v>
      </c>
      <c r="I122" s="15">
        <v>8905302263399</v>
      </c>
      <c r="J122" t="s">
        <v>1041</v>
      </c>
      <c r="K122" t="s">
        <v>1042</v>
      </c>
      <c r="L122" t="s">
        <v>1043</v>
      </c>
      <c r="M122" t="s">
        <v>54</v>
      </c>
      <c r="N122">
        <v>7999</v>
      </c>
      <c r="O122">
        <v>7999</v>
      </c>
      <c r="P122">
        <v>1</v>
      </c>
      <c r="Q122">
        <v>7999</v>
      </c>
      <c r="R122">
        <v>2399.6999999999998</v>
      </c>
      <c r="S122">
        <v>115.43</v>
      </c>
      <c r="T122">
        <v>5483.87</v>
      </c>
      <c r="U122" t="s">
        <v>31</v>
      </c>
    </row>
    <row r="123" spans="1:22" ht="19" x14ac:dyDescent="0.25">
      <c r="A123" t="s">
        <v>20</v>
      </c>
      <c r="B123" t="s">
        <v>1134</v>
      </c>
      <c r="C123" t="s">
        <v>1138</v>
      </c>
      <c r="D123" t="s">
        <v>23</v>
      </c>
      <c r="E123" t="s">
        <v>24</v>
      </c>
      <c r="F123" t="s">
        <v>25</v>
      </c>
      <c r="G123" t="s">
        <v>34</v>
      </c>
      <c r="H123" s="14" t="str">
        <f t="shared" si="1"/>
        <v>Jun</v>
      </c>
      <c r="I123" s="15">
        <v>8905302263284</v>
      </c>
      <c r="J123" t="s">
        <v>996</v>
      </c>
      <c r="K123" t="s">
        <v>997</v>
      </c>
      <c r="L123" t="s">
        <v>998</v>
      </c>
      <c r="M123" t="s">
        <v>54</v>
      </c>
      <c r="N123">
        <v>5999</v>
      </c>
      <c r="O123">
        <v>5999</v>
      </c>
      <c r="P123">
        <v>1</v>
      </c>
      <c r="Q123">
        <v>5999</v>
      </c>
      <c r="R123">
        <v>1199.8</v>
      </c>
      <c r="S123">
        <v>98.92</v>
      </c>
      <c r="T123">
        <v>4700.28</v>
      </c>
      <c r="U123" t="s">
        <v>31</v>
      </c>
    </row>
    <row r="124" spans="1:22" ht="19" x14ac:dyDescent="0.25">
      <c r="A124" t="s">
        <v>20</v>
      </c>
      <c r="B124" t="s">
        <v>1134</v>
      </c>
      <c r="C124" t="s">
        <v>1139</v>
      </c>
      <c r="D124" t="s">
        <v>23</v>
      </c>
      <c r="E124" t="s">
        <v>24</v>
      </c>
      <c r="F124" t="s">
        <v>64</v>
      </c>
      <c r="G124" t="s">
        <v>65</v>
      </c>
      <c r="H124" s="14" t="str">
        <f t="shared" si="1"/>
        <v>Jun</v>
      </c>
      <c r="I124" s="15">
        <v>8905302263206</v>
      </c>
      <c r="J124" t="s">
        <v>587</v>
      </c>
      <c r="K124" t="s">
        <v>588</v>
      </c>
      <c r="L124" t="s">
        <v>589</v>
      </c>
      <c r="M124" t="s">
        <v>84</v>
      </c>
      <c r="N124">
        <v>6999</v>
      </c>
      <c r="O124">
        <v>6999</v>
      </c>
      <c r="P124">
        <v>1</v>
      </c>
      <c r="Q124">
        <v>6999</v>
      </c>
      <c r="R124">
        <v>2099.6999999999998</v>
      </c>
      <c r="S124">
        <v>0</v>
      </c>
      <c r="T124">
        <v>4899.3</v>
      </c>
      <c r="U124" t="s">
        <v>45</v>
      </c>
    </row>
    <row r="125" spans="1:22" ht="19" x14ac:dyDescent="0.25">
      <c r="A125" t="s">
        <v>62</v>
      </c>
      <c r="B125" t="s">
        <v>1134</v>
      </c>
      <c r="C125" t="s">
        <v>1140</v>
      </c>
      <c r="D125" t="s">
        <v>23</v>
      </c>
      <c r="E125" t="s">
        <v>24</v>
      </c>
      <c r="F125" t="s">
        <v>64</v>
      </c>
      <c r="G125" t="s">
        <v>65</v>
      </c>
      <c r="H125" s="14" t="str">
        <f t="shared" si="1"/>
        <v>Jun</v>
      </c>
      <c r="I125" s="15">
        <v>8905302263405</v>
      </c>
      <c r="J125" t="s">
        <v>1003</v>
      </c>
      <c r="K125" t="s">
        <v>1004</v>
      </c>
      <c r="L125" t="s">
        <v>1005</v>
      </c>
      <c r="M125" t="s">
        <v>61</v>
      </c>
      <c r="N125">
        <v>6999</v>
      </c>
      <c r="O125">
        <v>6999</v>
      </c>
      <c r="P125">
        <v>1</v>
      </c>
      <c r="Q125">
        <v>6999</v>
      </c>
      <c r="R125">
        <v>2099.6999999999998</v>
      </c>
      <c r="S125">
        <v>0</v>
      </c>
      <c r="T125">
        <v>4899.3</v>
      </c>
      <c r="U125" t="s">
        <v>55</v>
      </c>
    </row>
    <row r="126" spans="1:22" ht="19" x14ac:dyDescent="0.25">
      <c r="A126" t="s">
        <v>62</v>
      </c>
      <c r="B126" t="s">
        <v>1134</v>
      </c>
      <c r="C126" t="s">
        <v>1141</v>
      </c>
      <c r="D126" t="s">
        <v>23</v>
      </c>
      <c r="E126" t="s">
        <v>24</v>
      </c>
      <c r="F126" t="s">
        <v>64</v>
      </c>
      <c r="G126" t="s">
        <v>65</v>
      </c>
      <c r="H126" s="14" t="str">
        <f t="shared" si="1"/>
        <v>Jun</v>
      </c>
      <c r="I126" s="15">
        <v>8905302263208</v>
      </c>
      <c r="J126" t="s">
        <v>429</v>
      </c>
      <c r="K126" t="s">
        <v>428</v>
      </c>
      <c r="L126" t="s">
        <v>427</v>
      </c>
      <c r="M126" t="s">
        <v>44</v>
      </c>
      <c r="N126">
        <v>5999</v>
      </c>
      <c r="O126">
        <v>5999</v>
      </c>
      <c r="P126">
        <v>1</v>
      </c>
      <c r="Q126">
        <v>5999</v>
      </c>
      <c r="R126">
        <v>1799.7</v>
      </c>
      <c r="S126">
        <v>0</v>
      </c>
      <c r="T126">
        <v>4199.3</v>
      </c>
      <c r="U126" t="s">
        <v>55</v>
      </c>
    </row>
    <row r="127" spans="1:22" ht="19" x14ac:dyDescent="0.25">
      <c r="A127" t="s">
        <v>575</v>
      </c>
      <c r="B127" t="s">
        <v>1134</v>
      </c>
      <c r="C127" t="s">
        <v>1163</v>
      </c>
      <c r="D127" t="s">
        <v>23</v>
      </c>
      <c r="E127" t="s">
        <v>24</v>
      </c>
      <c r="F127" t="s">
        <v>64</v>
      </c>
      <c r="G127" t="s">
        <v>65</v>
      </c>
      <c r="H127" s="14" t="str">
        <f t="shared" si="1"/>
        <v>Jun</v>
      </c>
      <c r="I127" s="15">
        <v>8905302263190</v>
      </c>
      <c r="J127" t="s">
        <v>272</v>
      </c>
      <c r="K127" t="s">
        <v>273</v>
      </c>
      <c r="L127" t="s">
        <v>274</v>
      </c>
      <c r="M127" t="s">
        <v>61</v>
      </c>
      <c r="N127">
        <v>7999</v>
      </c>
      <c r="O127">
        <v>7999</v>
      </c>
      <c r="P127">
        <v>1</v>
      </c>
      <c r="Q127">
        <v>7999</v>
      </c>
      <c r="R127">
        <v>2399.6999999999998</v>
      </c>
      <c r="S127">
        <v>0</v>
      </c>
      <c r="T127">
        <v>5599.3</v>
      </c>
      <c r="U127" t="s">
        <v>259</v>
      </c>
    </row>
    <row r="128" spans="1:22" ht="19" x14ac:dyDescent="0.25">
      <c r="A128" t="s">
        <v>962</v>
      </c>
      <c r="B128" t="s">
        <v>1164</v>
      </c>
      <c r="C128" t="s">
        <v>1165</v>
      </c>
      <c r="D128" t="s">
        <v>23</v>
      </c>
      <c r="E128" t="s">
        <v>24</v>
      </c>
      <c r="F128" t="s">
        <v>25</v>
      </c>
      <c r="G128" t="s">
        <v>34</v>
      </c>
      <c r="H128" s="14" t="str">
        <f t="shared" si="1"/>
        <v>Jun</v>
      </c>
      <c r="I128" s="15">
        <v>8905302263346</v>
      </c>
      <c r="J128" t="s">
        <v>699</v>
      </c>
      <c r="K128" t="s">
        <v>700</v>
      </c>
      <c r="L128" t="s">
        <v>701</v>
      </c>
      <c r="M128" t="s">
        <v>44</v>
      </c>
      <c r="N128">
        <v>5999</v>
      </c>
      <c r="O128">
        <v>5999</v>
      </c>
      <c r="P128">
        <v>1</v>
      </c>
      <c r="Q128">
        <v>5999</v>
      </c>
      <c r="R128">
        <v>1199.8</v>
      </c>
      <c r="S128">
        <v>0</v>
      </c>
      <c r="T128">
        <v>4799.2</v>
      </c>
      <c r="U128" t="s">
        <v>50</v>
      </c>
    </row>
    <row r="129" spans="1:21" ht="19" x14ac:dyDescent="0.25">
      <c r="A129" t="s">
        <v>962</v>
      </c>
      <c r="B129" t="s">
        <v>1164</v>
      </c>
      <c r="C129" t="s">
        <v>1166</v>
      </c>
      <c r="D129" t="s">
        <v>23</v>
      </c>
      <c r="E129" t="s">
        <v>24</v>
      </c>
      <c r="F129" t="s">
        <v>25</v>
      </c>
      <c r="G129" t="s">
        <v>34</v>
      </c>
      <c r="H129" s="14" t="str">
        <f t="shared" si="1"/>
        <v>Jun</v>
      </c>
      <c r="I129" s="15">
        <v>8905302263345</v>
      </c>
      <c r="J129" t="s">
        <v>610</v>
      </c>
      <c r="K129" t="s">
        <v>611</v>
      </c>
      <c r="L129" t="s">
        <v>612</v>
      </c>
      <c r="M129" t="s">
        <v>61</v>
      </c>
      <c r="N129">
        <v>5999</v>
      </c>
      <c r="O129">
        <v>5999</v>
      </c>
      <c r="P129">
        <v>1</v>
      </c>
      <c r="Q129">
        <v>5999</v>
      </c>
      <c r="R129">
        <v>1199.8</v>
      </c>
      <c r="S129">
        <v>0</v>
      </c>
      <c r="T129">
        <v>4799.2</v>
      </c>
      <c r="U129" t="s">
        <v>39</v>
      </c>
    </row>
    <row r="130" spans="1:21" ht="19" x14ac:dyDescent="0.25">
      <c r="A130" t="s">
        <v>962</v>
      </c>
      <c r="B130" t="s">
        <v>1164</v>
      </c>
      <c r="C130" t="s">
        <v>1167</v>
      </c>
      <c r="D130" t="s">
        <v>23</v>
      </c>
      <c r="E130" t="s">
        <v>24</v>
      </c>
      <c r="F130" t="s">
        <v>25</v>
      </c>
      <c r="G130" t="s">
        <v>34</v>
      </c>
      <c r="H130" s="14" t="str">
        <f t="shared" ref="H130:H148" si="2">TEXT(DATE(RIGHT(B130,4),MID(B130,4,2),LEFT(B130,2)),"mmm")</f>
        <v>Jun</v>
      </c>
      <c r="I130" s="15">
        <v>8905302263415</v>
      </c>
      <c r="J130" t="s">
        <v>1168</v>
      </c>
      <c r="K130" t="s">
        <v>1169</v>
      </c>
      <c r="L130" t="s">
        <v>1170</v>
      </c>
      <c r="M130" t="s">
        <v>61</v>
      </c>
      <c r="N130">
        <v>6999</v>
      </c>
      <c r="O130">
        <v>6999</v>
      </c>
      <c r="P130">
        <v>1</v>
      </c>
      <c r="Q130">
        <v>6999</v>
      </c>
      <c r="R130">
        <v>1399.8</v>
      </c>
      <c r="S130">
        <v>0</v>
      </c>
      <c r="T130">
        <v>5599.2</v>
      </c>
      <c r="U130" t="s">
        <v>55</v>
      </c>
    </row>
    <row r="131" spans="1:21" ht="19" x14ac:dyDescent="0.25">
      <c r="A131" t="s">
        <v>962</v>
      </c>
      <c r="B131" t="s">
        <v>1164</v>
      </c>
      <c r="C131" t="s">
        <v>1171</v>
      </c>
      <c r="D131" t="s">
        <v>23</v>
      </c>
      <c r="E131" t="s">
        <v>24</v>
      </c>
      <c r="F131" t="s">
        <v>25</v>
      </c>
      <c r="G131" t="s">
        <v>26</v>
      </c>
      <c r="H131" s="14" t="str">
        <f t="shared" si="2"/>
        <v>Jun</v>
      </c>
      <c r="I131" s="15">
        <v>8905202264927</v>
      </c>
      <c r="J131" t="s">
        <v>232</v>
      </c>
      <c r="K131" t="s">
        <v>233</v>
      </c>
      <c r="L131" t="s">
        <v>123</v>
      </c>
      <c r="M131" t="s">
        <v>44</v>
      </c>
      <c r="N131">
        <v>2995</v>
      </c>
      <c r="O131">
        <v>2995</v>
      </c>
      <c r="P131">
        <v>1</v>
      </c>
      <c r="Q131">
        <v>2995</v>
      </c>
      <c r="R131">
        <v>1198</v>
      </c>
      <c r="S131">
        <v>0</v>
      </c>
      <c r="T131">
        <v>1797</v>
      </c>
      <c r="U131" t="s">
        <v>45</v>
      </c>
    </row>
    <row r="132" spans="1:21" ht="19" x14ac:dyDescent="0.25">
      <c r="A132" t="s">
        <v>962</v>
      </c>
      <c r="B132" t="s">
        <v>1164</v>
      </c>
      <c r="C132" t="s">
        <v>1172</v>
      </c>
      <c r="D132" t="s">
        <v>23</v>
      </c>
      <c r="E132" t="s">
        <v>24</v>
      </c>
      <c r="F132" t="s">
        <v>25</v>
      </c>
      <c r="G132" t="s">
        <v>26</v>
      </c>
      <c r="H132" s="14" t="str">
        <f t="shared" si="2"/>
        <v>Jun</v>
      </c>
      <c r="I132" s="15">
        <v>8905202264835</v>
      </c>
      <c r="J132" t="s">
        <v>552</v>
      </c>
      <c r="K132" t="s">
        <v>553</v>
      </c>
      <c r="L132" t="s">
        <v>53</v>
      </c>
      <c r="M132" t="s">
        <v>54</v>
      </c>
      <c r="N132">
        <v>3995</v>
      </c>
      <c r="O132">
        <v>3995</v>
      </c>
      <c r="P132">
        <v>1</v>
      </c>
      <c r="Q132">
        <v>3995</v>
      </c>
      <c r="R132">
        <v>1598</v>
      </c>
      <c r="S132">
        <v>0</v>
      </c>
      <c r="T132">
        <v>2397</v>
      </c>
      <c r="U132" t="s">
        <v>50</v>
      </c>
    </row>
    <row r="133" spans="1:21" ht="19" x14ac:dyDescent="0.25">
      <c r="A133" t="s">
        <v>20</v>
      </c>
      <c r="B133" t="s">
        <v>1164</v>
      </c>
      <c r="C133" t="s">
        <v>1173</v>
      </c>
      <c r="D133" t="s">
        <v>23</v>
      </c>
      <c r="E133" t="s">
        <v>24</v>
      </c>
      <c r="F133" t="s">
        <v>64</v>
      </c>
      <c r="G133" t="s">
        <v>65</v>
      </c>
      <c r="H133" s="14" t="str">
        <f t="shared" si="2"/>
        <v>Jun</v>
      </c>
      <c r="I133" s="15">
        <v>8905302263393</v>
      </c>
      <c r="J133" t="s">
        <v>1015</v>
      </c>
      <c r="K133" t="s">
        <v>1016</v>
      </c>
      <c r="L133" t="s">
        <v>1017</v>
      </c>
      <c r="M133" t="s">
        <v>44</v>
      </c>
      <c r="N133">
        <v>6999</v>
      </c>
      <c r="O133">
        <v>6999</v>
      </c>
      <c r="P133">
        <v>1</v>
      </c>
      <c r="Q133">
        <v>6999</v>
      </c>
      <c r="R133">
        <v>2099.6999999999998</v>
      </c>
      <c r="S133">
        <v>0</v>
      </c>
      <c r="T133">
        <v>4899.3</v>
      </c>
      <c r="U133" t="s">
        <v>50</v>
      </c>
    </row>
    <row r="134" spans="1:21" ht="19" x14ac:dyDescent="0.25">
      <c r="A134" t="s">
        <v>20</v>
      </c>
      <c r="B134" t="s">
        <v>1164</v>
      </c>
      <c r="C134" t="s">
        <v>1174</v>
      </c>
      <c r="D134" t="s">
        <v>23</v>
      </c>
      <c r="E134" t="s">
        <v>24</v>
      </c>
      <c r="F134" t="s">
        <v>25</v>
      </c>
      <c r="G134" t="s">
        <v>26</v>
      </c>
      <c r="H134" s="14" t="str">
        <f t="shared" si="2"/>
        <v>Jun</v>
      </c>
      <c r="I134" s="15">
        <v>8905302263383</v>
      </c>
      <c r="J134" t="s">
        <v>976</v>
      </c>
      <c r="K134" t="s">
        <v>977</v>
      </c>
      <c r="L134" t="s">
        <v>123</v>
      </c>
      <c r="M134" t="s">
        <v>44</v>
      </c>
      <c r="N134">
        <v>3999</v>
      </c>
      <c r="O134">
        <v>3999</v>
      </c>
      <c r="P134">
        <v>1</v>
      </c>
      <c r="Q134">
        <v>3999</v>
      </c>
      <c r="R134">
        <v>1599.6</v>
      </c>
      <c r="S134">
        <v>0</v>
      </c>
      <c r="T134">
        <v>2399.4</v>
      </c>
      <c r="U134" t="s">
        <v>45</v>
      </c>
    </row>
    <row r="135" spans="1:21" ht="19" x14ac:dyDescent="0.25">
      <c r="A135" t="s">
        <v>62</v>
      </c>
      <c r="B135" t="s">
        <v>1164</v>
      </c>
      <c r="C135" t="s">
        <v>1175</v>
      </c>
      <c r="D135" t="s">
        <v>23</v>
      </c>
      <c r="E135" t="s">
        <v>24</v>
      </c>
      <c r="F135" t="s">
        <v>25</v>
      </c>
      <c r="G135" t="s">
        <v>26</v>
      </c>
      <c r="H135" s="14" t="str">
        <f t="shared" si="2"/>
        <v>Jun</v>
      </c>
      <c r="I135" s="15">
        <v>8905202264866</v>
      </c>
      <c r="J135" t="s">
        <v>147</v>
      </c>
      <c r="K135" t="s">
        <v>148</v>
      </c>
      <c r="L135" t="s">
        <v>149</v>
      </c>
      <c r="M135" t="s">
        <v>38</v>
      </c>
      <c r="N135">
        <v>3995</v>
      </c>
      <c r="O135">
        <v>3995</v>
      </c>
      <c r="P135">
        <v>1</v>
      </c>
      <c r="Q135">
        <v>3995</v>
      </c>
      <c r="R135">
        <v>1598</v>
      </c>
      <c r="S135">
        <v>0</v>
      </c>
      <c r="T135">
        <v>2397</v>
      </c>
      <c r="U135" t="s">
        <v>55</v>
      </c>
    </row>
    <row r="136" spans="1:21" ht="19" x14ac:dyDescent="0.25">
      <c r="A136" t="s">
        <v>62</v>
      </c>
      <c r="B136" t="s">
        <v>1164</v>
      </c>
      <c r="C136" t="s">
        <v>710</v>
      </c>
      <c r="D136" t="s">
        <v>23</v>
      </c>
      <c r="E136" t="s">
        <v>24</v>
      </c>
      <c r="F136" t="s">
        <v>25</v>
      </c>
      <c r="G136" t="s">
        <v>26</v>
      </c>
      <c r="H136" s="14" t="str">
        <f t="shared" si="2"/>
        <v>Jun</v>
      </c>
      <c r="I136" s="15">
        <v>8905202264644</v>
      </c>
      <c r="J136" t="s">
        <v>1176</v>
      </c>
      <c r="K136">
        <v>8905202264644</v>
      </c>
      <c r="L136" t="s">
        <v>251</v>
      </c>
      <c r="M136" t="s">
        <v>84</v>
      </c>
      <c r="N136">
        <v>3495</v>
      </c>
      <c r="O136">
        <v>3495</v>
      </c>
      <c r="P136">
        <v>1</v>
      </c>
      <c r="Q136">
        <v>3495</v>
      </c>
      <c r="R136">
        <v>1398</v>
      </c>
      <c r="S136">
        <v>0</v>
      </c>
      <c r="T136">
        <v>2097</v>
      </c>
      <c r="U136" t="s">
        <v>45</v>
      </c>
    </row>
    <row r="137" spans="1:21" ht="19" x14ac:dyDescent="0.25">
      <c r="A137" t="s">
        <v>62</v>
      </c>
      <c r="B137" t="s">
        <v>1164</v>
      </c>
      <c r="C137" t="s">
        <v>1177</v>
      </c>
      <c r="D137" t="s">
        <v>23</v>
      </c>
      <c r="E137" t="s">
        <v>24</v>
      </c>
      <c r="F137" t="s">
        <v>64</v>
      </c>
      <c r="G137" t="s">
        <v>65</v>
      </c>
      <c r="H137" s="14" t="str">
        <f t="shared" si="2"/>
        <v>Jun</v>
      </c>
      <c r="I137" s="15">
        <v>8905302263358</v>
      </c>
      <c r="J137" t="s">
        <v>868</v>
      </c>
      <c r="K137" t="s">
        <v>869</v>
      </c>
      <c r="L137" t="s">
        <v>601</v>
      </c>
      <c r="M137" t="s">
        <v>61</v>
      </c>
      <c r="N137">
        <v>7999</v>
      </c>
      <c r="O137">
        <v>7999</v>
      </c>
      <c r="P137">
        <v>1</v>
      </c>
      <c r="Q137">
        <v>7999</v>
      </c>
      <c r="R137">
        <v>2399.6999999999998</v>
      </c>
      <c r="S137">
        <v>0</v>
      </c>
      <c r="T137">
        <v>5599.3</v>
      </c>
      <c r="U137" t="s">
        <v>45</v>
      </c>
    </row>
    <row r="138" spans="1:21" ht="19" x14ac:dyDescent="0.25">
      <c r="A138" t="s">
        <v>575</v>
      </c>
      <c r="B138" t="s">
        <v>1164</v>
      </c>
      <c r="C138" t="s">
        <v>1178</v>
      </c>
      <c r="D138" t="s">
        <v>23</v>
      </c>
      <c r="E138" t="s">
        <v>24</v>
      </c>
      <c r="F138" t="s">
        <v>25</v>
      </c>
      <c r="G138" t="s">
        <v>26</v>
      </c>
      <c r="H138" s="14" t="str">
        <f t="shared" si="2"/>
        <v>Jun</v>
      </c>
      <c r="I138" s="15">
        <v>8905202264897</v>
      </c>
      <c r="J138" t="s">
        <v>203</v>
      </c>
      <c r="K138">
        <v>8905202264897</v>
      </c>
      <c r="L138" t="s">
        <v>191</v>
      </c>
      <c r="M138" t="s">
        <v>61</v>
      </c>
      <c r="N138">
        <v>2995</v>
      </c>
      <c r="O138">
        <v>2995</v>
      </c>
      <c r="P138">
        <v>1</v>
      </c>
      <c r="Q138">
        <v>2995</v>
      </c>
      <c r="R138">
        <v>1198</v>
      </c>
      <c r="S138">
        <v>0</v>
      </c>
      <c r="T138">
        <v>1797</v>
      </c>
      <c r="U138" t="s">
        <v>45</v>
      </c>
    </row>
    <row r="139" spans="1:21" ht="19" x14ac:dyDescent="0.25">
      <c r="A139" t="s">
        <v>962</v>
      </c>
      <c r="B139" t="s">
        <v>1179</v>
      </c>
      <c r="C139" t="s">
        <v>1180</v>
      </c>
      <c r="D139" t="s">
        <v>23</v>
      </c>
      <c r="E139" t="s">
        <v>24</v>
      </c>
      <c r="F139" t="s">
        <v>25</v>
      </c>
      <c r="G139" t="s">
        <v>26</v>
      </c>
      <c r="H139" s="14" t="str">
        <f t="shared" si="2"/>
        <v>Jun</v>
      </c>
      <c r="I139" s="15">
        <v>8905202269441</v>
      </c>
      <c r="J139" t="s">
        <v>554</v>
      </c>
      <c r="K139" t="s">
        <v>555</v>
      </c>
      <c r="L139" t="s">
        <v>556</v>
      </c>
      <c r="M139" t="s">
        <v>54</v>
      </c>
      <c r="N139">
        <v>3995</v>
      </c>
      <c r="O139">
        <v>3995</v>
      </c>
      <c r="P139">
        <v>1</v>
      </c>
      <c r="Q139">
        <v>3995</v>
      </c>
      <c r="R139">
        <v>1598</v>
      </c>
      <c r="S139">
        <v>0</v>
      </c>
      <c r="T139">
        <v>2397</v>
      </c>
      <c r="U139" t="s">
        <v>45</v>
      </c>
    </row>
    <row r="140" spans="1:21" ht="19" x14ac:dyDescent="0.25">
      <c r="A140" t="s">
        <v>62</v>
      </c>
      <c r="B140" t="s">
        <v>1179</v>
      </c>
      <c r="C140" t="s">
        <v>1181</v>
      </c>
      <c r="D140" t="s">
        <v>23</v>
      </c>
      <c r="E140" t="s">
        <v>24</v>
      </c>
      <c r="F140" t="s">
        <v>25</v>
      </c>
      <c r="G140" t="s">
        <v>34</v>
      </c>
      <c r="H140" s="14" t="str">
        <f t="shared" si="2"/>
        <v>Jun</v>
      </c>
      <c r="I140" s="15">
        <v>8905302263303</v>
      </c>
      <c r="J140" t="s">
        <v>969</v>
      </c>
      <c r="K140" t="s">
        <v>970</v>
      </c>
      <c r="L140" t="s">
        <v>667</v>
      </c>
      <c r="M140" t="s">
        <v>54</v>
      </c>
      <c r="N140">
        <v>4999</v>
      </c>
      <c r="O140">
        <v>4999</v>
      </c>
      <c r="P140">
        <v>1</v>
      </c>
      <c r="Q140">
        <v>4999</v>
      </c>
      <c r="R140">
        <v>999.8</v>
      </c>
      <c r="S140">
        <v>0</v>
      </c>
      <c r="T140">
        <v>2999.2</v>
      </c>
      <c r="U140" t="s">
        <v>31</v>
      </c>
    </row>
    <row r="141" spans="1:21" ht="19" x14ac:dyDescent="0.25">
      <c r="A141" t="s">
        <v>962</v>
      </c>
      <c r="B141" t="s">
        <v>1182</v>
      </c>
      <c r="C141" t="s">
        <v>1183</v>
      </c>
      <c r="D141" t="s">
        <v>23</v>
      </c>
      <c r="E141" t="s">
        <v>24</v>
      </c>
      <c r="F141" t="s">
        <v>25</v>
      </c>
      <c r="G141" t="s">
        <v>34</v>
      </c>
      <c r="H141" s="14" t="str">
        <f t="shared" si="2"/>
        <v>Jun</v>
      </c>
      <c r="I141" s="15">
        <v>8905302263389</v>
      </c>
      <c r="J141" t="s">
        <v>1011</v>
      </c>
      <c r="K141" t="s">
        <v>1012</v>
      </c>
      <c r="L141" t="s">
        <v>667</v>
      </c>
      <c r="M141" t="s">
        <v>54</v>
      </c>
      <c r="N141">
        <v>4999</v>
      </c>
      <c r="O141">
        <v>4999</v>
      </c>
      <c r="P141">
        <v>1</v>
      </c>
      <c r="Q141">
        <v>4999</v>
      </c>
      <c r="R141">
        <v>999.8</v>
      </c>
      <c r="S141">
        <v>0</v>
      </c>
      <c r="T141">
        <v>3999.2</v>
      </c>
      <c r="U141" t="s">
        <v>45</v>
      </c>
    </row>
    <row r="142" spans="1:21" ht="19" x14ac:dyDescent="0.25">
      <c r="A142" t="s">
        <v>962</v>
      </c>
      <c r="B142" t="s">
        <v>1182</v>
      </c>
      <c r="C142">
        <v>98110370260</v>
      </c>
      <c r="D142" t="s">
        <v>23</v>
      </c>
      <c r="E142" t="s">
        <v>24</v>
      </c>
      <c r="F142" t="s">
        <v>64</v>
      </c>
      <c r="G142" t="s">
        <v>65</v>
      </c>
      <c r="H142" s="14" t="str">
        <f t="shared" si="2"/>
        <v>Jun</v>
      </c>
      <c r="I142" s="15">
        <v>8905302263363</v>
      </c>
      <c r="J142" t="s">
        <v>849</v>
      </c>
      <c r="K142" t="s">
        <v>850</v>
      </c>
      <c r="L142" t="s">
        <v>851</v>
      </c>
      <c r="M142" t="s">
        <v>44</v>
      </c>
      <c r="N142">
        <v>7999</v>
      </c>
      <c r="O142">
        <v>7999</v>
      </c>
      <c r="P142">
        <v>1</v>
      </c>
      <c r="Q142">
        <v>7999</v>
      </c>
      <c r="R142">
        <v>2399.6999999999998</v>
      </c>
      <c r="S142">
        <v>0</v>
      </c>
      <c r="T142">
        <v>5599.3</v>
      </c>
      <c r="U142" t="s">
        <v>45</v>
      </c>
    </row>
    <row r="143" spans="1:21" ht="19" x14ac:dyDescent="0.25">
      <c r="A143" t="s">
        <v>962</v>
      </c>
      <c r="B143" t="s">
        <v>1182</v>
      </c>
      <c r="D143" t="s">
        <v>23</v>
      </c>
      <c r="E143" t="s">
        <v>24</v>
      </c>
      <c r="F143" t="s">
        <v>25</v>
      </c>
      <c r="G143" t="s">
        <v>26</v>
      </c>
      <c r="H143" s="14" t="str">
        <f t="shared" si="2"/>
        <v>Jun</v>
      </c>
      <c r="I143" s="15">
        <v>8905202264880</v>
      </c>
      <c r="J143" t="s">
        <v>417</v>
      </c>
      <c r="K143">
        <v>8905202264880</v>
      </c>
      <c r="L143" t="s">
        <v>416</v>
      </c>
      <c r="M143" t="s">
        <v>54</v>
      </c>
      <c r="N143">
        <v>2995</v>
      </c>
      <c r="O143">
        <v>2995</v>
      </c>
      <c r="P143">
        <v>1</v>
      </c>
      <c r="Q143">
        <v>2995</v>
      </c>
      <c r="R143">
        <v>1198</v>
      </c>
      <c r="S143">
        <v>0</v>
      </c>
      <c r="T143">
        <v>1797</v>
      </c>
      <c r="U143" t="s">
        <v>45</v>
      </c>
    </row>
    <row r="144" spans="1:21" ht="19" x14ac:dyDescent="0.25">
      <c r="A144" t="s">
        <v>62</v>
      </c>
      <c r="B144" t="s">
        <v>1182</v>
      </c>
      <c r="C144" t="s">
        <v>1184</v>
      </c>
      <c r="D144" t="s">
        <v>23</v>
      </c>
      <c r="E144" t="s">
        <v>24</v>
      </c>
      <c r="F144" t="s">
        <v>25</v>
      </c>
      <c r="G144" t="s">
        <v>26</v>
      </c>
      <c r="H144" s="14" t="str">
        <f t="shared" si="2"/>
        <v>Jun</v>
      </c>
      <c r="I144" s="15">
        <v>8905302263376</v>
      </c>
      <c r="J144" t="s">
        <v>864</v>
      </c>
      <c r="K144" t="s">
        <v>865</v>
      </c>
      <c r="L144" t="s">
        <v>866</v>
      </c>
      <c r="M144" t="s">
        <v>61</v>
      </c>
      <c r="N144">
        <v>3999</v>
      </c>
      <c r="O144">
        <v>3999</v>
      </c>
      <c r="P144">
        <v>1</v>
      </c>
      <c r="Q144">
        <v>3999</v>
      </c>
      <c r="R144">
        <v>1599.6</v>
      </c>
      <c r="S144">
        <v>0</v>
      </c>
      <c r="T144">
        <v>2399.4</v>
      </c>
      <c r="U144" t="s">
        <v>55</v>
      </c>
    </row>
    <row r="145" spans="1:21" ht="19" x14ac:dyDescent="0.25">
      <c r="A145" t="s">
        <v>62</v>
      </c>
      <c r="B145" t="s">
        <v>1182</v>
      </c>
      <c r="C145" t="s">
        <v>1185</v>
      </c>
      <c r="D145" t="s">
        <v>23</v>
      </c>
      <c r="E145" t="s">
        <v>24</v>
      </c>
      <c r="F145" t="s">
        <v>25</v>
      </c>
      <c r="G145" t="s">
        <v>26</v>
      </c>
      <c r="H145" s="14" t="str">
        <f t="shared" si="2"/>
        <v>Jun</v>
      </c>
      <c r="I145" s="15">
        <v>8905202265030</v>
      </c>
      <c r="J145" t="s">
        <v>688</v>
      </c>
      <c r="K145" t="s">
        <v>689</v>
      </c>
      <c r="L145" t="s">
        <v>690</v>
      </c>
      <c r="M145" t="s">
        <v>54</v>
      </c>
      <c r="N145">
        <v>2995</v>
      </c>
      <c r="O145">
        <v>2995</v>
      </c>
      <c r="P145">
        <v>1</v>
      </c>
      <c r="Q145">
        <v>2995</v>
      </c>
      <c r="R145">
        <v>1198</v>
      </c>
      <c r="S145">
        <v>0</v>
      </c>
      <c r="T145">
        <v>1797</v>
      </c>
      <c r="U145" t="s">
        <v>50</v>
      </c>
    </row>
    <row r="146" spans="1:21" ht="19" x14ac:dyDescent="0.25">
      <c r="A146" t="s">
        <v>62</v>
      </c>
      <c r="B146" t="s">
        <v>1182</v>
      </c>
      <c r="C146" t="s">
        <v>1186</v>
      </c>
      <c r="D146" t="s">
        <v>23</v>
      </c>
      <c r="E146" t="s">
        <v>24</v>
      </c>
      <c r="F146" t="s">
        <v>64</v>
      </c>
      <c r="G146" t="s">
        <v>65</v>
      </c>
      <c r="H146" s="14" t="str">
        <f t="shared" si="2"/>
        <v>Jun</v>
      </c>
      <c r="I146" s="15">
        <v>8905302263317</v>
      </c>
      <c r="J146" t="s">
        <v>1187</v>
      </c>
      <c r="K146" t="s">
        <v>1188</v>
      </c>
      <c r="L146" t="s">
        <v>877</v>
      </c>
      <c r="M146" t="s">
        <v>54</v>
      </c>
      <c r="N146">
        <v>6999</v>
      </c>
      <c r="O146">
        <v>6999</v>
      </c>
      <c r="P146">
        <v>1</v>
      </c>
      <c r="Q146">
        <v>6999</v>
      </c>
      <c r="R146">
        <v>2099.6999999999998</v>
      </c>
      <c r="S146">
        <v>0</v>
      </c>
      <c r="T146">
        <v>4899.3</v>
      </c>
      <c r="U146" t="s">
        <v>45</v>
      </c>
    </row>
    <row r="147" spans="1:21" ht="19" x14ac:dyDescent="0.25">
      <c r="A147" t="s">
        <v>62</v>
      </c>
      <c r="B147" t="s">
        <v>1182</v>
      </c>
      <c r="C147" t="s">
        <v>1189</v>
      </c>
      <c r="D147" t="s">
        <v>23</v>
      </c>
      <c r="E147" t="s">
        <v>24</v>
      </c>
      <c r="F147" t="s">
        <v>64</v>
      </c>
      <c r="G147" t="s">
        <v>65</v>
      </c>
      <c r="H147" s="14" t="str">
        <f t="shared" si="2"/>
        <v>Jun</v>
      </c>
      <c r="I147" s="15">
        <v>8905302263360</v>
      </c>
      <c r="J147" t="s">
        <v>744</v>
      </c>
      <c r="K147" t="s">
        <v>745</v>
      </c>
      <c r="L147" t="s">
        <v>743</v>
      </c>
      <c r="M147" t="s">
        <v>38</v>
      </c>
      <c r="N147">
        <v>7999</v>
      </c>
      <c r="O147">
        <v>7999</v>
      </c>
      <c r="P147">
        <v>1</v>
      </c>
      <c r="Q147">
        <v>7999</v>
      </c>
      <c r="R147">
        <v>2399.6999999999998</v>
      </c>
      <c r="S147">
        <v>0</v>
      </c>
      <c r="T147">
        <v>5599.3</v>
      </c>
      <c r="U147" t="s">
        <v>50</v>
      </c>
    </row>
    <row r="148" spans="1:21" ht="19" x14ac:dyDescent="0.25">
      <c r="A148" t="s">
        <v>62</v>
      </c>
      <c r="B148" t="s">
        <v>1182</v>
      </c>
      <c r="C148" t="s">
        <v>1190</v>
      </c>
      <c r="D148" t="s">
        <v>23</v>
      </c>
      <c r="E148" t="s">
        <v>24</v>
      </c>
      <c r="F148" t="s">
        <v>25</v>
      </c>
      <c r="G148" t="s">
        <v>26</v>
      </c>
      <c r="H148" s="14" t="str">
        <f t="shared" si="2"/>
        <v>Jun</v>
      </c>
      <c r="I148" s="15">
        <v>8905202269434</v>
      </c>
      <c r="J148" t="s">
        <v>155</v>
      </c>
      <c r="K148" t="s">
        <v>156</v>
      </c>
      <c r="L148" t="s">
        <v>157</v>
      </c>
      <c r="M148" t="s">
        <v>61</v>
      </c>
      <c r="N148">
        <v>3995</v>
      </c>
      <c r="O148">
        <v>3995</v>
      </c>
      <c r="P148">
        <v>1</v>
      </c>
      <c r="Q148">
        <v>3995</v>
      </c>
      <c r="R148">
        <v>1598</v>
      </c>
      <c r="S148">
        <v>0</v>
      </c>
      <c r="T148">
        <v>2397</v>
      </c>
      <c r="U148" t="s">
        <v>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C07-29C9-874D-AA1C-2BAAC7A1F6EE}">
  <dimension ref="B1:U71"/>
  <sheetViews>
    <sheetView workbookViewId="0">
      <pane xSplit="2" ySplit="2" topLeftCell="N22" activePane="bottomRight" state="frozen"/>
      <selection pane="topRight" activeCell="E1" sqref="E1"/>
      <selection pane="bottomLeft" activeCell="A3" sqref="A3"/>
      <selection pane="bottomRight" activeCell="B1" sqref="B1:U71"/>
    </sheetView>
  </sheetViews>
  <sheetFormatPr baseColWidth="10" defaultRowHeight="15" x14ac:dyDescent="0.2"/>
  <cols>
    <col min="5" max="5" width="12.1640625" bestFit="1" customWidth="1"/>
    <col min="6" max="6" width="12.1640625" customWidth="1"/>
  </cols>
  <sheetData>
    <row r="1" spans="2:21" x14ac:dyDescent="0.2">
      <c r="B1" s="80"/>
      <c r="C1" s="176" t="s">
        <v>839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  <c r="P1" s="70"/>
      <c r="Q1" s="92"/>
    </row>
    <row r="2" spans="2:21" x14ac:dyDescent="0.2">
      <c r="B2" s="71" t="s">
        <v>837</v>
      </c>
      <c r="C2" s="62" t="s">
        <v>12</v>
      </c>
      <c r="D2" s="62" t="s">
        <v>832</v>
      </c>
      <c r="E2" s="62" t="s">
        <v>833</v>
      </c>
      <c r="F2" s="62" t="s">
        <v>54</v>
      </c>
      <c r="G2" s="62" t="s">
        <v>61</v>
      </c>
      <c r="H2" s="62" t="s">
        <v>44</v>
      </c>
      <c r="I2" s="62" t="s">
        <v>38</v>
      </c>
      <c r="J2" s="62" t="s">
        <v>84</v>
      </c>
      <c r="K2" s="62" t="s">
        <v>836</v>
      </c>
      <c r="L2" s="62" t="s">
        <v>824</v>
      </c>
      <c r="M2" s="62" t="s">
        <v>835</v>
      </c>
      <c r="N2" s="72" t="s">
        <v>834</v>
      </c>
      <c r="P2" s="93" t="s">
        <v>846</v>
      </c>
      <c r="Q2" s="94" t="s">
        <v>845</v>
      </c>
    </row>
    <row r="3" spans="2:21" x14ac:dyDescent="0.2">
      <c r="B3" s="73" t="s">
        <v>65</v>
      </c>
      <c r="C3" s="63">
        <v>5999</v>
      </c>
      <c r="D3" s="64">
        <v>4</v>
      </c>
      <c r="E3" s="63">
        <v>2</v>
      </c>
      <c r="F3" s="63">
        <v>0</v>
      </c>
      <c r="G3" s="63">
        <v>1</v>
      </c>
      <c r="H3" s="63">
        <v>2</v>
      </c>
      <c r="I3" s="63">
        <v>2</v>
      </c>
      <c r="J3" s="63">
        <v>1</v>
      </c>
      <c r="K3" s="63">
        <f>SUM(G3:J3)*E3</f>
        <v>12</v>
      </c>
      <c r="L3" s="63">
        <f>C3*0.95</f>
        <v>5699.05</v>
      </c>
      <c r="M3" s="63">
        <v>4</v>
      </c>
      <c r="N3" s="74">
        <f>L3*M3</f>
        <v>22796.2</v>
      </c>
      <c r="P3" s="93">
        <f>M3*3</f>
        <v>12</v>
      </c>
      <c r="Q3" s="95">
        <f t="shared" ref="Q3:Q14" si="0">P3*3</f>
        <v>36</v>
      </c>
      <c r="T3" s="93" t="s">
        <v>846</v>
      </c>
      <c r="U3" s="94" t="s">
        <v>845</v>
      </c>
    </row>
    <row r="4" spans="2:21" x14ac:dyDescent="0.2">
      <c r="B4" s="73"/>
      <c r="C4" s="63">
        <v>6999</v>
      </c>
      <c r="D4" s="64">
        <v>4</v>
      </c>
      <c r="E4" s="63">
        <v>4</v>
      </c>
      <c r="F4" s="63">
        <v>0</v>
      </c>
      <c r="G4" s="63">
        <v>1</v>
      </c>
      <c r="H4" s="63">
        <v>2</v>
      </c>
      <c r="I4" s="63">
        <v>2</v>
      </c>
      <c r="J4" s="63">
        <v>1</v>
      </c>
      <c r="K4" s="63">
        <f>SUM(G4:J4)*E4</f>
        <v>24</v>
      </c>
      <c r="L4" s="63">
        <f t="shared" ref="L4:L5" si="1">C4*0.95</f>
        <v>6649.0499999999993</v>
      </c>
      <c r="M4" s="63">
        <v>7</v>
      </c>
      <c r="N4" s="74">
        <f>L4*M4</f>
        <v>46543.349999999991</v>
      </c>
      <c r="P4" s="93">
        <f t="shared" ref="P4:P15" si="2">M4*3</f>
        <v>21</v>
      </c>
      <c r="Q4" s="95">
        <f t="shared" si="0"/>
        <v>63</v>
      </c>
      <c r="S4" s="86" t="s">
        <v>779</v>
      </c>
      <c r="T4">
        <f>P6+P23+P42+P59</f>
        <v>201</v>
      </c>
      <c r="U4">
        <f>Q6+Q23+Q42+Q59</f>
        <v>603</v>
      </c>
    </row>
    <row r="5" spans="2:21" x14ac:dyDescent="0.2">
      <c r="B5" s="73"/>
      <c r="C5" s="65">
        <v>7999</v>
      </c>
      <c r="D5" s="64">
        <v>4</v>
      </c>
      <c r="E5" s="63">
        <v>4</v>
      </c>
      <c r="F5" s="63">
        <v>0</v>
      </c>
      <c r="G5" s="63">
        <v>1</v>
      </c>
      <c r="H5" s="63">
        <v>2</v>
      </c>
      <c r="I5" s="63">
        <v>2</v>
      </c>
      <c r="J5" s="63">
        <v>1</v>
      </c>
      <c r="K5" s="63">
        <f>SUM(G5:J5)*E5</f>
        <v>24</v>
      </c>
      <c r="L5" s="63">
        <f t="shared" si="1"/>
        <v>7599.0499999999993</v>
      </c>
      <c r="M5" s="63">
        <v>5</v>
      </c>
      <c r="N5" s="74">
        <f>L5*M5</f>
        <v>37995.25</v>
      </c>
      <c r="P5" s="93">
        <f t="shared" si="2"/>
        <v>15</v>
      </c>
      <c r="Q5" s="95">
        <f>P5*3</f>
        <v>45</v>
      </c>
      <c r="S5" s="86" t="s">
        <v>778</v>
      </c>
      <c r="T5">
        <f>P10+P27+P46+P63</f>
        <v>246</v>
      </c>
      <c r="U5">
        <f>Q10+Q27+Q46+Q63</f>
        <v>738</v>
      </c>
    </row>
    <row r="6" spans="2:21" x14ac:dyDescent="0.2">
      <c r="B6" s="86" t="s">
        <v>779</v>
      </c>
      <c r="C6" s="87"/>
      <c r="D6" s="88">
        <v>4</v>
      </c>
      <c r="E6" s="89">
        <v>10</v>
      </c>
      <c r="F6" s="89">
        <v>0</v>
      </c>
      <c r="G6" s="87">
        <f>SUM(G3:G5)</f>
        <v>3</v>
      </c>
      <c r="H6" s="87">
        <f>SUM(H3:H5)</f>
        <v>6</v>
      </c>
      <c r="I6" s="87">
        <f>SUM(I3:I5)</f>
        <v>6</v>
      </c>
      <c r="J6" s="87">
        <f>SUM(J3:J5)</f>
        <v>3</v>
      </c>
      <c r="K6" s="87">
        <f>SUM(K3:K5)</f>
        <v>60</v>
      </c>
      <c r="L6" s="87"/>
      <c r="M6" s="87">
        <f>SUM(M3:M5)</f>
        <v>16</v>
      </c>
      <c r="N6" s="90">
        <f>SUM(N3:N5)</f>
        <v>107334.79999999999</v>
      </c>
      <c r="O6" s="60"/>
      <c r="P6" s="96">
        <f t="shared" si="2"/>
        <v>48</v>
      </c>
      <c r="Q6" s="97">
        <f>P6*3</f>
        <v>144</v>
      </c>
      <c r="S6" s="86" t="s">
        <v>777</v>
      </c>
      <c r="T6" s="1">
        <f>P15+P33+P51+P68</f>
        <v>585</v>
      </c>
      <c r="U6" s="1">
        <f>Q15+Q33+Q51+Q68</f>
        <v>1755</v>
      </c>
    </row>
    <row r="7" spans="2:21" x14ac:dyDescent="0.2">
      <c r="B7" s="73" t="s">
        <v>34</v>
      </c>
      <c r="C7" s="63">
        <v>4999</v>
      </c>
      <c r="D7" s="64">
        <v>4</v>
      </c>
      <c r="E7" s="63">
        <v>5</v>
      </c>
      <c r="F7" s="63">
        <v>1</v>
      </c>
      <c r="G7" s="63">
        <v>2</v>
      </c>
      <c r="H7" s="63">
        <v>1</v>
      </c>
      <c r="I7" s="63">
        <v>1</v>
      </c>
      <c r="J7" s="63"/>
      <c r="K7" s="63">
        <f>SUM(G7:J7)*E7</f>
        <v>20</v>
      </c>
      <c r="L7" s="63">
        <f>C7*0.95</f>
        <v>4749.05</v>
      </c>
      <c r="M7" s="63">
        <v>8</v>
      </c>
      <c r="N7" s="74">
        <f>L7*M7</f>
        <v>37992.400000000001</v>
      </c>
      <c r="P7" s="93">
        <f t="shared" si="2"/>
        <v>24</v>
      </c>
      <c r="Q7" s="95">
        <f t="shared" si="0"/>
        <v>72</v>
      </c>
      <c r="T7">
        <f>SUM(T4:T6)</f>
        <v>1032</v>
      </c>
      <c r="U7">
        <f>SUM(U4:U6)</f>
        <v>3096</v>
      </c>
    </row>
    <row r="8" spans="2:21" x14ac:dyDescent="0.2">
      <c r="B8" s="73"/>
      <c r="C8" s="63">
        <v>5999</v>
      </c>
      <c r="D8" s="64">
        <v>4</v>
      </c>
      <c r="E8" s="63">
        <v>5</v>
      </c>
      <c r="F8" s="63">
        <v>1</v>
      </c>
      <c r="G8" s="63">
        <v>2</v>
      </c>
      <c r="H8" s="63">
        <v>1</v>
      </c>
      <c r="I8" s="63">
        <v>1</v>
      </c>
      <c r="J8" s="63"/>
      <c r="K8" s="63">
        <f>SUM(G8:J8)*E8</f>
        <v>20</v>
      </c>
      <c r="L8" s="63">
        <f>C8*0.95</f>
        <v>5699.05</v>
      </c>
      <c r="M8" s="63">
        <v>7</v>
      </c>
      <c r="N8" s="74">
        <f>L8*M8</f>
        <v>39893.35</v>
      </c>
      <c r="P8" s="93">
        <f t="shared" si="2"/>
        <v>21</v>
      </c>
      <c r="Q8" s="95">
        <f t="shared" si="0"/>
        <v>63</v>
      </c>
    </row>
    <row r="9" spans="2:21" x14ac:dyDescent="0.2">
      <c r="B9" s="73"/>
      <c r="C9" s="63">
        <v>6999</v>
      </c>
      <c r="D9" s="64">
        <v>4</v>
      </c>
      <c r="E9" s="63">
        <v>2</v>
      </c>
      <c r="F9" s="63">
        <v>1</v>
      </c>
      <c r="G9" s="63">
        <v>2</v>
      </c>
      <c r="H9" s="63">
        <v>1</v>
      </c>
      <c r="I9" s="63">
        <v>1</v>
      </c>
      <c r="J9" s="63"/>
      <c r="K9" s="63">
        <f>SUM(G9:J9)*E9</f>
        <v>8</v>
      </c>
      <c r="L9" s="63">
        <f>C9*0.95</f>
        <v>6649.0499999999993</v>
      </c>
      <c r="M9" s="63">
        <v>5</v>
      </c>
      <c r="N9" s="74">
        <f>L9*M9</f>
        <v>33245.25</v>
      </c>
      <c r="P9" s="93">
        <f t="shared" si="2"/>
        <v>15</v>
      </c>
      <c r="Q9" s="95">
        <f t="shared" si="0"/>
        <v>45</v>
      </c>
    </row>
    <row r="10" spans="2:21" x14ac:dyDescent="0.2">
      <c r="B10" s="86" t="s">
        <v>778</v>
      </c>
      <c r="C10" s="87"/>
      <c r="D10" s="91"/>
      <c r="E10" s="87">
        <f>SUM(E7:E9)</f>
        <v>12</v>
      </c>
      <c r="F10" s="87">
        <f t="shared" ref="F10:J10" si="3">SUM(F7:F9)</f>
        <v>3</v>
      </c>
      <c r="G10" s="87">
        <f t="shared" si="3"/>
        <v>6</v>
      </c>
      <c r="H10" s="87">
        <f t="shared" si="3"/>
        <v>3</v>
      </c>
      <c r="I10" s="87">
        <f t="shared" si="3"/>
        <v>3</v>
      </c>
      <c r="J10" s="87">
        <f t="shared" si="3"/>
        <v>0</v>
      </c>
      <c r="K10" s="87">
        <f>SUM(K7:K9)</f>
        <v>48</v>
      </c>
      <c r="L10" s="87"/>
      <c r="M10" s="87">
        <f>SUM(M7:M9)</f>
        <v>20</v>
      </c>
      <c r="N10" s="90">
        <f>SUM(N7:N9)</f>
        <v>111131</v>
      </c>
      <c r="O10" s="60"/>
      <c r="P10" s="96">
        <f t="shared" si="2"/>
        <v>60</v>
      </c>
      <c r="Q10" s="97">
        <f t="shared" si="0"/>
        <v>180</v>
      </c>
    </row>
    <row r="11" spans="2:21" x14ac:dyDescent="0.2">
      <c r="B11" s="73" t="s">
        <v>26</v>
      </c>
      <c r="C11" s="63">
        <v>2995</v>
      </c>
      <c r="D11" s="64">
        <v>5</v>
      </c>
      <c r="E11" s="63">
        <v>3</v>
      </c>
      <c r="F11" s="63">
        <v>1</v>
      </c>
      <c r="G11" s="63">
        <v>2</v>
      </c>
      <c r="H11" s="63">
        <v>2</v>
      </c>
      <c r="I11" s="63">
        <v>1</v>
      </c>
      <c r="J11" s="63">
        <v>1</v>
      </c>
      <c r="K11" s="63">
        <f t="shared" ref="K11:K14" si="4">SUM(G11:J11)*E11</f>
        <v>18</v>
      </c>
      <c r="L11" s="63">
        <f t="shared" ref="L11:L14" si="5">C11*0.95</f>
        <v>2845.25</v>
      </c>
      <c r="M11" s="63">
        <v>10</v>
      </c>
      <c r="N11" s="74">
        <f>L11*M11</f>
        <v>28452.5</v>
      </c>
      <c r="P11" s="93">
        <f t="shared" si="2"/>
        <v>30</v>
      </c>
      <c r="Q11" s="95">
        <f t="shared" si="0"/>
        <v>90</v>
      </c>
    </row>
    <row r="12" spans="2:21" x14ac:dyDescent="0.2">
      <c r="B12" s="73"/>
      <c r="C12" s="69">
        <v>3495</v>
      </c>
      <c r="D12" s="64">
        <v>5</v>
      </c>
      <c r="E12" s="63">
        <v>3</v>
      </c>
      <c r="F12" s="63">
        <v>1</v>
      </c>
      <c r="G12" s="63">
        <v>2</v>
      </c>
      <c r="H12" s="63">
        <v>2</v>
      </c>
      <c r="I12" s="63">
        <v>1</v>
      </c>
      <c r="J12" s="63">
        <v>1</v>
      </c>
      <c r="K12" s="63">
        <f t="shared" si="4"/>
        <v>18</v>
      </c>
      <c r="L12" s="63">
        <f t="shared" si="5"/>
        <v>3320.25</v>
      </c>
      <c r="M12" s="63">
        <v>10</v>
      </c>
      <c r="N12" s="74">
        <f>L12*M12</f>
        <v>33202.5</v>
      </c>
      <c r="P12" s="93">
        <f t="shared" si="2"/>
        <v>30</v>
      </c>
      <c r="Q12" s="95">
        <f t="shared" si="0"/>
        <v>90</v>
      </c>
    </row>
    <row r="13" spans="2:21" x14ac:dyDescent="0.2">
      <c r="B13" s="73"/>
      <c r="C13" s="63">
        <v>3995</v>
      </c>
      <c r="D13" s="64">
        <v>5</v>
      </c>
      <c r="E13" s="63">
        <v>5</v>
      </c>
      <c r="F13" s="63">
        <v>1</v>
      </c>
      <c r="G13" s="63">
        <v>2</v>
      </c>
      <c r="H13" s="63">
        <v>2</v>
      </c>
      <c r="I13" s="63">
        <v>1</v>
      </c>
      <c r="J13" s="63">
        <v>1</v>
      </c>
      <c r="K13" s="63">
        <f t="shared" si="4"/>
        <v>30</v>
      </c>
      <c r="L13" s="63">
        <f t="shared" si="5"/>
        <v>3795.25</v>
      </c>
      <c r="M13" s="63">
        <v>15</v>
      </c>
      <c r="N13" s="74">
        <f t="shared" ref="N13:N14" si="6">L13*M13</f>
        <v>56928.75</v>
      </c>
      <c r="P13" s="93">
        <f t="shared" si="2"/>
        <v>45</v>
      </c>
      <c r="Q13" s="95">
        <f t="shared" si="0"/>
        <v>135</v>
      </c>
    </row>
    <row r="14" spans="2:21" x14ac:dyDescent="0.2">
      <c r="B14" s="73"/>
      <c r="C14" s="63">
        <v>4495</v>
      </c>
      <c r="D14" s="64">
        <v>5</v>
      </c>
      <c r="E14" s="63">
        <v>4</v>
      </c>
      <c r="F14" s="63">
        <v>1</v>
      </c>
      <c r="G14" s="63">
        <v>2</v>
      </c>
      <c r="H14" s="63">
        <v>2</v>
      </c>
      <c r="I14" s="63">
        <v>1</v>
      </c>
      <c r="J14" s="63">
        <v>1</v>
      </c>
      <c r="K14" s="63">
        <f t="shared" si="4"/>
        <v>24</v>
      </c>
      <c r="L14" s="63">
        <f t="shared" si="5"/>
        <v>4270.25</v>
      </c>
      <c r="M14" s="63">
        <v>10</v>
      </c>
      <c r="N14" s="74">
        <f t="shared" si="6"/>
        <v>42702.5</v>
      </c>
      <c r="P14" s="93">
        <f t="shared" si="2"/>
        <v>30</v>
      </c>
      <c r="Q14" s="95">
        <f t="shared" si="0"/>
        <v>90</v>
      </c>
    </row>
    <row r="15" spans="2:21" x14ac:dyDescent="0.2">
      <c r="B15" s="86" t="s">
        <v>777</v>
      </c>
      <c r="C15" s="87"/>
      <c r="D15" s="91"/>
      <c r="E15" s="87">
        <f>SUM(E11:E14)</f>
        <v>15</v>
      </c>
      <c r="F15" s="87">
        <f t="shared" ref="F15:J15" si="7">SUM(F11:F14)</f>
        <v>4</v>
      </c>
      <c r="G15" s="87">
        <f t="shared" si="7"/>
        <v>8</v>
      </c>
      <c r="H15" s="87">
        <f t="shared" si="7"/>
        <v>8</v>
      </c>
      <c r="I15" s="87">
        <f t="shared" si="7"/>
        <v>4</v>
      </c>
      <c r="J15" s="87">
        <f t="shared" si="7"/>
        <v>4</v>
      </c>
      <c r="K15" s="87">
        <f>SUM(K11:K14)</f>
        <v>90</v>
      </c>
      <c r="L15" s="87"/>
      <c r="M15" s="87">
        <f>SUM(M11:M14)</f>
        <v>45</v>
      </c>
      <c r="N15" s="90">
        <f>SUM(N11:N14)</f>
        <v>161286.25</v>
      </c>
      <c r="O15" s="60"/>
      <c r="P15" s="96">
        <f t="shared" si="2"/>
        <v>135</v>
      </c>
      <c r="Q15" s="90">
        <f>SUM(Q11:Q14)</f>
        <v>405</v>
      </c>
    </row>
    <row r="16" spans="2:21" ht="16" thickBot="1" x14ac:dyDescent="0.25">
      <c r="B16" s="76" t="s">
        <v>838</v>
      </c>
      <c r="C16" s="77"/>
      <c r="D16" s="77"/>
      <c r="E16" s="78">
        <f>E15+E10+E6</f>
        <v>37</v>
      </c>
      <c r="F16" s="78">
        <f t="shared" ref="F16:J16" si="8">F15+F10+F6</f>
        <v>7</v>
      </c>
      <c r="G16" s="78">
        <f t="shared" si="8"/>
        <v>17</v>
      </c>
      <c r="H16" s="78">
        <f t="shared" si="8"/>
        <v>17</v>
      </c>
      <c r="I16" s="78">
        <f t="shared" si="8"/>
        <v>13</v>
      </c>
      <c r="J16" s="78">
        <f t="shared" si="8"/>
        <v>7</v>
      </c>
      <c r="K16" s="78">
        <f>K15+K10+K6</f>
        <v>198</v>
      </c>
      <c r="L16" s="77"/>
      <c r="M16" s="78">
        <f>M15+M10+M6</f>
        <v>81</v>
      </c>
      <c r="N16" s="79">
        <f>N15+N10+N6</f>
        <v>379752.05</v>
      </c>
      <c r="P16" s="98">
        <f>P15+P10+P6</f>
        <v>243</v>
      </c>
      <c r="Q16" s="79">
        <f>Q15+Q10+Q6</f>
        <v>729</v>
      </c>
    </row>
    <row r="17" spans="2:17" ht="16" thickBot="1" x14ac:dyDescent="0.25"/>
    <row r="18" spans="2:17" x14ac:dyDescent="0.2">
      <c r="B18" s="80"/>
      <c r="C18" s="176" t="s">
        <v>840</v>
      </c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7"/>
      <c r="P18" s="70"/>
      <c r="Q18" s="92"/>
    </row>
    <row r="19" spans="2:17" x14ac:dyDescent="0.2">
      <c r="B19" s="71" t="s">
        <v>837</v>
      </c>
      <c r="C19" s="62" t="s">
        <v>12</v>
      </c>
      <c r="D19" s="62" t="s">
        <v>832</v>
      </c>
      <c r="E19" s="62" t="s">
        <v>833</v>
      </c>
      <c r="F19" s="62" t="s">
        <v>54</v>
      </c>
      <c r="G19" s="62" t="s">
        <v>61</v>
      </c>
      <c r="H19" s="62" t="s">
        <v>44</v>
      </c>
      <c r="I19" s="62" t="s">
        <v>38</v>
      </c>
      <c r="J19" s="62" t="s">
        <v>84</v>
      </c>
      <c r="K19" s="62" t="s">
        <v>836</v>
      </c>
      <c r="L19" s="62" t="s">
        <v>824</v>
      </c>
      <c r="M19" s="62" t="s">
        <v>835</v>
      </c>
      <c r="N19" s="72" t="s">
        <v>834</v>
      </c>
      <c r="P19" s="93" t="s">
        <v>846</v>
      </c>
      <c r="Q19" s="94" t="s">
        <v>845</v>
      </c>
    </row>
    <row r="20" spans="2:17" x14ac:dyDescent="0.2">
      <c r="B20" s="73" t="s">
        <v>65</v>
      </c>
      <c r="C20" s="63">
        <v>5999</v>
      </c>
      <c r="D20" s="64">
        <v>4</v>
      </c>
      <c r="E20" s="63">
        <v>3</v>
      </c>
      <c r="F20" s="63">
        <v>0</v>
      </c>
      <c r="G20" s="63">
        <v>1</v>
      </c>
      <c r="H20" s="63">
        <v>2</v>
      </c>
      <c r="I20" s="63">
        <v>2</v>
      </c>
      <c r="J20" s="63">
        <v>1</v>
      </c>
      <c r="K20" s="63">
        <f>SUM(G20:J20)*E20</f>
        <v>18</v>
      </c>
      <c r="L20" s="63">
        <f>C20*0.95</f>
        <v>5699.05</v>
      </c>
      <c r="M20" s="63">
        <v>7</v>
      </c>
      <c r="N20" s="74">
        <f>L20*M20</f>
        <v>39893.35</v>
      </c>
      <c r="P20" s="93">
        <f>M20*3</f>
        <v>21</v>
      </c>
      <c r="Q20" s="95">
        <f t="shared" ref="Q20:Q21" si="9">P20*3</f>
        <v>63</v>
      </c>
    </row>
    <row r="21" spans="2:17" x14ac:dyDescent="0.2">
      <c r="B21" s="73" t="s">
        <v>841</v>
      </c>
      <c r="C21" s="63">
        <v>6999</v>
      </c>
      <c r="D21" s="64">
        <v>4</v>
      </c>
      <c r="E21" s="63">
        <v>5</v>
      </c>
      <c r="F21" s="63">
        <v>0</v>
      </c>
      <c r="G21" s="63">
        <v>1</v>
      </c>
      <c r="H21" s="63">
        <v>2</v>
      </c>
      <c r="I21" s="63">
        <v>2</v>
      </c>
      <c r="J21" s="63">
        <v>1</v>
      </c>
      <c r="K21" s="63">
        <f>SUM(G21:J21)*E21</f>
        <v>30</v>
      </c>
      <c r="L21" s="63">
        <f t="shared" ref="L21:L22" si="10">C21*0.95</f>
        <v>6649.0499999999993</v>
      </c>
      <c r="M21" s="63">
        <v>7</v>
      </c>
      <c r="N21" s="74">
        <f>L21*M21</f>
        <v>46543.349999999991</v>
      </c>
      <c r="P21" s="93">
        <f t="shared" ref="P21:P27" si="11">M21*3</f>
        <v>21</v>
      </c>
      <c r="Q21" s="95">
        <f t="shared" si="9"/>
        <v>63</v>
      </c>
    </row>
    <row r="22" spans="2:17" x14ac:dyDescent="0.2">
      <c r="B22" s="73"/>
      <c r="C22" s="65">
        <v>7999</v>
      </c>
      <c r="D22" s="64">
        <v>4</v>
      </c>
      <c r="E22" s="63">
        <v>5</v>
      </c>
      <c r="F22" s="63">
        <v>0</v>
      </c>
      <c r="G22" s="63">
        <v>1</v>
      </c>
      <c r="H22" s="63">
        <v>2</v>
      </c>
      <c r="I22" s="63">
        <v>2</v>
      </c>
      <c r="J22" s="63">
        <v>1</v>
      </c>
      <c r="K22" s="63">
        <f>SUM(G22:J22)*E22</f>
        <v>30</v>
      </c>
      <c r="L22" s="63">
        <f t="shared" si="10"/>
        <v>7599.0499999999993</v>
      </c>
      <c r="M22" s="63">
        <v>5</v>
      </c>
      <c r="N22" s="74">
        <f>L22*M22</f>
        <v>37995.25</v>
      </c>
      <c r="P22" s="93">
        <f t="shared" si="11"/>
        <v>15</v>
      </c>
      <c r="Q22" s="95">
        <f>P22*3</f>
        <v>45</v>
      </c>
    </row>
    <row r="23" spans="2:17" x14ac:dyDescent="0.2">
      <c r="B23" s="71" t="s">
        <v>779</v>
      </c>
      <c r="C23" s="62"/>
      <c r="D23" s="66">
        <v>4</v>
      </c>
      <c r="E23" s="67">
        <f>SUM(E20:E22)</f>
        <v>13</v>
      </c>
      <c r="F23" s="67">
        <v>0</v>
      </c>
      <c r="G23" s="62">
        <f>SUM(G20:G22)</f>
        <v>3</v>
      </c>
      <c r="H23" s="62">
        <f>SUM(H20:H22)</f>
        <v>6</v>
      </c>
      <c r="I23" s="62">
        <f>SUM(I20:I22)</f>
        <v>6</v>
      </c>
      <c r="J23" s="62">
        <f>SUM(J20:J22)</f>
        <v>3</v>
      </c>
      <c r="K23" s="62">
        <f>SUM(K20:K22)</f>
        <v>78</v>
      </c>
      <c r="L23" s="62"/>
      <c r="M23" s="62">
        <f>SUM(M20:M22)</f>
        <v>19</v>
      </c>
      <c r="N23" s="75">
        <f>SUM(N20:N22)</f>
        <v>124431.94999999998</v>
      </c>
      <c r="P23" s="96">
        <f t="shared" si="11"/>
        <v>57</v>
      </c>
      <c r="Q23" s="97">
        <f>P23*3</f>
        <v>171</v>
      </c>
    </row>
    <row r="24" spans="2:17" x14ac:dyDescent="0.2">
      <c r="B24" s="73" t="s">
        <v>34</v>
      </c>
      <c r="C24" s="63">
        <v>4999</v>
      </c>
      <c r="D24" s="64">
        <v>4</v>
      </c>
      <c r="E24" s="63">
        <v>5</v>
      </c>
      <c r="F24" s="63">
        <v>1</v>
      </c>
      <c r="G24" s="63">
        <v>2</v>
      </c>
      <c r="H24" s="63">
        <v>1</v>
      </c>
      <c r="I24" s="63">
        <v>1</v>
      </c>
      <c r="J24" s="63"/>
      <c r="K24" s="63">
        <f>SUM(G24:J24)*E24</f>
        <v>20</v>
      </c>
      <c r="L24" s="63">
        <f>C24*0.95</f>
        <v>4749.05</v>
      </c>
      <c r="M24" s="63">
        <v>8</v>
      </c>
      <c r="N24" s="74">
        <f>L24*M24</f>
        <v>37992.400000000001</v>
      </c>
      <c r="P24" s="93">
        <f t="shared" si="11"/>
        <v>24</v>
      </c>
      <c r="Q24" s="95">
        <f t="shared" ref="Q24:Q27" si="12">P24*3</f>
        <v>72</v>
      </c>
    </row>
    <row r="25" spans="2:17" x14ac:dyDescent="0.2">
      <c r="B25" s="73"/>
      <c r="C25" s="63">
        <v>5999</v>
      </c>
      <c r="D25" s="64">
        <v>4</v>
      </c>
      <c r="E25" s="63">
        <v>5</v>
      </c>
      <c r="F25" s="63">
        <v>1</v>
      </c>
      <c r="G25" s="63">
        <v>2</v>
      </c>
      <c r="H25" s="63">
        <v>1</v>
      </c>
      <c r="I25" s="63">
        <v>1</v>
      </c>
      <c r="J25" s="63"/>
      <c r="K25" s="63">
        <f>SUM(G25:J25)*E25</f>
        <v>20</v>
      </c>
      <c r="L25" s="63">
        <f>C25*0.95</f>
        <v>5699.05</v>
      </c>
      <c r="M25" s="63">
        <v>8</v>
      </c>
      <c r="N25" s="74">
        <f>L25*M25</f>
        <v>45592.4</v>
      </c>
      <c r="P25" s="93">
        <f t="shared" si="11"/>
        <v>24</v>
      </c>
      <c r="Q25" s="95">
        <f t="shared" si="12"/>
        <v>72</v>
      </c>
    </row>
    <row r="26" spans="2:17" x14ac:dyDescent="0.2">
      <c r="B26" s="73"/>
      <c r="C26" s="63">
        <v>6999</v>
      </c>
      <c r="D26" s="64">
        <v>4</v>
      </c>
      <c r="E26" s="63">
        <v>5</v>
      </c>
      <c r="F26" s="63">
        <v>1</v>
      </c>
      <c r="G26" s="63">
        <v>2</v>
      </c>
      <c r="H26" s="63">
        <v>1</v>
      </c>
      <c r="I26" s="63">
        <v>1</v>
      </c>
      <c r="J26" s="63"/>
      <c r="K26" s="63">
        <f>SUM(G26:J26)*E26</f>
        <v>20</v>
      </c>
      <c r="L26" s="63">
        <f>C26*0.95</f>
        <v>6649.0499999999993</v>
      </c>
      <c r="M26" s="63">
        <v>6</v>
      </c>
      <c r="N26" s="74">
        <f>L26*M26</f>
        <v>39894.299999999996</v>
      </c>
      <c r="P26" s="93">
        <f t="shared" si="11"/>
        <v>18</v>
      </c>
      <c r="Q26" s="95">
        <f t="shared" si="12"/>
        <v>54</v>
      </c>
    </row>
    <row r="27" spans="2:17" x14ac:dyDescent="0.2">
      <c r="B27" s="71" t="s">
        <v>778</v>
      </c>
      <c r="C27" s="62"/>
      <c r="D27" s="68"/>
      <c r="E27" s="62">
        <f>SUM(E24:E26)</f>
        <v>15</v>
      </c>
      <c r="F27" s="62">
        <f t="shared" ref="F27:J27" si="13">SUM(F24:F26)</f>
        <v>3</v>
      </c>
      <c r="G27" s="62">
        <f t="shared" si="13"/>
        <v>6</v>
      </c>
      <c r="H27" s="62">
        <f t="shared" si="13"/>
        <v>3</v>
      </c>
      <c r="I27" s="62">
        <f t="shared" si="13"/>
        <v>3</v>
      </c>
      <c r="J27" s="62">
        <f t="shared" si="13"/>
        <v>0</v>
      </c>
      <c r="K27" s="62">
        <f>SUM(K24:K26)</f>
        <v>60</v>
      </c>
      <c r="L27" s="62"/>
      <c r="M27" s="62">
        <f>SUM(M24:M26)</f>
        <v>22</v>
      </c>
      <c r="N27" s="75">
        <f>SUM(N24:N26)</f>
        <v>123479.1</v>
      </c>
      <c r="P27" s="96">
        <f t="shared" si="11"/>
        <v>66</v>
      </c>
      <c r="Q27" s="97">
        <f t="shared" si="12"/>
        <v>198</v>
      </c>
    </row>
    <row r="28" spans="2:17" x14ac:dyDescent="0.2">
      <c r="B28" s="73" t="s">
        <v>26</v>
      </c>
      <c r="C28" s="63">
        <v>2495</v>
      </c>
      <c r="D28" s="64">
        <v>5</v>
      </c>
      <c r="E28" s="63">
        <v>3</v>
      </c>
      <c r="F28" s="63">
        <v>1</v>
      </c>
      <c r="G28" s="63">
        <v>2</v>
      </c>
      <c r="H28" s="63">
        <v>2</v>
      </c>
      <c r="I28" s="63">
        <v>1</v>
      </c>
      <c r="J28" s="63">
        <v>1</v>
      </c>
      <c r="K28" s="63">
        <f t="shared" ref="K28:K32" si="14">SUM(G28:J28)*E28</f>
        <v>18</v>
      </c>
      <c r="L28" s="63">
        <f t="shared" ref="L28:L32" si="15">C28*0.95</f>
        <v>2370.25</v>
      </c>
      <c r="M28" s="63">
        <v>10</v>
      </c>
      <c r="N28" s="74">
        <f t="shared" ref="N28:N32" si="16">L28*M28</f>
        <v>23702.5</v>
      </c>
      <c r="P28" s="93">
        <f>M28*3</f>
        <v>30</v>
      </c>
      <c r="Q28" s="95">
        <f>P28*3</f>
        <v>90</v>
      </c>
    </row>
    <row r="29" spans="2:17" x14ac:dyDescent="0.2">
      <c r="B29" s="73"/>
      <c r="C29" s="63">
        <v>2995</v>
      </c>
      <c r="D29" s="64">
        <v>5</v>
      </c>
      <c r="E29" s="63">
        <v>3</v>
      </c>
      <c r="F29" s="63">
        <v>1</v>
      </c>
      <c r="G29" s="63">
        <v>2</v>
      </c>
      <c r="H29" s="63">
        <v>2</v>
      </c>
      <c r="I29" s="63">
        <v>1</v>
      </c>
      <c r="J29" s="63">
        <v>1</v>
      </c>
      <c r="K29" s="63">
        <f t="shared" si="14"/>
        <v>18</v>
      </c>
      <c r="L29" s="63">
        <f t="shared" si="15"/>
        <v>2845.25</v>
      </c>
      <c r="M29" s="63">
        <v>10</v>
      </c>
      <c r="N29" s="74">
        <f t="shared" si="16"/>
        <v>28452.5</v>
      </c>
      <c r="P29" s="93">
        <f>M29*3</f>
        <v>30</v>
      </c>
      <c r="Q29" s="95">
        <f>P29*3</f>
        <v>90</v>
      </c>
    </row>
    <row r="30" spans="2:17" x14ac:dyDescent="0.2">
      <c r="B30" s="81"/>
      <c r="C30" s="63">
        <v>3495</v>
      </c>
      <c r="D30" s="64">
        <v>5</v>
      </c>
      <c r="E30" s="63">
        <v>6</v>
      </c>
      <c r="F30" s="63">
        <v>1</v>
      </c>
      <c r="G30" s="63">
        <v>2</v>
      </c>
      <c r="H30" s="63">
        <v>2</v>
      </c>
      <c r="I30" s="63">
        <v>1</v>
      </c>
      <c r="J30" s="63">
        <v>1</v>
      </c>
      <c r="K30" s="63">
        <f t="shared" si="14"/>
        <v>36</v>
      </c>
      <c r="L30" s="63">
        <f>C31*0.95</f>
        <v>3795.25</v>
      </c>
      <c r="M30" s="63">
        <v>15</v>
      </c>
      <c r="N30" s="74">
        <f t="shared" si="16"/>
        <v>56928.75</v>
      </c>
      <c r="P30" s="93">
        <f>M29*3</f>
        <v>30</v>
      </c>
      <c r="Q30" s="95">
        <f>P30*3</f>
        <v>90</v>
      </c>
    </row>
    <row r="31" spans="2:17" x14ac:dyDescent="0.2">
      <c r="B31" s="73"/>
      <c r="C31" s="63">
        <v>3995</v>
      </c>
      <c r="D31" s="64">
        <v>5</v>
      </c>
      <c r="E31" s="63">
        <v>3</v>
      </c>
      <c r="F31" s="63">
        <v>1</v>
      </c>
      <c r="G31" s="63">
        <v>2</v>
      </c>
      <c r="H31" s="63">
        <v>2</v>
      </c>
      <c r="I31" s="63">
        <v>1</v>
      </c>
      <c r="J31" s="63">
        <v>1</v>
      </c>
      <c r="K31" s="63">
        <f t="shared" si="14"/>
        <v>18</v>
      </c>
      <c r="L31" s="63">
        <f>C30*0.95</f>
        <v>3320.25</v>
      </c>
      <c r="M31" s="63">
        <v>15</v>
      </c>
      <c r="N31" s="74">
        <f t="shared" si="16"/>
        <v>49803.75</v>
      </c>
      <c r="P31" s="93">
        <f>M30*3</f>
        <v>45</v>
      </c>
      <c r="Q31" s="95">
        <f>P31*3</f>
        <v>135</v>
      </c>
    </row>
    <row r="32" spans="2:17" x14ac:dyDescent="0.2">
      <c r="B32" s="73"/>
      <c r="C32" s="63">
        <v>4495</v>
      </c>
      <c r="D32" s="64">
        <v>5</v>
      </c>
      <c r="E32" s="63">
        <v>4</v>
      </c>
      <c r="F32" s="63">
        <v>1</v>
      </c>
      <c r="G32" s="63">
        <v>2</v>
      </c>
      <c r="H32" s="63">
        <v>2</v>
      </c>
      <c r="I32" s="63">
        <v>1</v>
      </c>
      <c r="J32" s="63">
        <v>1</v>
      </c>
      <c r="K32" s="63">
        <f t="shared" si="14"/>
        <v>24</v>
      </c>
      <c r="L32" s="63">
        <f t="shared" si="15"/>
        <v>4270.25</v>
      </c>
      <c r="M32" s="63">
        <v>10</v>
      </c>
      <c r="N32" s="74">
        <f t="shared" si="16"/>
        <v>42702.5</v>
      </c>
      <c r="P32" s="93">
        <f>M31*3</f>
        <v>45</v>
      </c>
      <c r="Q32" s="95">
        <f>P32*3</f>
        <v>135</v>
      </c>
    </row>
    <row r="33" spans="2:17" x14ac:dyDescent="0.2">
      <c r="B33" s="71" t="s">
        <v>777</v>
      </c>
      <c r="C33" s="62"/>
      <c r="D33" s="68"/>
      <c r="E33" s="62">
        <f>SUM(E28:E32)</f>
        <v>19</v>
      </c>
      <c r="F33" s="62">
        <f t="shared" ref="F33:J33" si="17">SUM(F28:F32)</f>
        <v>5</v>
      </c>
      <c r="G33" s="62">
        <f t="shared" si="17"/>
        <v>10</v>
      </c>
      <c r="H33" s="62">
        <f t="shared" si="17"/>
        <v>10</v>
      </c>
      <c r="I33" s="62">
        <f t="shared" si="17"/>
        <v>5</v>
      </c>
      <c r="J33" s="62">
        <f t="shared" si="17"/>
        <v>5</v>
      </c>
      <c r="K33" s="62">
        <f>SUM(K28:K32)</f>
        <v>114</v>
      </c>
      <c r="L33" s="62"/>
      <c r="M33" s="62">
        <f>SUM(M28:M32)</f>
        <v>60</v>
      </c>
      <c r="N33" s="75">
        <f>SUM(N28:N32)</f>
        <v>201590</v>
      </c>
      <c r="P33" s="99">
        <f>SUM(P28:P32)</f>
        <v>180</v>
      </c>
      <c r="Q33" s="90">
        <f>SUM(Q28:Q32)</f>
        <v>540</v>
      </c>
    </row>
    <row r="34" spans="2:17" ht="16" thickBot="1" x14ac:dyDescent="0.25">
      <c r="B34" s="76" t="s">
        <v>838</v>
      </c>
      <c r="C34" s="77"/>
      <c r="D34" s="77"/>
      <c r="E34" s="78">
        <f>E33+E27+E23</f>
        <v>47</v>
      </c>
      <c r="F34" s="78">
        <f t="shared" ref="F34:J34" si="18">F33+F27+F23</f>
        <v>8</v>
      </c>
      <c r="G34" s="78">
        <f t="shared" si="18"/>
        <v>19</v>
      </c>
      <c r="H34" s="78">
        <f t="shared" si="18"/>
        <v>19</v>
      </c>
      <c r="I34" s="78">
        <f t="shared" si="18"/>
        <v>14</v>
      </c>
      <c r="J34" s="78">
        <f t="shared" si="18"/>
        <v>8</v>
      </c>
      <c r="K34" s="78">
        <f>K33+K27+K23</f>
        <v>252</v>
      </c>
      <c r="L34" s="77"/>
      <c r="M34" s="78">
        <f>M33+M27+M23</f>
        <v>101</v>
      </c>
      <c r="N34" s="79">
        <f>N33+N27+N23</f>
        <v>449501.04999999993</v>
      </c>
      <c r="P34" s="98">
        <f>P33+P27+P23</f>
        <v>303</v>
      </c>
      <c r="Q34" s="79">
        <f>Q33+Q27+Q23</f>
        <v>909</v>
      </c>
    </row>
    <row r="35" spans="2:17" ht="16" thickBot="1" x14ac:dyDescent="0.25"/>
    <row r="36" spans="2:17" x14ac:dyDescent="0.2">
      <c r="B36" s="178" t="s">
        <v>842</v>
      </c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80"/>
      <c r="P36" s="70"/>
      <c r="Q36" s="92"/>
    </row>
    <row r="37" spans="2:17" x14ac:dyDescent="0.2">
      <c r="B37" s="181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3"/>
      <c r="P37" s="81"/>
      <c r="Q37" s="100"/>
    </row>
    <row r="38" spans="2:17" x14ac:dyDescent="0.2">
      <c r="B38" s="71" t="s">
        <v>837</v>
      </c>
      <c r="C38" s="62" t="s">
        <v>12</v>
      </c>
      <c r="D38" s="62" t="s">
        <v>832</v>
      </c>
      <c r="E38" s="62" t="s">
        <v>833</v>
      </c>
      <c r="F38" s="62" t="s">
        <v>54</v>
      </c>
      <c r="G38" s="62" t="s">
        <v>61</v>
      </c>
      <c r="H38" s="62" t="s">
        <v>44</v>
      </c>
      <c r="I38" s="62" t="s">
        <v>38</v>
      </c>
      <c r="J38" s="62" t="s">
        <v>84</v>
      </c>
      <c r="K38" s="62" t="s">
        <v>836</v>
      </c>
      <c r="L38" s="62" t="s">
        <v>824</v>
      </c>
      <c r="M38" s="62" t="s">
        <v>835</v>
      </c>
      <c r="N38" s="72" t="s">
        <v>834</v>
      </c>
      <c r="P38" s="93" t="s">
        <v>846</v>
      </c>
      <c r="Q38" s="94" t="s">
        <v>845</v>
      </c>
    </row>
    <row r="39" spans="2:17" x14ac:dyDescent="0.2">
      <c r="B39" s="73" t="s">
        <v>65</v>
      </c>
      <c r="C39" s="63">
        <v>5999</v>
      </c>
      <c r="D39" s="64">
        <v>4</v>
      </c>
      <c r="E39" s="63">
        <v>2</v>
      </c>
      <c r="F39" s="63">
        <v>0</v>
      </c>
      <c r="G39" s="63">
        <v>1</v>
      </c>
      <c r="H39" s="63">
        <v>2</v>
      </c>
      <c r="I39" s="63">
        <v>2</v>
      </c>
      <c r="J39" s="63">
        <v>1</v>
      </c>
      <c r="K39" s="63">
        <f>SUM(G39:J39)*E39</f>
        <v>12</v>
      </c>
      <c r="L39" s="63">
        <f>C39*0.95</f>
        <v>5699.05</v>
      </c>
      <c r="M39" s="63">
        <v>4</v>
      </c>
      <c r="N39" s="74">
        <f>L39*M39</f>
        <v>22796.2</v>
      </c>
      <c r="P39" s="93">
        <f>M39*3</f>
        <v>12</v>
      </c>
      <c r="Q39" s="95">
        <f t="shared" ref="Q39:Q50" si="19">P39*3</f>
        <v>36</v>
      </c>
    </row>
    <row r="40" spans="2:17" x14ac:dyDescent="0.2">
      <c r="B40" s="73"/>
      <c r="C40" s="63">
        <v>6999</v>
      </c>
      <c r="D40" s="64">
        <v>4</v>
      </c>
      <c r="E40" s="63">
        <v>4</v>
      </c>
      <c r="F40" s="63">
        <v>0</v>
      </c>
      <c r="G40" s="63">
        <v>1</v>
      </c>
      <c r="H40" s="63">
        <v>2</v>
      </c>
      <c r="I40" s="63">
        <v>2</v>
      </c>
      <c r="J40" s="63">
        <v>1</v>
      </c>
      <c r="K40" s="63">
        <f>SUM(G40:J40)*E40</f>
        <v>24</v>
      </c>
      <c r="L40" s="63">
        <f t="shared" ref="L40:L41" si="20">C40*0.95</f>
        <v>6649.0499999999993</v>
      </c>
      <c r="M40" s="63">
        <v>7</v>
      </c>
      <c r="N40" s="74">
        <f>L40*M40</f>
        <v>46543.349999999991</v>
      </c>
      <c r="P40" s="93">
        <f t="shared" ref="P40:P51" si="21">M40*3</f>
        <v>21</v>
      </c>
      <c r="Q40" s="95">
        <f t="shared" si="19"/>
        <v>63</v>
      </c>
    </row>
    <row r="41" spans="2:17" x14ac:dyDescent="0.2">
      <c r="B41" s="73"/>
      <c r="C41" s="65">
        <v>7999</v>
      </c>
      <c r="D41" s="64">
        <v>2</v>
      </c>
      <c r="E41" s="63">
        <v>3</v>
      </c>
      <c r="F41" s="63">
        <v>0</v>
      </c>
      <c r="G41" s="63">
        <v>1</v>
      </c>
      <c r="H41" s="63">
        <v>2</v>
      </c>
      <c r="I41" s="63">
        <v>2</v>
      </c>
      <c r="J41" s="63">
        <v>1</v>
      </c>
      <c r="K41" s="63">
        <f>SUM(G41:J41)*E41</f>
        <v>18</v>
      </c>
      <c r="L41" s="63">
        <f t="shared" si="20"/>
        <v>7599.0499999999993</v>
      </c>
      <c r="M41" s="63">
        <v>5</v>
      </c>
      <c r="N41" s="74">
        <f>L41*M41</f>
        <v>37995.25</v>
      </c>
      <c r="P41" s="93">
        <f t="shared" si="21"/>
        <v>15</v>
      </c>
      <c r="Q41" s="95">
        <f>P41*3</f>
        <v>45</v>
      </c>
    </row>
    <row r="42" spans="2:17" x14ac:dyDescent="0.2">
      <c r="B42" s="71" t="s">
        <v>779</v>
      </c>
      <c r="C42" s="62"/>
      <c r="D42" s="66">
        <v>4</v>
      </c>
      <c r="E42" s="67">
        <f>SUM(E39:E41)</f>
        <v>9</v>
      </c>
      <c r="F42" s="67">
        <v>0</v>
      </c>
      <c r="G42" s="62">
        <f>SUM(G39:G41)</f>
        <v>3</v>
      </c>
      <c r="H42" s="62">
        <f>SUM(H39:H41)</f>
        <v>6</v>
      </c>
      <c r="I42" s="62">
        <f>SUM(I39:I41)</f>
        <v>6</v>
      </c>
      <c r="J42" s="62">
        <f>SUM(J39:J41)</f>
        <v>3</v>
      </c>
      <c r="K42" s="62">
        <f>SUM(K39:K41)</f>
        <v>54</v>
      </c>
      <c r="L42" s="62"/>
      <c r="M42" s="62">
        <f>SUM(M39:M41)</f>
        <v>16</v>
      </c>
      <c r="N42" s="75">
        <f>SUM(N39:N41)</f>
        <v>107334.79999999999</v>
      </c>
      <c r="P42" s="96">
        <f t="shared" si="21"/>
        <v>48</v>
      </c>
      <c r="Q42" s="97">
        <f>P42*3</f>
        <v>144</v>
      </c>
    </row>
    <row r="43" spans="2:17" x14ac:dyDescent="0.2">
      <c r="B43" s="73" t="s">
        <v>34</v>
      </c>
      <c r="C43" s="63">
        <v>4999</v>
      </c>
      <c r="D43" s="64">
        <v>4</v>
      </c>
      <c r="E43" s="63">
        <v>4</v>
      </c>
      <c r="F43" s="63">
        <v>1</v>
      </c>
      <c r="G43" s="63">
        <v>2</v>
      </c>
      <c r="H43" s="63">
        <v>1</v>
      </c>
      <c r="I43" s="63">
        <v>1</v>
      </c>
      <c r="J43" s="63"/>
      <c r="K43" s="63">
        <f>SUM(G43:J43)*E43</f>
        <v>16</v>
      </c>
      <c r="L43" s="63">
        <f>C43*0.95</f>
        <v>4749.05</v>
      </c>
      <c r="M43" s="63">
        <v>8</v>
      </c>
      <c r="N43" s="74">
        <f>L43*M43</f>
        <v>37992.400000000001</v>
      </c>
      <c r="P43" s="93">
        <f t="shared" si="21"/>
        <v>24</v>
      </c>
      <c r="Q43" s="95">
        <f t="shared" si="19"/>
        <v>72</v>
      </c>
    </row>
    <row r="44" spans="2:17" x14ac:dyDescent="0.2">
      <c r="B44" s="73"/>
      <c r="C44" s="63">
        <v>5999</v>
      </c>
      <c r="D44" s="64">
        <v>4</v>
      </c>
      <c r="E44" s="63">
        <v>4</v>
      </c>
      <c r="F44" s="63">
        <v>1</v>
      </c>
      <c r="G44" s="63">
        <v>2</v>
      </c>
      <c r="H44" s="63">
        <v>1</v>
      </c>
      <c r="I44" s="63">
        <v>1</v>
      </c>
      <c r="J44" s="63"/>
      <c r="K44" s="63">
        <f>SUM(G44:J44)*E44</f>
        <v>16</v>
      </c>
      <c r="L44" s="63">
        <f>C44*0.95</f>
        <v>5699.05</v>
      </c>
      <c r="M44" s="63">
        <v>7</v>
      </c>
      <c r="N44" s="74">
        <f>L44*M44</f>
        <v>39893.35</v>
      </c>
      <c r="P44" s="93">
        <f t="shared" si="21"/>
        <v>21</v>
      </c>
      <c r="Q44" s="95">
        <f t="shared" si="19"/>
        <v>63</v>
      </c>
    </row>
    <row r="45" spans="2:17" x14ac:dyDescent="0.2">
      <c r="B45" s="73"/>
      <c r="C45" s="63">
        <v>6999</v>
      </c>
      <c r="D45" s="64">
        <v>4</v>
      </c>
      <c r="E45" s="63">
        <v>2</v>
      </c>
      <c r="F45" s="63">
        <v>1</v>
      </c>
      <c r="G45" s="63">
        <v>2</v>
      </c>
      <c r="H45" s="63">
        <v>1</v>
      </c>
      <c r="I45" s="63">
        <v>1</v>
      </c>
      <c r="J45" s="63"/>
      <c r="K45" s="63">
        <f>SUM(G45:J45)*E45</f>
        <v>8</v>
      </c>
      <c r="L45" s="63">
        <f>C45*0.95</f>
        <v>6649.0499999999993</v>
      </c>
      <c r="M45" s="63">
        <v>5</v>
      </c>
      <c r="N45" s="74">
        <f>L45*M45</f>
        <v>33245.25</v>
      </c>
      <c r="P45" s="93">
        <f t="shared" si="21"/>
        <v>15</v>
      </c>
      <c r="Q45" s="95">
        <f t="shared" si="19"/>
        <v>45</v>
      </c>
    </row>
    <row r="46" spans="2:17" x14ac:dyDescent="0.2">
      <c r="B46" s="71" t="s">
        <v>778</v>
      </c>
      <c r="C46" s="62"/>
      <c r="D46" s="68"/>
      <c r="E46" s="62">
        <f>SUM(E43:E45)</f>
        <v>10</v>
      </c>
      <c r="F46" s="62">
        <f t="shared" ref="F46:J46" si="22">SUM(F43:F45)</f>
        <v>3</v>
      </c>
      <c r="G46" s="62">
        <f t="shared" si="22"/>
        <v>6</v>
      </c>
      <c r="H46" s="62">
        <f t="shared" si="22"/>
        <v>3</v>
      </c>
      <c r="I46" s="62">
        <f t="shared" si="22"/>
        <v>3</v>
      </c>
      <c r="J46" s="62">
        <f t="shared" si="22"/>
        <v>0</v>
      </c>
      <c r="K46" s="62">
        <f>SUM(K43:K45)</f>
        <v>40</v>
      </c>
      <c r="L46" s="62"/>
      <c r="M46" s="62">
        <f>SUM(M43:M45)</f>
        <v>20</v>
      </c>
      <c r="N46" s="75">
        <f>SUM(N43:N45)</f>
        <v>111131</v>
      </c>
      <c r="P46" s="96">
        <f t="shared" si="21"/>
        <v>60</v>
      </c>
      <c r="Q46" s="97">
        <f t="shared" si="19"/>
        <v>180</v>
      </c>
    </row>
    <row r="47" spans="2:17" x14ac:dyDescent="0.2">
      <c r="B47" s="73" t="s">
        <v>26</v>
      </c>
      <c r="C47" s="63">
        <v>2995</v>
      </c>
      <c r="D47" s="64">
        <v>5</v>
      </c>
      <c r="E47" s="63">
        <v>3</v>
      </c>
      <c r="F47" s="63">
        <v>1</v>
      </c>
      <c r="G47" s="63">
        <v>2</v>
      </c>
      <c r="H47" s="63">
        <v>2</v>
      </c>
      <c r="I47" s="63">
        <v>1</v>
      </c>
      <c r="J47" s="63">
        <v>1</v>
      </c>
      <c r="K47" s="63">
        <f t="shared" ref="K47:K50" si="23">SUM(G47:J47)*E47</f>
        <v>18</v>
      </c>
      <c r="L47" s="63">
        <f t="shared" ref="L47:L50" si="24">C47*0.95</f>
        <v>2845.25</v>
      </c>
      <c r="M47" s="63">
        <v>10</v>
      </c>
      <c r="N47" s="74">
        <f t="shared" ref="N47:N50" si="25">L47*M47</f>
        <v>28452.5</v>
      </c>
      <c r="P47" s="93">
        <f t="shared" si="21"/>
        <v>30</v>
      </c>
      <c r="Q47" s="95">
        <f t="shared" si="19"/>
        <v>90</v>
      </c>
    </row>
    <row r="48" spans="2:17" x14ac:dyDescent="0.2">
      <c r="B48" s="73"/>
      <c r="C48" s="63">
        <v>3495</v>
      </c>
      <c r="D48" s="64">
        <v>5</v>
      </c>
      <c r="E48" s="63">
        <v>3</v>
      </c>
      <c r="F48" s="63">
        <v>1</v>
      </c>
      <c r="G48" s="63">
        <v>2</v>
      </c>
      <c r="H48" s="63">
        <v>2</v>
      </c>
      <c r="I48" s="63">
        <v>1</v>
      </c>
      <c r="J48" s="63">
        <v>1</v>
      </c>
      <c r="K48" s="63">
        <f t="shared" si="23"/>
        <v>18</v>
      </c>
      <c r="L48" s="63">
        <f t="shared" si="24"/>
        <v>3320.25</v>
      </c>
      <c r="M48" s="63">
        <v>10</v>
      </c>
      <c r="N48" s="74">
        <f t="shared" si="25"/>
        <v>33202.5</v>
      </c>
      <c r="P48" s="93">
        <f t="shared" si="21"/>
        <v>30</v>
      </c>
      <c r="Q48" s="95">
        <f t="shared" si="19"/>
        <v>90</v>
      </c>
    </row>
    <row r="49" spans="2:17" x14ac:dyDescent="0.2">
      <c r="B49" s="73"/>
      <c r="C49" s="63">
        <v>3995</v>
      </c>
      <c r="D49" s="64">
        <v>5</v>
      </c>
      <c r="E49" s="63">
        <v>4</v>
      </c>
      <c r="F49" s="63">
        <v>1</v>
      </c>
      <c r="G49" s="63">
        <v>2</v>
      </c>
      <c r="H49" s="63">
        <v>2</v>
      </c>
      <c r="I49" s="63">
        <v>1</v>
      </c>
      <c r="J49" s="63">
        <v>1</v>
      </c>
      <c r="K49" s="63">
        <f t="shared" si="23"/>
        <v>24</v>
      </c>
      <c r="L49" s="63">
        <f t="shared" si="24"/>
        <v>3795.25</v>
      </c>
      <c r="M49" s="63">
        <v>15</v>
      </c>
      <c r="N49" s="74">
        <f t="shared" si="25"/>
        <v>56928.75</v>
      </c>
      <c r="P49" s="93">
        <f t="shared" si="21"/>
        <v>45</v>
      </c>
      <c r="Q49" s="95">
        <f t="shared" si="19"/>
        <v>135</v>
      </c>
    </row>
    <row r="50" spans="2:17" x14ac:dyDescent="0.2">
      <c r="B50" s="73"/>
      <c r="C50" s="63">
        <v>4495</v>
      </c>
      <c r="D50" s="64">
        <v>5</v>
      </c>
      <c r="E50" s="63">
        <v>4</v>
      </c>
      <c r="F50" s="63">
        <v>1</v>
      </c>
      <c r="G50" s="63">
        <v>2</v>
      </c>
      <c r="H50" s="63">
        <v>2</v>
      </c>
      <c r="I50" s="63">
        <v>1</v>
      </c>
      <c r="J50" s="63">
        <v>1</v>
      </c>
      <c r="K50" s="63">
        <f t="shared" si="23"/>
        <v>24</v>
      </c>
      <c r="L50" s="63">
        <f t="shared" si="24"/>
        <v>4270.25</v>
      </c>
      <c r="M50" s="63">
        <v>10</v>
      </c>
      <c r="N50" s="74">
        <f t="shared" si="25"/>
        <v>42702.5</v>
      </c>
      <c r="P50" s="93">
        <f t="shared" si="21"/>
        <v>30</v>
      </c>
      <c r="Q50" s="95">
        <f t="shared" si="19"/>
        <v>90</v>
      </c>
    </row>
    <row r="51" spans="2:17" x14ac:dyDescent="0.2">
      <c r="B51" s="71" t="s">
        <v>777</v>
      </c>
      <c r="C51" s="62"/>
      <c r="D51" s="68"/>
      <c r="E51" s="62">
        <f>SUM(E47:E50)</f>
        <v>14</v>
      </c>
      <c r="F51" s="62">
        <f t="shared" ref="F51:J51" si="26">SUM(F47:F50)</f>
        <v>4</v>
      </c>
      <c r="G51" s="62">
        <f t="shared" si="26"/>
        <v>8</v>
      </c>
      <c r="H51" s="62">
        <f t="shared" si="26"/>
        <v>8</v>
      </c>
      <c r="I51" s="62">
        <f t="shared" si="26"/>
        <v>4</v>
      </c>
      <c r="J51" s="62">
        <f t="shared" si="26"/>
        <v>4</v>
      </c>
      <c r="K51" s="62">
        <f>SUM(K47:K50)</f>
        <v>84</v>
      </c>
      <c r="L51" s="62"/>
      <c r="M51" s="62">
        <f>SUM(M47:M50)</f>
        <v>45</v>
      </c>
      <c r="N51" s="75">
        <f>SUM(N47:N50)</f>
        <v>161286.25</v>
      </c>
      <c r="P51" s="96">
        <f t="shared" si="21"/>
        <v>135</v>
      </c>
      <c r="Q51" s="90">
        <f>SUM(Q47:Q50)</f>
        <v>405</v>
      </c>
    </row>
    <row r="52" spans="2:17" ht="16" thickBot="1" x14ac:dyDescent="0.25">
      <c r="B52" s="76" t="s">
        <v>838</v>
      </c>
      <c r="C52" s="77"/>
      <c r="D52" s="77"/>
      <c r="E52" s="78">
        <f t="shared" ref="E52:J52" si="27">E51+E46+E42</f>
        <v>33</v>
      </c>
      <c r="F52" s="78">
        <f t="shared" si="27"/>
        <v>7</v>
      </c>
      <c r="G52" s="78">
        <f t="shared" si="27"/>
        <v>17</v>
      </c>
      <c r="H52" s="78">
        <f t="shared" si="27"/>
        <v>17</v>
      </c>
      <c r="I52" s="78">
        <f t="shared" si="27"/>
        <v>13</v>
      </c>
      <c r="J52" s="78">
        <f t="shared" si="27"/>
        <v>7</v>
      </c>
      <c r="K52" s="78">
        <f>K51+K46+K42</f>
        <v>178</v>
      </c>
      <c r="L52" s="77"/>
      <c r="M52" s="78">
        <f>M51+M46+M42</f>
        <v>81</v>
      </c>
      <c r="N52" s="79">
        <f>N51+N46+N42</f>
        <v>379752.05</v>
      </c>
      <c r="P52" s="98">
        <f>P51+P46+P42</f>
        <v>243</v>
      </c>
      <c r="Q52" s="79">
        <f>Q51+Q46+Q42</f>
        <v>729</v>
      </c>
    </row>
    <row r="53" spans="2:17" ht="16" thickBot="1" x14ac:dyDescent="0.25"/>
    <row r="54" spans="2:17" ht="16" thickBot="1" x14ac:dyDescent="0.25">
      <c r="B54" s="184" t="s">
        <v>843</v>
      </c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7"/>
    </row>
    <row r="55" spans="2:17" x14ac:dyDescent="0.2">
      <c r="B55" s="71" t="s">
        <v>837</v>
      </c>
      <c r="C55" s="62" t="s">
        <v>12</v>
      </c>
      <c r="D55" s="62" t="s">
        <v>832</v>
      </c>
      <c r="E55" s="62" t="s">
        <v>833</v>
      </c>
      <c r="F55" s="62" t="s">
        <v>54</v>
      </c>
      <c r="G55" s="62" t="s">
        <v>61</v>
      </c>
      <c r="H55" s="62" t="s">
        <v>44</v>
      </c>
      <c r="I55" s="62" t="s">
        <v>38</v>
      </c>
      <c r="J55" s="62" t="s">
        <v>84</v>
      </c>
      <c r="K55" s="62" t="s">
        <v>836</v>
      </c>
      <c r="L55" s="62" t="s">
        <v>824</v>
      </c>
      <c r="M55" s="62" t="s">
        <v>835</v>
      </c>
      <c r="N55" s="72" t="s">
        <v>834</v>
      </c>
      <c r="P55" s="101" t="s">
        <v>846</v>
      </c>
      <c r="Q55" s="102" t="s">
        <v>845</v>
      </c>
    </row>
    <row r="56" spans="2:17" x14ac:dyDescent="0.2">
      <c r="B56" s="73" t="s">
        <v>65</v>
      </c>
      <c r="C56" s="63">
        <v>5999</v>
      </c>
      <c r="D56" s="64">
        <v>4</v>
      </c>
      <c r="E56" s="63">
        <v>2</v>
      </c>
      <c r="F56" s="63">
        <v>0</v>
      </c>
      <c r="G56" s="63">
        <v>1</v>
      </c>
      <c r="H56" s="63">
        <v>2</v>
      </c>
      <c r="I56" s="63">
        <v>2</v>
      </c>
      <c r="J56" s="63">
        <v>1</v>
      </c>
      <c r="K56" s="63">
        <f>SUM(G56:J56)*E56</f>
        <v>12</v>
      </c>
      <c r="L56" s="63">
        <f>C56*0.95</f>
        <v>5699.05</v>
      </c>
      <c r="M56" s="63">
        <v>4</v>
      </c>
      <c r="N56" s="74">
        <f>L56*M56</f>
        <v>22796.2</v>
      </c>
      <c r="P56" s="93">
        <f>M56*3</f>
        <v>12</v>
      </c>
      <c r="Q56" s="95">
        <f t="shared" ref="Q56:Q67" si="28">P56*3</f>
        <v>36</v>
      </c>
    </row>
    <row r="57" spans="2:17" x14ac:dyDescent="0.2">
      <c r="B57" s="73"/>
      <c r="C57" s="63">
        <v>6999</v>
      </c>
      <c r="D57" s="64">
        <v>4</v>
      </c>
      <c r="E57" s="63">
        <v>4</v>
      </c>
      <c r="F57" s="63">
        <v>0</v>
      </c>
      <c r="G57" s="63">
        <v>1</v>
      </c>
      <c r="H57" s="63">
        <v>2</v>
      </c>
      <c r="I57" s="63">
        <v>2</v>
      </c>
      <c r="J57" s="63">
        <v>1</v>
      </c>
      <c r="K57" s="63">
        <f>SUM(G57:J57)*E57</f>
        <v>24</v>
      </c>
      <c r="L57" s="63">
        <f t="shared" ref="L57:L58" si="29">C57*0.95</f>
        <v>6649.0499999999993</v>
      </c>
      <c r="M57" s="63">
        <v>7</v>
      </c>
      <c r="N57" s="74">
        <f>L57*M57</f>
        <v>46543.349999999991</v>
      </c>
      <c r="P57" s="93">
        <f t="shared" ref="P57:P68" si="30">M57*3</f>
        <v>21</v>
      </c>
      <c r="Q57" s="95">
        <f t="shared" si="28"/>
        <v>63</v>
      </c>
    </row>
    <row r="58" spans="2:17" x14ac:dyDescent="0.2">
      <c r="B58" s="73"/>
      <c r="C58" s="65">
        <v>7999</v>
      </c>
      <c r="D58" s="64">
        <v>2</v>
      </c>
      <c r="E58" s="63">
        <v>3</v>
      </c>
      <c r="F58" s="63">
        <v>0</v>
      </c>
      <c r="G58" s="63">
        <v>1</v>
      </c>
      <c r="H58" s="63">
        <v>2</v>
      </c>
      <c r="I58" s="63">
        <v>2</v>
      </c>
      <c r="J58" s="63">
        <v>1</v>
      </c>
      <c r="K58" s="63">
        <f>SUM(G58:J58)*E58</f>
        <v>18</v>
      </c>
      <c r="L58" s="63">
        <f t="shared" si="29"/>
        <v>7599.0499999999993</v>
      </c>
      <c r="M58" s="63">
        <v>5</v>
      </c>
      <c r="N58" s="74">
        <f>L58*M58</f>
        <v>37995.25</v>
      </c>
      <c r="P58" s="93">
        <f t="shared" si="30"/>
        <v>15</v>
      </c>
      <c r="Q58" s="95">
        <f>P58*3</f>
        <v>45</v>
      </c>
    </row>
    <row r="59" spans="2:17" x14ac:dyDescent="0.2">
      <c r="B59" s="71" t="s">
        <v>779</v>
      </c>
      <c r="C59" s="62"/>
      <c r="D59" s="66">
        <v>4</v>
      </c>
      <c r="E59" s="67">
        <f>SUM(E56:E58)</f>
        <v>9</v>
      </c>
      <c r="F59" s="67">
        <v>0</v>
      </c>
      <c r="G59" s="62">
        <f>SUM(G56:G58)</f>
        <v>3</v>
      </c>
      <c r="H59" s="62">
        <f>SUM(H56:H58)</f>
        <v>6</v>
      </c>
      <c r="I59" s="62">
        <f>SUM(I56:I58)</f>
        <v>6</v>
      </c>
      <c r="J59" s="62">
        <f>SUM(J56:J58)</f>
        <v>3</v>
      </c>
      <c r="K59" s="62">
        <f>SUM(K56:K58)</f>
        <v>54</v>
      </c>
      <c r="L59" s="62"/>
      <c r="M59" s="62">
        <f>SUM(M56:M58)</f>
        <v>16</v>
      </c>
      <c r="N59" s="75">
        <f>SUM(N56:N58)</f>
        <v>107334.79999999999</v>
      </c>
      <c r="P59" s="96">
        <f t="shared" si="30"/>
        <v>48</v>
      </c>
      <c r="Q59" s="97">
        <f>P59*3</f>
        <v>144</v>
      </c>
    </row>
    <row r="60" spans="2:17" x14ac:dyDescent="0.2">
      <c r="B60" s="73" t="s">
        <v>34</v>
      </c>
      <c r="C60" s="63">
        <v>4999</v>
      </c>
      <c r="D60" s="64">
        <v>4</v>
      </c>
      <c r="E60" s="63">
        <v>4</v>
      </c>
      <c r="F60" s="63">
        <v>1</v>
      </c>
      <c r="G60" s="63">
        <v>2</v>
      </c>
      <c r="H60" s="63">
        <v>1</v>
      </c>
      <c r="I60" s="63">
        <v>1</v>
      </c>
      <c r="J60" s="63"/>
      <c r="K60" s="63">
        <f>SUM(G60:J60)*E60</f>
        <v>16</v>
      </c>
      <c r="L60" s="63">
        <f>C60*0.95</f>
        <v>4749.05</v>
      </c>
      <c r="M60" s="63">
        <v>8</v>
      </c>
      <c r="N60" s="74">
        <f>L60*M60</f>
        <v>37992.400000000001</v>
      </c>
      <c r="P60" s="93">
        <f t="shared" si="30"/>
        <v>24</v>
      </c>
      <c r="Q60" s="95">
        <f t="shared" si="28"/>
        <v>72</v>
      </c>
    </row>
    <row r="61" spans="2:17" x14ac:dyDescent="0.2">
      <c r="B61" s="73"/>
      <c r="C61" s="63">
        <v>5999</v>
      </c>
      <c r="D61" s="64">
        <v>4</v>
      </c>
      <c r="E61" s="63">
        <v>4</v>
      </c>
      <c r="F61" s="63">
        <v>1</v>
      </c>
      <c r="G61" s="63">
        <v>2</v>
      </c>
      <c r="H61" s="63">
        <v>1</v>
      </c>
      <c r="I61" s="63">
        <v>1</v>
      </c>
      <c r="J61" s="63"/>
      <c r="K61" s="63">
        <f>SUM(G61:J61)*E61</f>
        <v>16</v>
      </c>
      <c r="L61" s="63">
        <f>C61*0.95</f>
        <v>5699.05</v>
      </c>
      <c r="M61" s="63">
        <v>7</v>
      </c>
      <c r="N61" s="74">
        <f>L61*M61</f>
        <v>39893.35</v>
      </c>
      <c r="P61" s="93">
        <f t="shared" si="30"/>
        <v>21</v>
      </c>
      <c r="Q61" s="95">
        <f t="shared" si="28"/>
        <v>63</v>
      </c>
    </row>
    <row r="62" spans="2:17" x14ac:dyDescent="0.2">
      <c r="B62" s="73"/>
      <c r="C62" s="63">
        <v>6999</v>
      </c>
      <c r="D62" s="64">
        <v>4</v>
      </c>
      <c r="E62" s="63">
        <v>2</v>
      </c>
      <c r="F62" s="63">
        <v>1</v>
      </c>
      <c r="G62" s="63">
        <v>2</v>
      </c>
      <c r="H62" s="63">
        <v>1</v>
      </c>
      <c r="I62" s="63">
        <v>1</v>
      </c>
      <c r="J62" s="63"/>
      <c r="K62" s="63">
        <f>SUM(G62:J62)*E62</f>
        <v>8</v>
      </c>
      <c r="L62" s="63">
        <f>C62*0.95</f>
        <v>6649.0499999999993</v>
      </c>
      <c r="M62" s="63">
        <v>5</v>
      </c>
      <c r="N62" s="74">
        <f>L62*M62</f>
        <v>33245.25</v>
      </c>
      <c r="P62" s="93">
        <f t="shared" si="30"/>
        <v>15</v>
      </c>
      <c r="Q62" s="95">
        <f t="shared" si="28"/>
        <v>45</v>
      </c>
    </row>
    <row r="63" spans="2:17" x14ac:dyDescent="0.2">
      <c r="B63" s="71" t="s">
        <v>778</v>
      </c>
      <c r="C63" s="62"/>
      <c r="D63" s="68"/>
      <c r="E63" s="62">
        <f>SUM(E60:E62)</f>
        <v>10</v>
      </c>
      <c r="F63" s="62">
        <f t="shared" ref="F63:J63" si="31">SUM(F60:F62)</f>
        <v>3</v>
      </c>
      <c r="G63" s="62">
        <f t="shared" si="31"/>
        <v>6</v>
      </c>
      <c r="H63" s="62">
        <f t="shared" si="31"/>
        <v>3</v>
      </c>
      <c r="I63" s="62">
        <f t="shared" si="31"/>
        <v>3</v>
      </c>
      <c r="J63" s="62">
        <f t="shared" si="31"/>
        <v>0</v>
      </c>
      <c r="K63" s="62">
        <f>SUM(K60:K62)</f>
        <v>40</v>
      </c>
      <c r="L63" s="62"/>
      <c r="M63" s="62">
        <f>SUM(M60:M62)</f>
        <v>20</v>
      </c>
      <c r="N63" s="75">
        <f>SUM(N60:N62)</f>
        <v>111131</v>
      </c>
      <c r="P63" s="96">
        <f t="shared" si="30"/>
        <v>60</v>
      </c>
      <c r="Q63" s="97">
        <f t="shared" si="28"/>
        <v>180</v>
      </c>
    </row>
    <row r="64" spans="2:17" x14ac:dyDescent="0.2">
      <c r="B64" s="73" t="s">
        <v>26</v>
      </c>
      <c r="C64" s="63">
        <v>2995</v>
      </c>
      <c r="D64" s="64">
        <v>5</v>
      </c>
      <c r="E64" s="63">
        <v>3</v>
      </c>
      <c r="F64" s="63">
        <v>1</v>
      </c>
      <c r="G64" s="63">
        <v>2</v>
      </c>
      <c r="H64" s="63">
        <v>2</v>
      </c>
      <c r="I64" s="63">
        <v>1</v>
      </c>
      <c r="J64" s="63">
        <v>1</v>
      </c>
      <c r="K64" s="63">
        <f t="shared" ref="K64:K67" si="32">SUM(G64:J64)*E64</f>
        <v>18</v>
      </c>
      <c r="L64" s="63">
        <f t="shared" ref="L64:L67" si="33">C64*0.95</f>
        <v>2845.25</v>
      </c>
      <c r="M64" s="63">
        <v>10</v>
      </c>
      <c r="N64" s="74">
        <f t="shared" ref="N64:N67" si="34">L64*M64</f>
        <v>28452.5</v>
      </c>
      <c r="P64" s="93">
        <f t="shared" si="30"/>
        <v>30</v>
      </c>
      <c r="Q64" s="95">
        <f t="shared" si="28"/>
        <v>90</v>
      </c>
    </row>
    <row r="65" spans="2:17" x14ac:dyDescent="0.2">
      <c r="B65" s="73"/>
      <c r="C65" s="63">
        <v>3495</v>
      </c>
      <c r="D65" s="64">
        <v>5</v>
      </c>
      <c r="E65" s="63">
        <v>3</v>
      </c>
      <c r="F65" s="63">
        <v>1</v>
      </c>
      <c r="G65" s="63">
        <v>2</v>
      </c>
      <c r="H65" s="63">
        <v>2</v>
      </c>
      <c r="I65" s="63">
        <v>1</v>
      </c>
      <c r="J65" s="63">
        <v>1</v>
      </c>
      <c r="K65" s="63">
        <f t="shared" si="32"/>
        <v>18</v>
      </c>
      <c r="L65" s="63">
        <f t="shared" si="33"/>
        <v>3320.25</v>
      </c>
      <c r="M65" s="63">
        <v>10</v>
      </c>
      <c r="N65" s="74">
        <f t="shared" si="34"/>
        <v>33202.5</v>
      </c>
      <c r="P65" s="93">
        <f t="shared" si="30"/>
        <v>30</v>
      </c>
      <c r="Q65" s="95">
        <f t="shared" si="28"/>
        <v>90</v>
      </c>
    </row>
    <row r="66" spans="2:17" x14ac:dyDescent="0.2">
      <c r="B66" s="73"/>
      <c r="C66" s="63">
        <v>3995</v>
      </c>
      <c r="D66" s="64">
        <v>5</v>
      </c>
      <c r="E66" s="63">
        <v>4</v>
      </c>
      <c r="F66" s="63">
        <v>1</v>
      </c>
      <c r="G66" s="63">
        <v>2</v>
      </c>
      <c r="H66" s="63">
        <v>2</v>
      </c>
      <c r="I66" s="63">
        <v>1</v>
      </c>
      <c r="J66" s="63">
        <v>1</v>
      </c>
      <c r="K66" s="63">
        <f t="shared" si="32"/>
        <v>24</v>
      </c>
      <c r="L66" s="63">
        <f t="shared" si="33"/>
        <v>3795.25</v>
      </c>
      <c r="M66" s="63">
        <v>15</v>
      </c>
      <c r="N66" s="74">
        <f t="shared" si="34"/>
        <v>56928.75</v>
      </c>
      <c r="P66" s="93">
        <f t="shared" si="30"/>
        <v>45</v>
      </c>
      <c r="Q66" s="95">
        <f t="shared" si="28"/>
        <v>135</v>
      </c>
    </row>
    <row r="67" spans="2:17" x14ac:dyDescent="0.2">
      <c r="B67" s="73"/>
      <c r="C67" s="63">
        <v>4495</v>
      </c>
      <c r="D67" s="64">
        <v>5</v>
      </c>
      <c r="E67" s="63">
        <v>4</v>
      </c>
      <c r="F67" s="63">
        <v>1</v>
      </c>
      <c r="G67" s="63">
        <v>2</v>
      </c>
      <c r="H67" s="63">
        <v>2</v>
      </c>
      <c r="I67" s="63">
        <v>1</v>
      </c>
      <c r="J67" s="63">
        <v>1</v>
      </c>
      <c r="K67" s="63">
        <f t="shared" si="32"/>
        <v>24</v>
      </c>
      <c r="L67" s="63">
        <f t="shared" si="33"/>
        <v>4270.25</v>
      </c>
      <c r="M67" s="63">
        <v>10</v>
      </c>
      <c r="N67" s="74">
        <f t="shared" si="34"/>
        <v>42702.5</v>
      </c>
      <c r="P67" s="93">
        <f t="shared" si="30"/>
        <v>30</v>
      </c>
      <c r="Q67" s="95">
        <f t="shared" si="28"/>
        <v>90</v>
      </c>
    </row>
    <row r="68" spans="2:17" x14ac:dyDescent="0.2">
      <c r="B68" s="71" t="s">
        <v>777</v>
      </c>
      <c r="C68" s="62"/>
      <c r="D68" s="68"/>
      <c r="E68" s="62">
        <f>SUM(E64:E67)</f>
        <v>14</v>
      </c>
      <c r="F68" s="62">
        <f t="shared" ref="F68:J68" si="35">SUM(F64:F67)</f>
        <v>4</v>
      </c>
      <c r="G68" s="62">
        <f t="shared" si="35"/>
        <v>8</v>
      </c>
      <c r="H68" s="62">
        <f t="shared" si="35"/>
        <v>8</v>
      </c>
      <c r="I68" s="62">
        <f t="shared" si="35"/>
        <v>4</v>
      </c>
      <c r="J68" s="62">
        <f t="shared" si="35"/>
        <v>4</v>
      </c>
      <c r="K68" s="62">
        <f>SUM(K64:K67)</f>
        <v>84</v>
      </c>
      <c r="L68" s="62"/>
      <c r="M68" s="62">
        <f>SUM(M64:M67)</f>
        <v>45</v>
      </c>
      <c r="N68" s="75">
        <f>SUM(N64:N67)</f>
        <v>161286.25</v>
      </c>
      <c r="P68" s="96">
        <f t="shared" si="30"/>
        <v>135</v>
      </c>
      <c r="Q68" s="90">
        <f>SUM(Q64:Q67)</f>
        <v>405</v>
      </c>
    </row>
    <row r="69" spans="2:17" ht="16" thickBot="1" x14ac:dyDescent="0.25">
      <c r="B69" s="76" t="s">
        <v>838</v>
      </c>
      <c r="C69" s="77"/>
      <c r="D69" s="77"/>
      <c r="E69" s="78">
        <f t="shared" ref="E69:J69" si="36">E68+E63+E59</f>
        <v>33</v>
      </c>
      <c r="F69" s="78">
        <f t="shared" si="36"/>
        <v>7</v>
      </c>
      <c r="G69" s="78">
        <f t="shared" si="36"/>
        <v>17</v>
      </c>
      <c r="H69" s="78">
        <f t="shared" si="36"/>
        <v>17</v>
      </c>
      <c r="I69" s="78">
        <f t="shared" si="36"/>
        <v>13</v>
      </c>
      <c r="J69" s="78">
        <f t="shared" si="36"/>
        <v>7</v>
      </c>
      <c r="K69" s="78">
        <f>K68+K63+K59</f>
        <v>178</v>
      </c>
      <c r="L69" s="77"/>
      <c r="M69" s="78">
        <f>M68+M63+M59</f>
        <v>81</v>
      </c>
      <c r="N69" s="79">
        <f>N68+N63+N59</f>
        <v>379752.05</v>
      </c>
      <c r="P69" s="98">
        <f>P68+P63+P59</f>
        <v>243</v>
      </c>
      <c r="Q69" s="79">
        <f>Q68+Q63+Q59</f>
        <v>729</v>
      </c>
    </row>
    <row r="70" spans="2:17" ht="16" thickBot="1" x14ac:dyDescent="0.25"/>
    <row r="71" spans="2:17" ht="16" thickBot="1" x14ac:dyDescent="0.25">
      <c r="B71" s="82" t="s">
        <v>844</v>
      </c>
      <c r="C71" s="83"/>
      <c r="D71" s="83"/>
      <c r="E71" s="84">
        <f t="shared" ref="E71:J71" si="37">E69+E52+E34+E16</f>
        <v>150</v>
      </c>
      <c r="F71" s="84">
        <f t="shared" si="37"/>
        <v>29</v>
      </c>
      <c r="G71" s="84">
        <f t="shared" si="37"/>
        <v>70</v>
      </c>
      <c r="H71" s="84">
        <f t="shared" si="37"/>
        <v>70</v>
      </c>
      <c r="I71" s="84">
        <f t="shared" si="37"/>
        <v>53</v>
      </c>
      <c r="J71" s="84">
        <f t="shared" si="37"/>
        <v>29</v>
      </c>
      <c r="K71" s="84">
        <f>K69+K52+K34+K16</f>
        <v>806</v>
      </c>
      <c r="L71" s="83"/>
      <c r="M71" s="83"/>
      <c r="N71" s="85"/>
      <c r="P71" s="103">
        <f>P69+P52+P34+P16</f>
        <v>1032</v>
      </c>
      <c r="Q71" s="104">
        <f>Q69+Q52+Q34+Q16</f>
        <v>3096</v>
      </c>
    </row>
  </sheetData>
  <mergeCells count="4">
    <mergeCell ref="C1:N1"/>
    <mergeCell ref="C18:N18"/>
    <mergeCell ref="B36:N37"/>
    <mergeCell ref="B54:N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Product-YTD</vt:lpstr>
      <vt:lpstr>DSR</vt:lpstr>
      <vt:lpstr>Product</vt:lpstr>
      <vt:lpstr>Store -Product</vt:lpstr>
      <vt:lpstr>Store DSR</vt:lpstr>
      <vt:lpstr>Jul</vt:lpstr>
      <vt:lpstr>YTD</vt:lpstr>
      <vt:lpstr>Master</vt:lpstr>
      <vt:lpstr>Dec</vt:lpstr>
      <vt:lpstr>Jan</vt:lpstr>
      <vt:lpstr>Feb</vt:lpstr>
      <vt:lpstr>Mar</vt:lpstr>
      <vt:lpstr>Apr</vt:lpstr>
      <vt:lpstr>May</vt:lpstr>
      <vt:lpstr>June</vt:lpstr>
      <vt:lpstr>BW stores Base stocking model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sathya spandan</cp:lastModifiedBy>
  <dcterms:created xsi:type="dcterms:W3CDTF">2026-03-24T05:21:54Z</dcterms:created>
  <dcterms:modified xsi:type="dcterms:W3CDTF">2026-07-19T19:09:26Z</dcterms:modified>
</cp:coreProperties>
</file>